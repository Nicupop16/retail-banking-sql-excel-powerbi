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icu Popovici\Desktop\"/>
    </mc:Choice>
  </mc:AlternateContent>
  <xr:revisionPtr revIDLastSave="0" documentId="13_ncr:1_{BB5F6CAA-2F50-4521-9595-A87DA8EAE06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ustomer Analysis" sheetId="3" r:id="rId1"/>
    <sheet name="customer" sheetId="2" r:id="rId2"/>
    <sheet name="Excel checks" sheetId="1" r:id="rId3"/>
  </sheets>
  <definedNames>
    <definedName name="_xlnm._FilterDatabase" localSheetId="2" hidden="1">'Excel checks'!$H$1:$J$1</definedName>
    <definedName name="ExternalData_1" localSheetId="1" hidden="1">'customer'!$A$1:$N$2001</definedName>
  </definedNames>
  <calcPr calcId="19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2" i="1"/>
  <c r="Q3" i="1"/>
  <c r="Q2" i="1"/>
  <c r="O3" i="1"/>
  <c r="N3" i="1"/>
  <c r="M3" i="1"/>
  <c r="J5" i="1"/>
  <c r="J4" i="1"/>
  <c r="J3" i="1"/>
  <c r="J2" i="1"/>
  <c r="F3" i="1"/>
  <c r="F2" i="1"/>
  <c r="D3" i="1"/>
  <c r="D2" i="1"/>
  <c r="C3" i="1"/>
  <c r="C2" i="1"/>
  <c r="B3" i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42B2EA-1E1B-499F-B02E-44219B238FE8}" keepAlive="1" name="Query - customer" description="Connection to the 'customer' query in the workbook." type="5" refreshedVersion="8" background="1" saveData="1">
    <dbPr connection="Provider=Microsoft.Mashup.OleDb.1;Data Source=$Workbook$;Location=customer;Extended Properties=&quot;&quot;" command="SELECT * FROM [customer]"/>
  </connection>
</connections>
</file>

<file path=xl/sharedStrings.xml><?xml version="1.0" encoding="utf-8"?>
<sst xmlns="http://schemas.openxmlformats.org/spreadsheetml/2006/main" count="14056" uniqueCount="2070">
  <si>
    <t>customer_id</t>
  </si>
  <si>
    <t>branch_id</t>
  </si>
  <si>
    <t>age</t>
  </si>
  <si>
    <t>gender</t>
  </si>
  <si>
    <t>income_bracket</t>
  </si>
  <si>
    <t>channel</t>
  </si>
  <si>
    <t>account_type</t>
  </si>
  <si>
    <t>kyc_status</t>
  </si>
  <si>
    <t>account_open_date</t>
  </si>
  <si>
    <t>initial_deposit</t>
  </si>
  <si>
    <t>last_txn_date</t>
  </si>
  <si>
    <t>txn_net_sum</t>
  </si>
  <si>
    <t>current_balance</t>
  </si>
  <si>
    <t>churn_flag</t>
  </si>
  <si>
    <t>CUST100000</t>
  </si>
  <si>
    <t>BR015</t>
  </si>
  <si>
    <t>F</t>
  </si>
  <si>
    <t>&lt;3L</t>
  </si>
  <si>
    <t>online</t>
  </si>
  <si>
    <t>savings</t>
  </si>
  <si>
    <t>complete</t>
  </si>
  <si>
    <t>CUST100001</t>
  </si>
  <si>
    <t>BR009</t>
  </si>
  <si>
    <t>M</t>
  </si>
  <si>
    <t>3-6L</t>
  </si>
  <si>
    <t>branch</t>
  </si>
  <si>
    <t>CUST100002</t>
  </si>
  <si>
    <t>BR007</t>
  </si>
  <si>
    <t>CUST100003</t>
  </si>
  <si>
    <t>BR016</t>
  </si>
  <si>
    <t>O</t>
  </si>
  <si>
    <t>CUST100004</t>
  </si>
  <si>
    <t>BR003</t>
  </si>
  <si>
    <t>CUST100005</t>
  </si>
  <si>
    <t>BR017</t>
  </si>
  <si>
    <t>&gt;10L</t>
  </si>
  <si>
    <t>CUST100006</t>
  </si>
  <si>
    <t>BR008</t>
  </si>
  <si>
    <t>6-10L</t>
  </si>
  <si>
    <t>CUST100007</t>
  </si>
  <si>
    <t>BR002</t>
  </si>
  <si>
    <t>current</t>
  </si>
  <si>
    <t>CUST100008</t>
  </si>
  <si>
    <t>BR020</t>
  </si>
  <si>
    <t>CUST100009</t>
  </si>
  <si>
    <t>CUST100010</t>
  </si>
  <si>
    <t>CUST100011</t>
  </si>
  <si>
    <t>CUST100012</t>
  </si>
  <si>
    <t>BR019</t>
  </si>
  <si>
    <t>pending</t>
  </si>
  <si>
    <t>CUST100013</t>
  </si>
  <si>
    <t>CUST100014</t>
  </si>
  <si>
    <t>BR005</t>
  </si>
  <si>
    <t>CUST100015</t>
  </si>
  <si>
    <t>CUST100016</t>
  </si>
  <si>
    <t>CUST100017</t>
  </si>
  <si>
    <t>BR010</t>
  </si>
  <si>
    <t>CUST100018</t>
  </si>
  <si>
    <t>CUST100019</t>
  </si>
  <si>
    <t>BR006</t>
  </si>
  <si>
    <t>CUST100020</t>
  </si>
  <si>
    <t>BR011</t>
  </si>
  <si>
    <t>CUST100021</t>
  </si>
  <si>
    <t>CUST100022</t>
  </si>
  <si>
    <t>BR012</t>
  </si>
  <si>
    <t>CUST100023</t>
  </si>
  <si>
    <t>CUST100024</t>
  </si>
  <si>
    <t>CUST100025</t>
  </si>
  <si>
    <t>CUST100026</t>
  </si>
  <si>
    <t>BR018</t>
  </si>
  <si>
    <t>CUST100027</t>
  </si>
  <si>
    <t>BR013</t>
  </si>
  <si>
    <t>CUST100028</t>
  </si>
  <si>
    <t>CUST100029</t>
  </si>
  <si>
    <t>CUST100030</t>
  </si>
  <si>
    <t>BR004</t>
  </si>
  <si>
    <t>CUST100031</t>
  </si>
  <si>
    <t>CUST100032</t>
  </si>
  <si>
    <t>CUST100033</t>
  </si>
  <si>
    <t>BR001</t>
  </si>
  <si>
    <t>CUST100034</t>
  </si>
  <si>
    <t>CUST100035</t>
  </si>
  <si>
    <t>CUST100036</t>
  </si>
  <si>
    <t>CUST100037</t>
  </si>
  <si>
    <t>CUST100038</t>
  </si>
  <si>
    <t>CUST100039</t>
  </si>
  <si>
    <t>CUST100040</t>
  </si>
  <si>
    <t>BR014</t>
  </si>
  <si>
    <t>CUST100041</t>
  </si>
  <si>
    <t>CUST100042</t>
  </si>
  <si>
    <t>CUST100043</t>
  </si>
  <si>
    <t>CUST100044</t>
  </si>
  <si>
    <t>CUST100045</t>
  </si>
  <si>
    <t>CUST100046</t>
  </si>
  <si>
    <t>CUST100047</t>
  </si>
  <si>
    <t>CUST100048</t>
  </si>
  <si>
    <t>CUST100049</t>
  </si>
  <si>
    <t>CUST100050</t>
  </si>
  <si>
    <t>CUST100051</t>
  </si>
  <si>
    <t>CUST100052</t>
  </si>
  <si>
    <t>CUST100053</t>
  </si>
  <si>
    <t>CUST100054</t>
  </si>
  <si>
    <t>CUST100055</t>
  </si>
  <si>
    <t>CUST100056</t>
  </si>
  <si>
    <t>CUST100057</t>
  </si>
  <si>
    <t>CUST100058</t>
  </si>
  <si>
    <t>CUST100059</t>
  </si>
  <si>
    <t>CUST100060</t>
  </si>
  <si>
    <t>CUST100061</t>
  </si>
  <si>
    <t>CUST100062</t>
  </si>
  <si>
    <t>CUST100063</t>
  </si>
  <si>
    <t>CUST100064</t>
  </si>
  <si>
    <t>CUST100065</t>
  </si>
  <si>
    <t>CUST100066</t>
  </si>
  <si>
    <t>CUST100067</t>
  </si>
  <si>
    <t>CUST100068</t>
  </si>
  <si>
    <t>CUST100069</t>
  </si>
  <si>
    <t>CUST100070</t>
  </si>
  <si>
    <t>CUST100071</t>
  </si>
  <si>
    <t>CUST100072</t>
  </si>
  <si>
    <t>CUST100073</t>
  </si>
  <si>
    <t>CUST100074</t>
  </si>
  <si>
    <t>CUST100075</t>
  </si>
  <si>
    <t>CUST100076</t>
  </si>
  <si>
    <t>CUST100077</t>
  </si>
  <si>
    <t>CUST100078</t>
  </si>
  <si>
    <t>CUST100079</t>
  </si>
  <si>
    <t>CUST100080</t>
  </si>
  <si>
    <t>CUST100081</t>
  </si>
  <si>
    <t>CUST100082</t>
  </si>
  <si>
    <t>CUST100083</t>
  </si>
  <si>
    <t>CUST100084</t>
  </si>
  <si>
    <t>CUST100085</t>
  </si>
  <si>
    <t>CUST100086</t>
  </si>
  <si>
    <t>CUST100087</t>
  </si>
  <si>
    <t>CUST100088</t>
  </si>
  <si>
    <t>CUST100089</t>
  </si>
  <si>
    <t>CUST100090</t>
  </si>
  <si>
    <t>CUST100091</t>
  </si>
  <si>
    <t>CUST100092</t>
  </si>
  <si>
    <t>CUST100093</t>
  </si>
  <si>
    <t>CUST100094</t>
  </si>
  <si>
    <t>CUST100095</t>
  </si>
  <si>
    <t>CUST100096</t>
  </si>
  <si>
    <t>CUST100097</t>
  </si>
  <si>
    <t>CUST100098</t>
  </si>
  <si>
    <t>CUST100099</t>
  </si>
  <si>
    <t>CUST100100</t>
  </si>
  <si>
    <t>CUST100101</t>
  </si>
  <si>
    <t>CUST100102</t>
  </si>
  <si>
    <t>CUST100103</t>
  </si>
  <si>
    <t>CUST100104</t>
  </si>
  <si>
    <t>CUST100105</t>
  </si>
  <si>
    <t>CUST100106</t>
  </si>
  <si>
    <t>CUST100107</t>
  </si>
  <si>
    <t>CUST100108</t>
  </si>
  <si>
    <t>CUST100109</t>
  </si>
  <si>
    <t>CUST100110</t>
  </si>
  <si>
    <t>CUST100111</t>
  </si>
  <si>
    <t>CUST100112</t>
  </si>
  <si>
    <t>CUST100113</t>
  </si>
  <si>
    <t>CUST100114</t>
  </si>
  <si>
    <t>CUST100115</t>
  </si>
  <si>
    <t>CUST100116</t>
  </si>
  <si>
    <t>CUST100117</t>
  </si>
  <si>
    <t>CUST100118</t>
  </si>
  <si>
    <t>CUST100119</t>
  </si>
  <si>
    <t>CUST100120</t>
  </si>
  <si>
    <t>CUST100121</t>
  </si>
  <si>
    <t>CUST100122</t>
  </si>
  <si>
    <t>CUST100123</t>
  </si>
  <si>
    <t>CUST100124</t>
  </si>
  <si>
    <t>CUST100125</t>
  </si>
  <si>
    <t>CUST100126</t>
  </si>
  <si>
    <t>CUST100127</t>
  </si>
  <si>
    <t>CUST100128</t>
  </si>
  <si>
    <t>CUST100129</t>
  </si>
  <si>
    <t>CUST100130</t>
  </si>
  <si>
    <t>CUST100131</t>
  </si>
  <si>
    <t>CUST100132</t>
  </si>
  <si>
    <t>CUST100133</t>
  </si>
  <si>
    <t>CUST100134</t>
  </si>
  <si>
    <t>CUST100135</t>
  </si>
  <si>
    <t>CUST100136</t>
  </si>
  <si>
    <t>CUST100137</t>
  </si>
  <si>
    <t>CUST100138</t>
  </si>
  <si>
    <t>CUST100139</t>
  </si>
  <si>
    <t>CUST100140</t>
  </si>
  <si>
    <t>CUST100141</t>
  </si>
  <si>
    <t>CUST100142</t>
  </si>
  <si>
    <t>CUST100143</t>
  </si>
  <si>
    <t>CUST100144</t>
  </si>
  <si>
    <t>CUST100145</t>
  </si>
  <si>
    <t>CUST100146</t>
  </si>
  <si>
    <t>CUST100147</t>
  </si>
  <si>
    <t>CUST100148</t>
  </si>
  <si>
    <t>CUST100149</t>
  </si>
  <si>
    <t>CUST100150</t>
  </si>
  <si>
    <t>CUST100151</t>
  </si>
  <si>
    <t>CUST100152</t>
  </si>
  <si>
    <t>CUST100153</t>
  </si>
  <si>
    <t>CUST100154</t>
  </si>
  <si>
    <t>CUST100155</t>
  </si>
  <si>
    <t>CUST100156</t>
  </si>
  <si>
    <t>CUST100157</t>
  </si>
  <si>
    <t>CUST100158</t>
  </si>
  <si>
    <t>CUST100159</t>
  </si>
  <si>
    <t>CUST100160</t>
  </si>
  <si>
    <t>CUST100161</t>
  </si>
  <si>
    <t>CUST100162</t>
  </si>
  <si>
    <t>CUST100163</t>
  </si>
  <si>
    <t>CUST100164</t>
  </si>
  <si>
    <t>CUST100165</t>
  </si>
  <si>
    <t>CUST100166</t>
  </si>
  <si>
    <t>CUST100167</t>
  </si>
  <si>
    <t>CUST100168</t>
  </si>
  <si>
    <t>CUST100169</t>
  </si>
  <si>
    <t>CUST100170</t>
  </si>
  <si>
    <t>CUST100171</t>
  </si>
  <si>
    <t>CUST100172</t>
  </si>
  <si>
    <t>CUST100173</t>
  </si>
  <si>
    <t>CUST100174</t>
  </si>
  <si>
    <t>CUST100175</t>
  </si>
  <si>
    <t>CUST100176</t>
  </si>
  <si>
    <t>CUST100177</t>
  </si>
  <si>
    <t>CUST100178</t>
  </si>
  <si>
    <t>CUST100179</t>
  </si>
  <si>
    <t>CUST100180</t>
  </si>
  <si>
    <t>CUST100181</t>
  </si>
  <si>
    <t>CUST100182</t>
  </si>
  <si>
    <t>CUST100183</t>
  </si>
  <si>
    <t>CUST100184</t>
  </si>
  <si>
    <t>CUST100185</t>
  </si>
  <si>
    <t>CUST100186</t>
  </si>
  <si>
    <t>CUST100187</t>
  </si>
  <si>
    <t>CUST100188</t>
  </si>
  <si>
    <t>CUST100189</t>
  </si>
  <si>
    <t>CUST100190</t>
  </si>
  <si>
    <t>CUST100191</t>
  </si>
  <si>
    <t>CUST100192</t>
  </si>
  <si>
    <t>CUST100193</t>
  </si>
  <si>
    <t>CUST100194</t>
  </si>
  <si>
    <t>CUST100195</t>
  </si>
  <si>
    <t>CUST100196</t>
  </si>
  <si>
    <t>CUST100197</t>
  </si>
  <si>
    <t>CUST100198</t>
  </si>
  <si>
    <t>CUST100199</t>
  </si>
  <si>
    <t>CUST100200</t>
  </si>
  <si>
    <t>CUST100201</t>
  </si>
  <si>
    <t>CUST100202</t>
  </si>
  <si>
    <t>CUST100203</t>
  </si>
  <si>
    <t>CUST100204</t>
  </si>
  <si>
    <t>CUST100205</t>
  </si>
  <si>
    <t>CUST100206</t>
  </si>
  <si>
    <t>CUST100207</t>
  </si>
  <si>
    <t>CUST100208</t>
  </si>
  <si>
    <t>CUST100209</t>
  </si>
  <si>
    <t>CUST100210</t>
  </si>
  <si>
    <t>CUST100211</t>
  </si>
  <si>
    <t>CUST100212</t>
  </si>
  <si>
    <t>CUST100213</t>
  </si>
  <si>
    <t>CUST100214</t>
  </si>
  <si>
    <t>CUST100215</t>
  </si>
  <si>
    <t>CUST100216</t>
  </si>
  <si>
    <t>CUST100217</t>
  </si>
  <si>
    <t>CUST100218</t>
  </si>
  <si>
    <t>CUST100219</t>
  </si>
  <si>
    <t>CUST100220</t>
  </si>
  <si>
    <t>CUST100221</t>
  </si>
  <si>
    <t>CUST100222</t>
  </si>
  <si>
    <t>CUST100223</t>
  </si>
  <si>
    <t>CUST100224</t>
  </si>
  <si>
    <t>CUST100225</t>
  </si>
  <si>
    <t>CUST100226</t>
  </si>
  <si>
    <t>CUST100227</t>
  </si>
  <si>
    <t>CUST100228</t>
  </si>
  <si>
    <t>CUST100229</t>
  </si>
  <si>
    <t>CUST100230</t>
  </si>
  <si>
    <t>CUST100231</t>
  </si>
  <si>
    <t>CUST100232</t>
  </si>
  <si>
    <t>CUST100233</t>
  </si>
  <si>
    <t>CUST100234</t>
  </si>
  <si>
    <t>CUST100235</t>
  </si>
  <si>
    <t>CUST100236</t>
  </si>
  <si>
    <t>CUST100237</t>
  </si>
  <si>
    <t>CUST100238</t>
  </si>
  <si>
    <t>CUST100239</t>
  </si>
  <si>
    <t>CUST100240</t>
  </si>
  <si>
    <t>CUST100241</t>
  </si>
  <si>
    <t>CUST100242</t>
  </si>
  <si>
    <t>CUST100243</t>
  </si>
  <si>
    <t>CUST100244</t>
  </si>
  <si>
    <t>CUST100245</t>
  </si>
  <si>
    <t>CUST100246</t>
  </si>
  <si>
    <t>CUST100247</t>
  </si>
  <si>
    <t>CUST100248</t>
  </si>
  <si>
    <t>CUST100249</t>
  </si>
  <si>
    <t>CUST100250</t>
  </si>
  <si>
    <t>CUST100251</t>
  </si>
  <si>
    <t>CUST100252</t>
  </si>
  <si>
    <t>CUST100253</t>
  </si>
  <si>
    <t>CUST100254</t>
  </si>
  <si>
    <t>CUST100255</t>
  </si>
  <si>
    <t>CUST100256</t>
  </si>
  <si>
    <t>CUST100257</t>
  </si>
  <si>
    <t>CUST100258</t>
  </si>
  <si>
    <t>CUST100259</t>
  </si>
  <si>
    <t>CUST100260</t>
  </si>
  <si>
    <t>CUST100261</t>
  </si>
  <si>
    <t>CUST100262</t>
  </si>
  <si>
    <t>CUST100263</t>
  </si>
  <si>
    <t>CUST100264</t>
  </si>
  <si>
    <t>CUST100265</t>
  </si>
  <si>
    <t>CUST100266</t>
  </si>
  <si>
    <t>CUST100267</t>
  </si>
  <si>
    <t>CUST100268</t>
  </si>
  <si>
    <t>CUST100269</t>
  </si>
  <si>
    <t>CUST100270</t>
  </si>
  <si>
    <t>CUST100271</t>
  </si>
  <si>
    <t>CUST100272</t>
  </si>
  <si>
    <t>CUST100273</t>
  </si>
  <si>
    <t>CUST100274</t>
  </si>
  <si>
    <t>CUST100275</t>
  </si>
  <si>
    <t>CUST100276</t>
  </si>
  <si>
    <t>CUST100277</t>
  </si>
  <si>
    <t>CUST100278</t>
  </si>
  <si>
    <t>CUST100279</t>
  </si>
  <si>
    <t>CUST100280</t>
  </si>
  <si>
    <t>CUST100281</t>
  </si>
  <si>
    <t>CUST100282</t>
  </si>
  <si>
    <t>CUST100283</t>
  </si>
  <si>
    <t>CUST100284</t>
  </si>
  <si>
    <t>CUST100285</t>
  </si>
  <si>
    <t>CUST100286</t>
  </si>
  <si>
    <t>CUST100287</t>
  </si>
  <si>
    <t>CUST100288</t>
  </si>
  <si>
    <t>CUST100289</t>
  </si>
  <si>
    <t>CUST100290</t>
  </si>
  <si>
    <t>CUST100291</t>
  </si>
  <si>
    <t>CUST100292</t>
  </si>
  <si>
    <t>CUST100293</t>
  </si>
  <si>
    <t>CUST100294</t>
  </si>
  <si>
    <t>CUST100295</t>
  </si>
  <si>
    <t>CUST100296</t>
  </si>
  <si>
    <t>CUST100297</t>
  </si>
  <si>
    <t>CUST100298</t>
  </si>
  <si>
    <t>CUST100299</t>
  </si>
  <si>
    <t>CUST100300</t>
  </si>
  <si>
    <t>CUST100301</t>
  </si>
  <si>
    <t>CUST100302</t>
  </si>
  <si>
    <t>CUST100303</t>
  </si>
  <si>
    <t>CUST100304</t>
  </si>
  <si>
    <t>CUST100305</t>
  </si>
  <si>
    <t>CUST100306</t>
  </si>
  <si>
    <t>CUST100307</t>
  </si>
  <si>
    <t>CUST100308</t>
  </si>
  <si>
    <t>CUST100309</t>
  </si>
  <si>
    <t>CUST100310</t>
  </si>
  <si>
    <t>CUST100311</t>
  </si>
  <si>
    <t>CUST100312</t>
  </si>
  <si>
    <t>CUST100313</t>
  </si>
  <si>
    <t>CUST100314</t>
  </si>
  <si>
    <t>CUST100315</t>
  </si>
  <si>
    <t>CUST100316</t>
  </si>
  <si>
    <t>CUST100317</t>
  </si>
  <si>
    <t>CUST100318</t>
  </si>
  <si>
    <t>CUST100319</t>
  </si>
  <si>
    <t>CUST100320</t>
  </si>
  <si>
    <t>CUST100321</t>
  </si>
  <si>
    <t>CUST100322</t>
  </si>
  <si>
    <t>CUST100323</t>
  </si>
  <si>
    <t>CUST100324</t>
  </si>
  <si>
    <t>CUST100325</t>
  </si>
  <si>
    <t>CUST100326</t>
  </si>
  <si>
    <t>CUST100327</t>
  </si>
  <si>
    <t>CUST100328</t>
  </si>
  <si>
    <t>CUST100329</t>
  </si>
  <si>
    <t>CUST100330</t>
  </si>
  <si>
    <t>CUST100331</t>
  </si>
  <si>
    <t>CUST100332</t>
  </si>
  <si>
    <t>CUST100333</t>
  </si>
  <si>
    <t>CUST100334</t>
  </si>
  <si>
    <t>CUST100335</t>
  </si>
  <si>
    <t>CUST100336</t>
  </si>
  <si>
    <t>CUST100337</t>
  </si>
  <si>
    <t>CUST100338</t>
  </si>
  <si>
    <t>CUST100339</t>
  </si>
  <si>
    <t>CUST100340</t>
  </si>
  <si>
    <t>CUST100341</t>
  </si>
  <si>
    <t>CUST100342</t>
  </si>
  <si>
    <t>CUST100343</t>
  </si>
  <si>
    <t>CUST100344</t>
  </si>
  <si>
    <t>CUST100345</t>
  </si>
  <si>
    <t>CUST100346</t>
  </si>
  <si>
    <t>CUST100347</t>
  </si>
  <si>
    <t>CUST100348</t>
  </si>
  <si>
    <t>CUST100349</t>
  </si>
  <si>
    <t>CUST100350</t>
  </si>
  <si>
    <t>CUST100351</t>
  </si>
  <si>
    <t>CUST100352</t>
  </si>
  <si>
    <t>CUST100353</t>
  </si>
  <si>
    <t>CUST100354</t>
  </si>
  <si>
    <t>CUST100355</t>
  </si>
  <si>
    <t>CUST100356</t>
  </si>
  <si>
    <t>CUST100357</t>
  </si>
  <si>
    <t>CUST100358</t>
  </si>
  <si>
    <t>CUST100359</t>
  </si>
  <si>
    <t>CUST100360</t>
  </si>
  <si>
    <t>CUST100361</t>
  </si>
  <si>
    <t>CUST100362</t>
  </si>
  <si>
    <t>CUST100363</t>
  </si>
  <si>
    <t>CUST100364</t>
  </si>
  <si>
    <t>CUST100365</t>
  </si>
  <si>
    <t>CUST100366</t>
  </si>
  <si>
    <t>CUST100367</t>
  </si>
  <si>
    <t>CUST100368</t>
  </si>
  <si>
    <t>CUST100369</t>
  </si>
  <si>
    <t>CUST100370</t>
  </si>
  <si>
    <t>CUST100371</t>
  </si>
  <si>
    <t>CUST100372</t>
  </si>
  <si>
    <t>CUST100373</t>
  </si>
  <si>
    <t>CUST100374</t>
  </si>
  <si>
    <t>CUST100375</t>
  </si>
  <si>
    <t>CUST100376</t>
  </si>
  <si>
    <t>CUST100377</t>
  </si>
  <si>
    <t>CUST100378</t>
  </si>
  <si>
    <t>CUST100379</t>
  </si>
  <si>
    <t>CUST100380</t>
  </si>
  <si>
    <t>CUST100381</t>
  </si>
  <si>
    <t>CUST100382</t>
  </si>
  <si>
    <t>CUST100383</t>
  </si>
  <si>
    <t>CUST100384</t>
  </si>
  <si>
    <t>CUST100385</t>
  </si>
  <si>
    <t>CUST100386</t>
  </si>
  <si>
    <t>CUST100387</t>
  </si>
  <si>
    <t>CUST100388</t>
  </si>
  <si>
    <t>CUST100389</t>
  </si>
  <si>
    <t>CUST100390</t>
  </si>
  <si>
    <t>CUST100391</t>
  </si>
  <si>
    <t>CUST100392</t>
  </si>
  <si>
    <t>CUST100393</t>
  </si>
  <si>
    <t>CUST100394</t>
  </si>
  <si>
    <t>CUST100395</t>
  </si>
  <si>
    <t>CUST100396</t>
  </si>
  <si>
    <t>CUST100397</t>
  </si>
  <si>
    <t>CUST100398</t>
  </si>
  <si>
    <t>CUST100399</t>
  </si>
  <si>
    <t>CUST100400</t>
  </si>
  <si>
    <t>CUST100401</t>
  </si>
  <si>
    <t>CUST100402</t>
  </si>
  <si>
    <t>CUST100403</t>
  </si>
  <si>
    <t>CUST100404</t>
  </si>
  <si>
    <t>CUST100405</t>
  </si>
  <si>
    <t>CUST100406</t>
  </si>
  <si>
    <t>CUST100407</t>
  </si>
  <si>
    <t>CUST100408</t>
  </si>
  <si>
    <t>CUST100409</t>
  </si>
  <si>
    <t>CUST100410</t>
  </si>
  <si>
    <t>CUST100411</t>
  </si>
  <si>
    <t>CUST100412</t>
  </si>
  <si>
    <t>CUST100413</t>
  </si>
  <si>
    <t>CUST100414</t>
  </si>
  <si>
    <t>CUST100415</t>
  </si>
  <si>
    <t>CUST100416</t>
  </si>
  <si>
    <t>CUST100417</t>
  </si>
  <si>
    <t>CUST100418</t>
  </si>
  <si>
    <t>CUST100419</t>
  </si>
  <si>
    <t>CUST100420</t>
  </si>
  <si>
    <t>CUST100421</t>
  </si>
  <si>
    <t>CUST100422</t>
  </si>
  <si>
    <t>CUST100423</t>
  </si>
  <si>
    <t>CUST100424</t>
  </si>
  <si>
    <t>CUST100425</t>
  </si>
  <si>
    <t>CUST100426</t>
  </si>
  <si>
    <t>CUST100427</t>
  </si>
  <si>
    <t>CUST100428</t>
  </si>
  <si>
    <t>CUST100429</t>
  </si>
  <si>
    <t>CUST100430</t>
  </si>
  <si>
    <t>CUST100431</t>
  </si>
  <si>
    <t>CUST100432</t>
  </si>
  <si>
    <t>CUST100433</t>
  </si>
  <si>
    <t>CUST100434</t>
  </si>
  <si>
    <t>CUST100435</t>
  </si>
  <si>
    <t>CUST100436</t>
  </si>
  <si>
    <t>CUST100437</t>
  </si>
  <si>
    <t>CUST100438</t>
  </si>
  <si>
    <t>CUST100439</t>
  </si>
  <si>
    <t>CUST100440</t>
  </si>
  <si>
    <t>CUST100441</t>
  </si>
  <si>
    <t>CUST100442</t>
  </si>
  <si>
    <t>CUST100443</t>
  </si>
  <si>
    <t>CUST100444</t>
  </si>
  <si>
    <t>CUST100445</t>
  </si>
  <si>
    <t>CUST100446</t>
  </si>
  <si>
    <t>CUST100447</t>
  </si>
  <si>
    <t>CUST100448</t>
  </si>
  <si>
    <t>CUST100449</t>
  </si>
  <si>
    <t>CUST100450</t>
  </si>
  <si>
    <t>CUST100451</t>
  </si>
  <si>
    <t>CUST100452</t>
  </si>
  <si>
    <t>CUST100453</t>
  </si>
  <si>
    <t>CUST100454</t>
  </si>
  <si>
    <t>CUST100455</t>
  </si>
  <si>
    <t>CUST100456</t>
  </si>
  <si>
    <t>CUST100457</t>
  </si>
  <si>
    <t>CUST100458</t>
  </si>
  <si>
    <t>CUST100459</t>
  </si>
  <si>
    <t>CUST100460</t>
  </si>
  <si>
    <t>CUST100461</t>
  </si>
  <si>
    <t>CUST100462</t>
  </si>
  <si>
    <t>CUST100463</t>
  </si>
  <si>
    <t>CUST100464</t>
  </si>
  <si>
    <t>CUST100465</t>
  </si>
  <si>
    <t>CUST100466</t>
  </si>
  <si>
    <t>CUST100467</t>
  </si>
  <si>
    <t>CUST100468</t>
  </si>
  <si>
    <t>CUST100469</t>
  </si>
  <si>
    <t>CUST100470</t>
  </si>
  <si>
    <t>CUST100471</t>
  </si>
  <si>
    <t>CUST100472</t>
  </si>
  <si>
    <t>CUST100473</t>
  </si>
  <si>
    <t>CUST100474</t>
  </si>
  <si>
    <t>CUST100475</t>
  </si>
  <si>
    <t>CUST100476</t>
  </si>
  <si>
    <t>CUST100477</t>
  </si>
  <si>
    <t>CUST100478</t>
  </si>
  <si>
    <t>CUST100479</t>
  </si>
  <si>
    <t>CUST100480</t>
  </si>
  <si>
    <t>CUST100481</t>
  </si>
  <si>
    <t>CUST100482</t>
  </si>
  <si>
    <t>CUST100483</t>
  </si>
  <si>
    <t>CUST100484</t>
  </si>
  <si>
    <t>CUST100485</t>
  </si>
  <si>
    <t>CUST100486</t>
  </si>
  <si>
    <t>CUST100487</t>
  </si>
  <si>
    <t>CUST100488</t>
  </si>
  <si>
    <t>CUST100489</t>
  </si>
  <si>
    <t>CUST100490</t>
  </si>
  <si>
    <t>CUST100491</t>
  </si>
  <si>
    <t>CUST100492</t>
  </si>
  <si>
    <t>CUST100493</t>
  </si>
  <si>
    <t>CUST100494</t>
  </si>
  <si>
    <t>CUST100495</t>
  </si>
  <si>
    <t>CUST100496</t>
  </si>
  <si>
    <t>CUST100497</t>
  </si>
  <si>
    <t>CUST100498</t>
  </si>
  <si>
    <t>CUST100499</t>
  </si>
  <si>
    <t>CUST100500</t>
  </si>
  <si>
    <t>CUST100501</t>
  </si>
  <si>
    <t>CUST100502</t>
  </si>
  <si>
    <t>CUST100503</t>
  </si>
  <si>
    <t>CUST100504</t>
  </si>
  <si>
    <t>CUST100505</t>
  </si>
  <si>
    <t>CUST100506</t>
  </si>
  <si>
    <t>CUST100507</t>
  </si>
  <si>
    <t>CUST100508</t>
  </si>
  <si>
    <t>CUST100509</t>
  </si>
  <si>
    <t>CUST100510</t>
  </si>
  <si>
    <t>CUST100511</t>
  </si>
  <si>
    <t>CUST100512</t>
  </si>
  <si>
    <t>CUST100513</t>
  </si>
  <si>
    <t>CUST100514</t>
  </si>
  <si>
    <t>CUST100515</t>
  </si>
  <si>
    <t>CUST100516</t>
  </si>
  <si>
    <t>CUST100517</t>
  </si>
  <si>
    <t>CUST100518</t>
  </si>
  <si>
    <t>CUST100519</t>
  </si>
  <si>
    <t>CUST100520</t>
  </si>
  <si>
    <t>CUST100521</t>
  </si>
  <si>
    <t>CUST100522</t>
  </si>
  <si>
    <t>CUST100523</t>
  </si>
  <si>
    <t>CUST100524</t>
  </si>
  <si>
    <t>CUST100525</t>
  </si>
  <si>
    <t>CUST100526</t>
  </si>
  <si>
    <t>CUST100527</t>
  </si>
  <si>
    <t>CUST100528</t>
  </si>
  <si>
    <t>CUST100529</t>
  </si>
  <si>
    <t>CUST100530</t>
  </si>
  <si>
    <t>CUST100531</t>
  </si>
  <si>
    <t>CUST100532</t>
  </si>
  <si>
    <t>CUST100533</t>
  </si>
  <si>
    <t>CUST100534</t>
  </si>
  <si>
    <t>CUST100535</t>
  </si>
  <si>
    <t>CUST100536</t>
  </si>
  <si>
    <t>CUST100537</t>
  </si>
  <si>
    <t>CUST100538</t>
  </si>
  <si>
    <t>CUST100539</t>
  </si>
  <si>
    <t>CUST100540</t>
  </si>
  <si>
    <t>CUST100541</t>
  </si>
  <si>
    <t>CUST100542</t>
  </si>
  <si>
    <t>CUST100543</t>
  </si>
  <si>
    <t>CUST100544</t>
  </si>
  <si>
    <t>CUST100545</t>
  </si>
  <si>
    <t>CUST100546</t>
  </si>
  <si>
    <t>CUST100547</t>
  </si>
  <si>
    <t>CUST100548</t>
  </si>
  <si>
    <t>CUST100549</t>
  </si>
  <si>
    <t>CUST100550</t>
  </si>
  <si>
    <t>CUST100551</t>
  </si>
  <si>
    <t>CUST100552</t>
  </si>
  <si>
    <t>CUST100553</t>
  </si>
  <si>
    <t>CUST100554</t>
  </si>
  <si>
    <t>CUST100555</t>
  </si>
  <si>
    <t>CUST100556</t>
  </si>
  <si>
    <t>CUST100557</t>
  </si>
  <si>
    <t>CUST100558</t>
  </si>
  <si>
    <t>CUST100559</t>
  </si>
  <si>
    <t>CUST100560</t>
  </si>
  <si>
    <t>CUST100561</t>
  </si>
  <si>
    <t>CUST100562</t>
  </si>
  <si>
    <t>CUST100563</t>
  </si>
  <si>
    <t>CUST100564</t>
  </si>
  <si>
    <t>CUST100565</t>
  </si>
  <si>
    <t>CUST100566</t>
  </si>
  <si>
    <t>CUST100567</t>
  </si>
  <si>
    <t>CUST100568</t>
  </si>
  <si>
    <t>CUST100569</t>
  </si>
  <si>
    <t>CUST100570</t>
  </si>
  <si>
    <t>CUST100571</t>
  </si>
  <si>
    <t>CUST100572</t>
  </si>
  <si>
    <t>CUST100573</t>
  </si>
  <si>
    <t>CUST100574</t>
  </si>
  <si>
    <t>CUST100575</t>
  </si>
  <si>
    <t>CUST100576</t>
  </si>
  <si>
    <t>CUST100577</t>
  </si>
  <si>
    <t>CUST100578</t>
  </si>
  <si>
    <t>CUST100579</t>
  </si>
  <si>
    <t>CUST100580</t>
  </si>
  <si>
    <t>CUST100581</t>
  </si>
  <si>
    <t>CUST100582</t>
  </si>
  <si>
    <t>CUST100583</t>
  </si>
  <si>
    <t>CUST100584</t>
  </si>
  <si>
    <t>CUST100585</t>
  </si>
  <si>
    <t>CUST100586</t>
  </si>
  <si>
    <t>CUST100587</t>
  </si>
  <si>
    <t>CUST100588</t>
  </si>
  <si>
    <t>CUST100589</t>
  </si>
  <si>
    <t>CUST100590</t>
  </si>
  <si>
    <t>CUST100591</t>
  </si>
  <si>
    <t>CUST100592</t>
  </si>
  <si>
    <t>CUST100593</t>
  </si>
  <si>
    <t>CUST100594</t>
  </si>
  <si>
    <t>CUST100595</t>
  </si>
  <si>
    <t>CUST100596</t>
  </si>
  <si>
    <t>CUST100597</t>
  </si>
  <si>
    <t>CUST100598</t>
  </si>
  <si>
    <t>CUST100599</t>
  </si>
  <si>
    <t>CUST100600</t>
  </si>
  <si>
    <t>CUST100601</t>
  </si>
  <si>
    <t>CUST100602</t>
  </si>
  <si>
    <t>CUST100603</t>
  </si>
  <si>
    <t>CUST100604</t>
  </si>
  <si>
    <t>CUST100605</t>
  </si>
  <si>
    <t>CUST100606</t>
  </si>
  <si>
    <t>CUST100607</t>
  </si>
  <si>
    <t>CUST100608</t>
  </si>
  <si>
    <t>CUST100609</t>
  </si>
  <si>
    <t>CUST100610</t>
  </si>
  <si>
    <t>CUST100611</t>
  </si>
  <si>
    <t>CUST100612</t>
  </si>
  <si>
    <t>CUST100613</t>
  </si>
  <si>
    <t>CUST100614</t>
  </si>
  <si>
    <t>CUST100615</t>
  </si>
  <si>
    <t>CUST100616</t>
  </si>
  <si>
    <t>CUST100617</t>
  </si>
  <si>
    <t>CUST100618</t>
  </si>
  <si>
    <t>CUST100619</t>
  </si>
  <si>
    <t>CUST100620</t>
  </si>
  <si>
    <t>CUST100621</t>
  </si>
  <si>
    <t>CUST100622</t>
  </si>
  <si>
    <t>CUST100623</t>
  </si>
  <si>
    <t>CUST100624</t>
  </si>
  <si>
    <t>CUST100625</t>
  </si>
  <si>
    <t>CUST100626</t>
  </si>
  <si>
    <t>CUST100627</t>
  </si>
  <si>
    <t>CUST100628</t>
  </si>
  <si>
    <t>CUST100629</t>
  </si>
  <si>
    <t>CUST100630</t>
  </si>
  <si>
    <t>CUST100631</t>
  </si>
  <si>
    <t>CUST100632</t>
  </si>
  <si>
    <t>CUST100633</t>
  </si>
  <si>
    <t>CUST100634</t>
  </si>
  <si>
    <t>CUST100635</t>
  </si>
  <si>
    <t>CUST100636</t>
  </si>
  <si>
    <t>CUST100637</t>
  </si>
  <si>
    <t>CUST100638</t>
  </si>
  <si>
    <t>CUST100639</t>
  </si>
  <si>
    <t>CUST100640</t>
  </si>
  <si>
    <t>CUST100641</t>
  </si>
  <si>
    <t>CUST100642</t>
  </si>
  <si>
    <t>CUST100643</t>
  </si>
  <si>
    <t>CUST100644</t>
  </si>
  <si>
    <t>CUST100645</t>
  </si>
  <si>
    <t>CUST100646</t>
  </si>
  <si>
    <t>CUST100647</t>
  </si>
  <si>
    <t>CUST100648</t>
  </si>
  <si>
    <t>CUST100649</t>
  </si>
  <si>
    <t>CUST100650</t>
  </si>
  <si>
    <t>CUST100651</t>
  </si>
  <si>
    <t>CUST100652</t>
  </si>
  <si>
    <t>CUST100653</t>
  </si>
  <si>
    <t>CUST100654</t>
  </si>
  <si>
    <t>CUST100655</t>
  </si>
  <si>
    <t>CUST100656</t>
  </si>
  <si>
    <t>CUST100657</t>
  </si>
  <si>
    <t>CUST100658</t>
  </si>
  <si>
    <t>CUST100659</t>
  </si>
  <si>
    <t>CUST100660</t>
  </si>
  <si>
    <t>CUST100661</t>
  </si>
  <si>
    <t>CUST100662</t>
  </si>
  <si>
    <t>CUST100663</t>
  </si>
  <si>
    <t>CUST100664</t>
  </si>
  <si>
    <t>CUST100665</t>
  </si>
  <si>
    <t>CUST100666</t>
  </si>
  <si>
    <t>CUST100667</t>
  </si>
  <si>
    <t>CUST100668</t>
  </si>
  <si>
    <t>CUST100669</t>
  </si>
  <si>
    <t>CUST100670</t>
  </si>
  <si>
    <t>CUST100671</t>
  </si>
  <si>
    <t>CUST100672</t>
  </si>
  <si>
    <t>CUST100673</t>
  </si>
  <si>
    <t>CUST100674</t>
  </si>
  <si>
    <t>CUST100675</t>
  </si>
  <si>
    <t>CUST100676</t>
  </si>
  <si>
    <t>CUST100677</t>
  </si>
  <si>
    <t>CUST100678</t>
  </si>
  <si>
    <t>CUST100679</t>
  </si>
  <si>
    <t>CUST100680</t>
  </si>
  <si>
    <t>CUST100681</t>
  </si>
  <si>
    <t>CUST100682</t>
  </si>
  <si>
    <t>CUST100683</t>
  </si>
  <si>
    <t>CUST100684</t>
  </si>
  <si>
    <t>CUST100685</t>
  </si>
  <si>
    <t>CUST100686</t>
  </si>
  <si>
    <t>CUST100687</t>
  </si>
  <si>
    <t>CUST100688</t>
  </si>
  <si>
    <t>CUST100689</t>
  </si>
  <si>
    <t>CUST100690</t>
  </si>
  <si>
    <t>CUST100691</t>
  </si>
  <si>
    <t>CUST100692</t>
  </si>
  <si>
    <t>CUST100693</t>
  </si>
  <si>
    <t>CUST100694</t>
  </si>
  <si>
    <t>CUST100695</t>
  </si>
  <si>
    <t>CUST100696</t>
  </si>
  <si>
    <t>CUST100697</t>
  </si>
  <si>
    <t>CUST100698</t>
  </si>
  <si>
    <t>CUST100699</t>
  </si>
  <si>
    <t>CUST100700</t>
  </si>
  <si>
    <t>CUST100701</t>
  </si>
  <si>
    <t>CUST100702</t>
  </si>
  <si>
    <t>CUST100703</t>
  </si>
  <si>
    <t>CUST100704</t>
  </si>
  <si>
    <t>CUST100705</t>
  </si>
  <si>
    <t>CUST100706</t>
  </si>
  <si>
    <t>CUST100707</t>
  </si>
  <si>
    <t>CUST100708</t>
  </si>
  <si>
    <t>CUST100709</t>
  </si>
  <si>
    <t>CUST100710</t>
  </si>
  <si>
    <t>CUST100711</t>
  </si>
  <si>
    <t>CUST100712</t>
  </si>
  <si>
    <t>CUST100713</t>
  </si>
  <si>
    <t>CUST100714</t>
  </si>
  <si>
    <t>CUST100715</t>
  </si>
  <si>
    <t>CUST100716</t>
  </si>
  <si>
    <t>CUST100717</t>
  </si>
  <si>
    <t>CUST100718</t>
  </si>
  <si>
    <t>CUST100719</t>
  </si>
  <si>
    <t>CUST100720</t>
  </si>
  <si>
    <t>CUST100721</t>
  </si>
  <si>
    <t>CUST100722</t>
  </si>
  <si>
    <t>CUST100723</t>
  </si>
  <si>
    <t>CUST100724</t>
  </si>
  <si>
    <t>CUST100725</t>
  </si>
  <si>
    <t>CUST100726</t>
  </si>
  <si>
    <t>CUST100727</t>
  </si>
  <si>
    <t>CUST100728</t>
  </si>
  <si>
    <t>CUST100729</t>
  </si>
  <si>
    <t>CUST100730</t>
  </si>
  <si>
    <t>CUST100731</t>
  </si>
  <si>
    <t>CUST100732</t>
  </si>
  <si>
    <t>CUST100733</t>
  </si>
  <si>
    <t>CUST100734</t>
  </si>
  <si>
    <t>CUST100735</t>
  </si>
  <si>
    <t>CUST100736</t>
  </si>
  <si>
    <t>CUST100737</t>
  </si>
  <si>
    <t>CUST100738</t>
  </si>
  <si>
    <t>CUST100739</t>
  </si>
  <si>
    <t>CUST100740</t>
  </si>
  <si>
    <t>CUST100741</t>
  </si>
  <si>
    <t>CUST100742</t>
  </si>
  <si>
    <t>CUST100743</t>
  </si>
  <si>
    <t>CUST100744</t>
  </si>
  <si>
    <t>CUST100745</t>
  </si>
  <si>
    <t>CUST100746</t>
  </si>
  <si>
    <t>CUST100747</t>
  </si>
  <si>
    <t>CUST100748</t>
  </si>
  <si>
    <t>CUST100749</t>
  </si>
  <si>
    <t>CUST100750</t>
  </si>
  <si>
    <t>CUST100751</t>
  </si>
  <si>
    <t>CUST100752</t>
  </si>
  <si>
    <t>CUST100753</t>
  </si>
  <si>
    <t>CUST100754</t>
  </si>
  <si>
    <t>CUST100755</t>
  </si>
  <si>
    <t>CUST100756</t>
  </si>
  <si>
    <t>CUST100757</t>
  </si>
  <si>
    <t>CUST100758</t>
  </si>
  <si>
    <t>CUST100759</t>
  </si>
  <si>
    <t>CUST100760</t>
  </si>
  <si>
    <t>CUST100761</t>
  </si>
  <si>
    <t>CUST100762</t>
  </si>
  <si>
    <t>CUST100763</t>
  </si>
  <si>
    <t>CUST100764</t>
  </si>
  <si>
    <t>CUST100765</t>
  </si>
  <si>
    <t>CUST100766</t>
  </si>
  <si>
    <t>CUST100767</t>
  </si>
  <si>
    <t>CUST100768</t>
  </si>
  <si>
    <t>CUST100769</t>
  </si>
  <si>
    <t>CUST100770</t>
  </si>
  <si>
    <t>CUST100771</t>
  </si>
  <si>
    <t>CUST100772</t>
  </si>
  <si>
    <t>CUST100773</t>
  </si>
  <si>
    <t>CUST100774</t>
  </si>
  <si>
    <t>CUST100775</t>
  </si>
  <si>
    <t>CUST100776</t>
  </si>
  <si>
    <t>CUST100777</t>
  </si>
  <si>
    <t>CUST100778</t>
  </si>
  <si>
    <t>CUST100779</t>
  </si>
  <si>
    <t>CUST100780</t>
  </si>
  <si>
    <t>CUST100781</t>
  </si>
  <si>
    <t>CUST100782</t>
  </si>
  <si>
    <t>CUST100783</t>
  </si>
  <si>
    <t>CUST100784</t>
  </si>
  <si>
    <t>CUST100785</t>
  </si>
  <si>
    <t>CUST100786</t>
  </si>
  <si>
    <t>CUST100787</t>
  </si>
  <si>
    <t>CUST100788</t>
  </si>
  <si>
    <t>CUST100789</t>
  </si>
  <si>
    <t>CUST100790</t>
  </si>
  <si>
    <t>CUST100791</t>
  </si>
  <si>
    <t>CUST100792</t>
  </si>
  <si>
    <t>CUST100793</t>
  </si>
  <si>
    <t>CUST100794</t>
  </si>
  <si>
    <t>CUST100795</t>
  </si>
  <si>
    <t>CUST100796</t>
  </si>
  <si>
    <t>CUST100797</t>
  </si>
  <si>
    <t>CUST100798</t>
  </si>
  <si>
    <t>CUST100799</t>
  </si>
  <si>
    <t>CUST100800</t>
  </si>
  <si>
    <t>CUST100801</t>
  </si>
  <si>
    <t>CUST100802</t>
  </si>
  <si>
    <t>CUST100803</t>
  </si>
  <si>
    <t>CUST100804</t>
  </si>
  <si>
    <t>CUST100805</t>
  </si>
  <si>
    <t>CUST100806</t>
  </si>
  <si>
    <t>CUST100807</t>
  </si>
  <si>
    <t>CUST100808</t>
  </si>
  <si>
    <t>CUST100809</t>
  </si>
  <si>
    <t>CUST100810</t>
  </si>
  <si>
    <t>CUST100811</t>
  </si>
  <si>
    <t>CUST100812</t>
  </si>
  <si>
    <t>CUST100813</t>
  </si>
  <si>
    <t>CUST100814</t>
  </si>
  <si>
    <t>CUST100815</t>
  </si>
  <si>
    <t>CUST100816</t>
  </si>
  <si>
    <t>CUST100817</t>
  </si>
  <si>
    <t>CUST100818</t>
  </si>
  <si>
    <t>CUST100819</t>
  </si>
  <si>
    <t>CUST100820</t>
  </si>
  <si>
    <t>CUST100821</t>
  </si>
  <si>
    <t>CUST100822</t>
  </si>
  <si>
    <t>CUST100823</t>
  </si>
  <si>
    <t>CUST100824</t>
  </si>
  <si>
    <t>CUST100825</t>
  </si>
  <si>
    <t>CUST100826</t>
  </si>
  <si>
    <t>CUST100827</t>
  </si>
  <si>
    <t>CUST100828</t>
  </si>
  <si>
    <t>CUST100829</t>
  </si>
  <si>
    <t>CUST100830</t>
  </si>
  <si>
    <t>CUST100831</t>
  </si>
  <si>
    <t>CUST100832</t>
  </si>
  <si>
    <t>CUST100833</t>
  </si>
  <si>
    <t>CUST100834</t>
  </si>
  <si>
    <t>CUST100835</t>
  </si>
  <si>
    <t>CUST100836</t>
  </si>
  <si>
    <t>CUST100837</t>
  </si>
  <si>
    <t>CUST100838</t>
  </si>
  <si>
    <t>CUST100839</t>
  </si>
  <si>
    <t>CUST100840</t>
  </si>
  <si>
    <t>CUST100841</t>
  </si>
  <si>
    <t>CUST100842</t>
  </si>
  <si>
    <t>CUST100843</t>
  </si>
  <si>
    <t>CUST100844</t>
  </si>
  <si>
    <t>CUST100845</t>
  </si>
  <si>
    <t>CUST100846</t>
  </si>
  <si>
    <t>CUST100847</t>
  </si>
  <si>
    <t>CUST100848</t>
  </si>
  <si>
    <t>CUST100849</t>
  </si>
  <si>
    <t>CUST100850</t>
  </si>
  <si>
    <t>CUST100851</t>
  </si>
  <si>
    <t>CUST100852</t>
  </si>
  <si>
    <t>CUST100853</t>
  </si>
  <si>
    <t>CUST100854</t>
  </si>
  <si>
    <t>CUST100855</t>
  </si>
  <si>
    <t>CUST100856</t>
  </si>
  <si>
    <t>CUST100857</t>
  </si>
  <si>
    <t>CUST100858</t>
  </si>
  <si>
    <t>CUST100859</t>
  </si>
  <si>
    <t>CUST100860</t>
  </si>
  <si>
    <t>CUST100861</t>
  </si>
  <si>
    <t>CUST100862</t>
  </si>
  <si>
    <t>CUST100863</t>
  </si>
  <si>
    <t>CUST100864</t>
  </si>
  <si>
    <t>CUST100865</t>
  </si>
  <si>
    <t>CUST100866</t>
  </si>
  <si>
    <t>CUST100867</t>
  </si>
  <si>
    <t>CUST100868</t>
  </si>
  <si>
    <t>CUST100869</t>
  </si>
  <si>
    <t>CUST100870</t>
  </si>
  <si>
    <t>CUST100871</t>
  </si>
  <si>
    <t>CUST100872</t>
  </si>
  <si>
    <t>CUST100873</t>
  </si>
  <si>
    <t>CUST100874</t>
  </si>
  <si>
    <t>CUST100875</t>
  </si>
  <si>
    <t>CUST100876</t>
  </si>
  <si>
    <t>CUST100877</t>
  </si>
  <si>
    <t>CUST100878</t>
  </si>
  <si>
    <t>CUST100879</t>
  </si>
  <si>
    <t>CUST100880</t>
  </si>
  <si>
    <t>CUST100881</t>
  </si>
  <si>
    <t>CUST100882</t>
  </si>
  <si>
    <t>CUST100883</t>
  </si>
  <si>
    <t>CUST100884</t>
  </si>
  <si>
    <t>CUST100885</t>
  </si>
  <si>
    <t>CUST100886</t>
  </si>
  <si>
    <t>CUST100887</t>
  </si>
  <si>
    <t>CUST100888</t>
  </si>
  <si>
    <t>CUST100889</t>
  </si>
  <si>
    <t>CUST100890</t>
  </si>
  <si>
    <t>CUST100891</t>
  </si>
  <si>
    <t>CUST100892</t>
  </si>
  <si>
    <t>CUST100893</t>
  </si>
  <si>
    <t>CUST100894</t>
  </si>
  <si>
    <t>CUST100895</t>
  </si>
  <si>
    <t>CUST100896</t>
  </si>
  <si>
    <t>CUST100897</t>
  </si>
  <si>
    <t>CUST100898</t>
  </si>
  <si>
    <t>CUST100899</t>
  </si>
  <si>
    <t>CUST100900</t>
  </si>
  <si>
    <t>CUST100901</t>
  </si>
  <si>
    <t>CUST100902</t>
  </si>
  <si>
    <t>CUST100903</t>
  </si>
  <si>
    <t>CUST100904</t>
  </si>
  <si>
    <t>CUST100905</t>
  </si>
  <si>
    <t>CUST100906</t>
  </si>
  <si>
    <t>CUST100907</t>
  </si>
  <si>
    <t>CUST100908</t>
  </si>
  <si>
    <t>CUST100909</t>
  </si>
  <si>
    <t>CUST100910</t>
  </si>
  <si>
    <t>CUST100911</t>
  </si>
  <si>
    <t>CUST100912</t>
  </si>
  <si>
    <t>CUST100913</t>
  </si>
  <si>
    <t>CUST100914</t>
  </si>
  <si>
    <t>CUST100915</t>
  </si>
  <si>
    <t>CUST100916</t>
  </si>
  <si>
    <t>CUST100917</t>
  </si>
  <si>
    <t>CUST100918</t>
  </si>
  <si>
    <t>CUST100919</t>
  </si>
  <si>
    <t>CUST100920</t>
  </si>
  <si>
    <t>CUST100921</t>
  </si>
  <si>
    <t>CUST100922</t>
  </si>
  <si>
    <t>CUST100923</t>
  </si>
  <si>
    <t>CUST100924</t>
  </si>
  <si>
    <t>CUST100925</t>
  </si>
  <si>
    <t>CUST100926</t>
  </si>
  <si>
    <t>CUST100927</t>
  </si>
  <si>
    <t>CUST100928</t>
  </si>
  <si>
    <t>CUST100929</t>
  </si>
  <si>
    <t>CUST100930</t>
  </si>
  <si>
    <t>CUST100931</t>
  </si>
  <si>
    <t>CUST100932</t>
  </si>
  <si>
    <t>CUST100933</t>
  </si>
  <si>
    <t>CUST100934</t>
  </si>
  <si>
    <t>CUST100935</t>
  </si>
  <si>
    <t>CUST100936</t>
  </si>
  <si>
    <t>CUST100937</t>
  </si>
  <si>
    <t>CUST100938</t>
  </si>
  <si>
    <t>CUST100939</t>
  </si>
  <si>
    <t>CUST100940</t>
  </si>
  <si>
    <t>CUST100941</t>
  </si>
  <si>
    <t>CUST100942</t>
  </si>
  <si>
    <t>CUST100943</t>
  </si>
  <si>
    <t>CUST100944</t>
  </si>
  <si>
    <t>CUST100945</t>
  </si>
  <si>
    <t>CUST100946</t>
  </si>
  <si>
    <t>CUST100947</t>
  </si>
  <si>
    <t>CUST100948</t>
  </si>
  <si>
    <t>CUST100949</t>
  </si>
  <si>
    <t>CUST100950</t>
  </si>
  <si>
    <t>CUST100951</t>
  </si>
  <si>
    <t>CUST100952</t>
  </si>
  <si>
    <t>CUST100953</t>
  </si>
  <si>
    <t>CUST100954</t>
  </si>
  <si>
    <t>CUST100955</t>
  </si>
  <si>
    <t>CUST100956</t>
  </si>
  <si>
    <t>CUST100957</t>
  </si>
  <si>
    <t>CUST100958</t>
  </si>
  <si>
    <t>CUST100959</t>
  </si>
  <si>
    <t>CUST100960</t>
  </si>
  <si>
    <t>CUST100961</t>
  </si>
  <si>
    <t>CUST100962</t>
  </si>
  <si>
    <t>CUST100963</t>
  </si>
  <si>
    <t>CUST100964</t>
  </si>
  <si>
    <t>CUST100965</t>
  </si>
  <si>
    <t>CUST100966</t>
  </si>
  <si>
    <t>CUST100967</t>
  </si>
  <si>
    <t>CUST100968</t>
  </si>
  <si>
    <t>CUST100969</t>
  </si>
  <si>
    <t>CUST100970</t>
  </si>
  <si>
    <t>CUST100971</t>
  </si>
  <si>
    <t>CUST100972</t>
  </si>
  <si>
    <t>CUST100973</t>
  </si>
  <si>
    <t>CUST100974</t>
  </si>
  <si>
    <t>CUST100975</t>
  </si>
  <si>
    <t>CUST100976</t>
  </si>
  <si>
    <t>CUST100977</t>
  </si>
  <si>
    <t>CUST100978</t>
  </si>
  <si>
    <t>CUST100979</t>
  </si>
  <si>
    <t>CUST100980</t>
  </si>
  <si>
    <t>CUST100981</t>
  </si>
  <si>
    <t>CUST100982</t>
  </si>
  <si>
    <t>CUST100983</t>
  </si>
  <si>
    <t>CUST100984</t>
  </si>
  <si>
    <t>CUST100985</t>
  </si>
  <si>
    <t>CUST100986</t>
  </si>
  <si>
    <t>CUST100987</t>
  </si>
  <si>
    <t>CUST100988</t>
  </si>
  <si>
    <t>CUST100989</t>
  </si>
  <si>
    <t>CUST100990</t>
  </si>
  <si>
    <t>CUST100991</t>
  </si>
  <si>
    <t>CUST100992</t>
  </si>
  <si>
    <t>CUST100993</t>
  </si>
  <si>
    <t>CUST100994</t>
  </si>
  <si>
    <t>CUST100995</t>
  </si>
  <si>
    <t>CUST100996</t>
  </si>
  <si>
    <t>CUST100997</t>
  </si>
  <si>
    <t>CUST100998</t>
  </si>
  <si>
    <t>CUST100999</t>
  </si>
  <si>
    <t>CUST101000</t>
  </si>
  <si>
    <t>CUST101001</t>
  </si>
  <si>
    <t>CUST101002</t>
  </si>
  <si>
    <t>CUST101003</t>
  </si>
  <si>
    <t>CUST101004</t>
  </si>
  <si>
    <t>CUST101005</t>
  </si>
  <si>
    <t>CUST101006</t>
  </si>
  <si>
    <t>CUST101007</t>
  </si>
  <si>
    <t>CUST101008</t>
  </si>
  <si>
    <t>CUST101009</t>
  </si>
  <si>
    <t>CUST101010</t>
  </si>
  <si>
    <t>CUST101011</t>
  </si>
  <si>
    <t>CUST101012</t>
  </si>
  <si>
    <t>CUST101013</t>
  </si>
  <si>
    <t>CUST101014</t>
  </si>
  <si>
    <t>CUST101015</t>
  </si>
  <si>
    <t>CUST101016</t>
  </si>
  <si>
    <t>CUST101017</t>
  </si>
  <si>
    <t>CUST101018</t>
  </si>
  <si>
    <t>CUST101019</t>
  </si>
  <si>
    <t>CUST101020</t>
  </si>
  <si>
    <t>CUST101021</t>
  </si>
  <si>
    <t>CUST101022</t>
  </si>
  <si>
    <t>CUST101023</t>
  </si>
  <si>
    <t>CUST101024</t>
  </si>
  <si>
    <t>CUST101025</t>
  </si>
  <si>
    <t>CUST101026</t>
  </si>
  <si>
    <t>CUST101027</t>
  </si>
  <si>
    <t>CUST101028</t>
  </si>
  <si>
    <t>CUST101029</t>
  </si>
  <si>
    <t>CUST101030</t>
  </si>
  <si>
    <t>CUST101031</t>
  </si>
  <si>
    <t>CUST101032</t>
  </si>
  <si>
    <t>CUST101033</t>
  </si>
  <si>
    <t>CUST101034</t>
  </si>
  <si>
    <t>CUST101035</t>
  </si>
  <si>
    <t>CUST101036</t>
  </si>
  <si>
    <t>CUST101037</t>
  </si>
  <si>
    <t>CUST101038</t>
  </si>
  <si>
    <t>CUST101039</t>
  </si>
  <si>
    <t>CUST101040</t>
  </si>
  <si>
    <t>CUST101041</t>
  </si>
  <si>
    <t>CUST101042</t>
  </si>
  <si>
    <t>CUST101043</t>
  </si>
  <si>
    <t>CUST101044</t>
  </si>
  <si>
    <t>CUST101045</t>
  </si>
  <si>
    <t>CUST101046</t>
  </si>
  <si>
    <t>CUST101047</t>
  </si>
  <si>
    <t>CUST101048</t>
  </si>
  <si>
    <t>CUST101049</t>
  </si>
  <si>
    <t>CUST101050</t>
  </si>
  <si>
    <t>CUST101051</t>
  </si>
  <si>
    <t>CUST101052</t>
  </si>
  <si>
    <t>CUST101053</t>
  </si>
  <si>
    <t>CUST101054</t>
  </si>
  <si>
    <t>CUST101055</t>
  </si>
  <si>
    <t>CUST101056</t>
  </si>
  <si>
    <t>CUST101057</t>
  </si>
  <si>
    <t>CUST101058</t>
  </si>
  <si>
    <t>CUST101059</t>
  </si>
  <si>
    <t>CUST101060</t>
  </si>
  <si>
    <t>CUST101061</t>
  </si>
  <si>
    <t>CUST101062</t>
  </si>
  <si>
    <t>CUST101063</t>
  </si>
  <si>
    <t>CUST101064</t>
  </si>
  <si>
    <t>CUST101065</t>
  </si>
  <si>
    <t>CUST101066</t>
  </si>
  <si>
    <t>CUST101067</t>
  </si>
  <si>
    <t>CUST101068</t>
  </si>
  <si>
    <t>CUST101069</t>
  </si>
  <si>
    <t>CUST101070</t>
  </si>
  <si>
    <t>CUST101071</t>
  </si>
  <si>
    <t>CUST101072</t>
  </si>
  <si>
    <t>CUST101073</t>
  </si>
  <si>
    <t>CUST101074</t>
  </si>
  <si>
    <t>CUST101075</t>
  </si>
  <si>
    <t>CUST101076</t>
  </si>
  <si>
    <t>CUST101077</t>
  </si>
  <si>
    <t>CUST101078</t>
  </si>
  <si>
    <t>CUST101079</t>
  </si>
  <si>
    <t>CUST101080</t>
  </si>
  <si>
    <t>CUST101081</t>
  </si>
  <si>
    <t>CUST101082</t>
  </si>
  <si>
    <t>CUST101083</t>
  </si>
  <si>
    <t>CUST101084</t>
  </si>
  <si>
    <t>CUST101085</t>
  </si>
  <si>
    <t>CUST101086</t>
  </si>
  <si>
    <t>CUST101087</t>
  </si>
  <si>
    <t>CUST101088</t>
  </si>
  <si>
    <t>CUST101089</t>
  </si>
  <si>
    <t>CUST101090</t>
  </si>
  <si>
    <t>CUST101091</t>
  </si>
  <si>
    <t>CUST101092</t>
  </si>
  <si>
    <t>CUST101093</t>
  </si>
  <si>
    <t>CUST101094</t>
  </si>
  <si>
    <t>CUST101095</t>
  </si>
  <si>
    <t>CUST101096</t>
  </si>
  <si>
    <t>CUST101097</t>
  </si>
  <si>
    <t>CUST101098</t>
  </si>
  <si>
    <t>CUST101099</t>
  </si>
  <si>
    <t>CUST101100</t>
  </si>
  <si>
    <t>CUST101101</t>
  </si>
  <si>
    <t>CUST101102</t>
  </si>
  <si>
    <t>CUST101103</t>
  </si>
  <si>
    <t>CUST101104</t>
  </si>
  <si>
    <t>CUST101105</t>
  </si>
  <si>
    <t>CUST101106</t>
  </si>
  <si>
    <t>CUST101107</t>
  </si>
  <si>
    <t>CUST101108</t>
  </si>
  <si>
    <t>CUST101109</t>
  </si>
  <si>
    <t>CUST101110</t>
  </si>
  <si>
    <t>CUST101111</t>
  </si>
  <si>
    <t>CUST101112</t>
  </si>
  <si>
    <t>CUST101113</t>
  </si>
  <si>
    <t>CUST101114</t>
  </si>
  <si>
    <t>CUST101115</t>
  </si>
  <si>
    <t>CUST101116</t>
  </si>
  <si>
    <t>CUST101117</t>
  </si>
  <si>
    <t>CUST101118</t>
  </si>
  <si>
    <t>CUST101119</t>
  </si>
  <si>
    <t>CUST101120</t>
  </si>
  <si>
    <t>CUST101121</t>
  </si>
  <si>
    <t>CUST101122</t>
  </si>
  <si>
    <t>CUST101123</t>
  </si>
  <si>
    <t>CUST101124</t>
  </si>
  <si>
    <t>CUST101125</t>
  </si>
  <si>
    <t>CUST101126</t>
  </si>
  <si>
    <t>CUST101127</t>
  </si>
  <si>
    <t>CUST101128</t>
  </si>
  <si>
    <t>CUST101129</t>
  </si>
  <si>
    <t>CUST101130</t>
  </si>
  <si>
    <t>CUST101131</t>
  </si>
  <si>
    <t>CUST101132</t>
  </si>
  <si>
    <t>CUST101133</t>
  </si>
  <si>
    <t>CUST101134</t>
  </si>
  <si>
    <t>CUST101135</t>
  </si>
  <si>
    <t>CUST101136</t>
  </si>
  <si>
    <t>CUST101137</t>
  </si>
  <si>
    <t>CUST101138</t>
  </si>
  <si>
    <t>CUST101139</t>
  </si>
  <si>
    <t>CUST101140</t>
  </si>
  <si>
    <t>CUST101141</t>
  </si>
  <si>
    <t>CUST101142</t>
  </si>
  <si>
    <t>CUST101143</t>
  </si>
  <si>
    <t>CUST101144</t>
  </si>
  <si>
    <t>CUST101145</t>
  </si>
  <si>
    <t>CUST101146</t>
  </si>
  <si>
    <t>CUST101147</t>
  </si>
  <si>
    <t>CUST101148</t>
  </si>
  <si>
    <t>CUST101149</t>
  </si>
  <si>
    <t>CUST101150</t>
  </si>
  <si>
    <t>CUST101151</t>
  </si>
  <si>
    <t>CUST101152</t>
  </si>
  <si>
    <t>CUST101153</t>
  </si>
  <si>
    <t>CUST101154</t>
  </si>
  <si>
    <t>CUST101155</t>
  </si>
  <si>
    <t>CUST101156</t>
  </si>
  <si>
    <t>CUST101157</t>
  </si>
  <si>
    <t>CUST101158</t>
  </si>
  <si>
    <t>CUST101159</t>
  </si>
  <si>
    <t>CUST101160</t>
  </si>
  <si>
    <t>CUST101161</t>
  </si>
  <si>
    <t>CUST101162</t>
  </si>
  <si>
    <t>CUST101163</t>
  </si>
  <si>
    <t>CUST101164</t>
  </si>
  <si>
    <t>CUST101165</t>
  </si>
  <si>
    <t>CUST101166</t>
  </si>
  <si>
    <t>CUST101167</t>
  </si>
  <si>
    <t>CUST101168</t>
  </si>
  <si>
    <t>CUST101169</t>
  </si>
  <si>
    <t>CUST101170</t>
  </si>
  <si>
    <t>CUST101171</t>
  </si>
  <si>
    <t>CUST101172</t>
  </si>
  <si>
    <t>CUST101173</t>
  </si>
  <si>
    <t>CUST101174</t>
  </si>
  <si>
    <t>CUST101175</t>
  </si>
  <si>
    <t>CUST101176</t>
  </si>
  <si>
    <t>CUST101177</t>
  </si>
  <si>
    <t>CUST101178</t>
  </si>
  <si>
    <t>CUST101179</t>
  </si>
  <si>
    <t>CUST101180</t>
  </si>
  <si>
    <t>CUST101181</t>
  </si>
  <si>
    <t>CUST101182</t>
  </si>
  <si>
    <t>CUST101183</t>
  </si>
  <si>
    <t>CUST101184</t>
  </si>
  <si>
    <t>CUST101185</t>
  </si>
  <si>
    <t>CUST101186</t>
  </si>
  <si>
    <t>CUST101187</t>
  </si>
  <si>
    <t>CUST101188</t>
  </si>
  <si>
    <t>CUST101189</t>
  </si>
  <si>
    <t>CUST101190</t>
  </si>
  <si>
    <t>CUST101191</t>
  </si>
  <si>
    <t>CUST101192</t>
  </si>
  <si>
    <t>CUST101193</t>
  </si>
  <si>
    <t>CUST101194</t>
  </si>
  <si>
    <t>CUST101195</t>
  </si>
  <si>
    <t>CUST101196</t>
  </si>
  <si>
    <t>CUST101197</t>
  </si>
  <si>
    <t>CUST101198</t>
  </si>
  <si>
    <t>CUST101199</t>
  </si>
  <si>
    <t>CUST101200</t>
  </si>
  <si>
    <t>CUST101201</t>
  </si>
  <si>
    <t>CUST101202</t>
  </si>
  <si>
    <t>CUST101203</t>
  </si>
  <si>
    <t>CUST101204</t>
  </si>
  <si>
    <t>CUST101205</t>
  </si>
  <si>
    <t>CUST101206</t>
  </si>
  <si>
    <t>CUST101207</t>
  </si>
  <si>
    <t>CUST101208</t>
  </si>
  <si>
    <t>CUST101209</t>
  </si>
  <si>
    <t>CUST101210</t>
  </si>
  <si>
    <t>CUST101211</t>
  </si>
  <si>
    <t>CUST101212</t>
  </si>
  <si>
    <t>CUST101213</t>
  </si>
  <si>
    <t>CUST101214</t>
  </si>
  <si>
    <t>CUST101215</t>
  </si>
  <si>
    <t>CUST101216</t>
  </si>
  <si>
    <t>CUST101217</t>
  </si>
  <si>
    <t>CUST101218</t>
  </si>
  <si>
    <t>CUST101219</t>
  </si>
  <si>
    <t>CUST101220</t>
  </si>
  <si>
    <t>CUST101221</t>
  </si>
  <si>
    <t>CUST101222</t>
  </si>
  <si>
    <t>CUST101223</t>
  </si>
  <si>
    <t>CUST101224</t>
  </si>
  <si>
    <t>CUST101225</t>
  </si>
  <si>
    <t>CUST101226</t>
  </si>
  <si>
    <t>CUST101227</t>
  </si>
  <si>
    <t>CUST101228</t>
  </si>
  <si>
    <t>CUST101229</t>
  </si>
  <si>
    <t>CUST101230</t>
  </si>
  <si>
    <t>CUST101231</t>
  </si>
  <si>
    <t>CUST101232</t>
  </si>
  <si>
    <t>CUST101233</t>
  </si>
  <si>
    <t>CUST101234</t>
  </si>
  <si>
    <t>CUST101235</t>
  </si>
  <si>
    <t>CUST101236</t>
  </si>
  <si>
    <t>CUST101237</t>
  </si>
  <si>
    <t>CUST101238</t>
  </si>
  <si>
    <t>CUST101239</t>
  </si>
  <si>
    <t>CUST101240</t>
  </si>
  <si>
    <t>CUST101241</t>
  </si>
  <si>
    <t>CUST101242</t>
  </si>
  <si>
    <t>CUST101243</t>
  </si>
  <si>
    <t>CUST101244</t>
  </si>
  <si>
    <t>CUST101245</t>
  </si>
  <si>
    <t>CUST101246</t>
  </si>
  <si>
    <t>CUST101247</t>
  </si>
  <si>
    <t>CUST101248</t>
  </si>
  <si>
    <t>CUST101249</t>
  </si>
  <si>
    <t>CUST101250</t>
  </si>
  <si>
    <t>CUST101251</t>
  </si>
  <si>
    <t>CUST101252</t>
  </si>
  <si>
    <t>CUST101253</t>
  </si>
  <si>
    <t>CUST101254</t>
  </si>
  <si>
    <t>CUST101255</t>
  </si>
  <si>
    <t>CUST101256</t>
  </si>
  <si>
    <t>CUST101257</t>
  </si>
  <si>
    <t>CUST101258</t>
  </si>
  <si>
    <t>CUST101259</t>
  </si>
  <si>
    <t>CUST101260</t>
  </si>
  <si>
    <t>CUST101261</t>
  </si>
  <si>
    <t>CUST101262</t>
  </si>
  <si>
    <t>CUST101263</t>
  </si>
  <si>
    <t>CUST101264</t>
  </si>
  <si>
    <t>CUST101265</t>
  </si>
  <si>
    <t>CUST101266</t>
  </si>
  <si>
    <t>CUST101267</t>
  </si>
  <si>
    <t>CUST101268</t>
  </si>
  <si>
    <t>CUST101269</t>
  </si>
  <si>
    <t>CUST101270</t>
  </si>
  <si>
    <t>CUST101271</t>
  </si>
  <si>
    <t>CUST101272</t>
  </si>
  <si>
    <t>CUST101273</t>
  </si>
  <si>
    <t>CUST101274</t>
  </si>
  <si>
    <t>CUST101275</t>
  </si>
  <si>
    <t>CUST101276</t>
  </si>
  <si>
    <t>CUST101277</t>
  </si>
  <si>
    <t>CUST101278</t>
  </si>
  <si>
    <t>CUST101279</t>
  </si>
  <si>
    <t>CUST101280</t>
  </si>
  <si>
    <t>CUST101281</t>
  </si>
  <si>
    <t>CUST101282</t>
  </si>
  <si>
    <t>CUST101283</t>
  </si>
  <si>
    <t>CUST101284</t>
  </si>
  <si>
    <t>CUST101285</t>
  </si>
  <si>
    <t>CUST101286</t>
  </si>
  <si>
    <t>CUST101287</t>
  </si>
  <si>
    <t>CUST101288</t>
  </si>
  <si>
    <t>CUST101289</t>
  </si>
  <si>
    <t>CUST101290</t>
  </si>
  <si>
    <t>CUST101291</t>
  </si>
  <si>
    <t>CUST101292</t>
  </si>
  <si>
    <t>CUST101293</t>
  </si>
  <si>
    <t>CUST101294</t>
  </si>
  <si>
    <t>CUST101295</t>
  </si>
  <si>
    <t>CUST101296</t>
  </si>
  <si>
    <t>CUST101297</t>
  </si>
  <si>
    <t>CUST101298</t>
  </si>
  <si>
    <t>CUST101299</t>
  </si>
  <si>
    <t>CUST101300</t>
  </si>
  <si>
    <t>CUST101301</t>
  </si>
  <si>
    <t>CUST101302</t>
  </si>
  <si>
    <t>CUST101303</t>
  </si>
  <si>
    <t>CUST101304</t>
  </si>
  <si>
    <t>CUST101305</t>
  </si>
  <si>
    <t>CUST101306</t>
  </si>
  <si>
    <t>CUST101307</t>
  </si>
  <si>
    <t>CUST101308</t>
  </si>
  <si>
    <t>CUST101309</t>
  </si>
  <si>
    <t>CUST101310</t>
  </si>
  <si>
    <t>CUST101311</t>
  </si>
  <si>
    <t>CUST101312</t>
  </si>
  <si>
    <t>CUST101313</t>
  </si>
  <si>
    <t>CUST101314</t>
  </si>
  <si>
    <t>CUST101315</t>
  </si>
  <si>
    <t>CUST101316</t>
  </si>
  <si>
    <t>CUST101317</t>
  </si>
  <si>
    <t>CUST101318</t>
  </si>
  <si>
    <t>CUST101319</t>
  </si>
  <si>
    <t>CUST101320</t>
  </si>
  <si>
    <t>CUST101321</t>
  </si>
  <si>
    <t>CUST101322</t>
  </si>
  <si>
    <t>CUST101323</t>
  </si>
  <si>
    <t>CUST101324</t>
  </si>
  <si>
    <t>CUST101325</t>
  </si>
  <si>
    <t>CUST101326</t>
  </si>
  <si>
    <t>CUST101327</t>
  </si>
  <si>
    <t>CUST101328</t>
  </si>
  <si>
    <t>CUST101329</t>
  </si>
  <si>
    <t>CUST101330</t>
  </si>
  <si>
    <t>CUST101331</t>
  </si>
  <si>
    <t>CUST101332</t>
  </si>
  <si>
    <t>CUST101333</t>
  </si>
  <si>
    <t>CUST101334</t>
  </si>
  <si>
    <t>CUST101335</t>
  </si>
  <si>
    <t>CUST101336</t>
  </si>
  <si>
    <t>CUST101337</t>
  </si>
  <si>
    <t>CUST101338</t>
  </si>
  <si>
    <t>CUST101339</t>
  </si>
  <si>
    <t>CUST101340</t>
  </si>
  <si>
    <t>CUST101341</t>
  </si>
  <si>
    <t>CUST101342</t>
  </si>
  <si>
    <t>CUST101343</t>
  </si>
  <si>
    <t>CUST101344</t>
  </si>
  <si>
    <t>CUST101345</t>
  </si>
  <si>
    <t>CUST101346</t>
  </si>
  <si>
    <t>CUST101347</t>
  </si>
  <si>
    <t>CUST101348</t>
  </si>
  <si>
    <t>CUST101349</t>
  </si>
  <si>
    <t>CUST101350</t>
  </si>
  <si>
    <t>CUST101351</t>
  </si>
  <si>
    <t>CUST101352</t>
  </si>
  <si>
    <t>CUST101353</t>
  </si>
  <si>
    <t>CUST101354</t>
  </si>
  <si>
    <t>CUST101355</t>
  </si>
  <si>
    <t>CUST101356</t>
  </si>
  <si>
    <t>CUST101357</t>
  </si>
  <si>
    <t>CUST101358</t>
  </si>
  <si>
    <t>CUST101359</t>
  </si>
  <si>
    <t>CUST101360</t>
  </si>
  <si>
    <t>CUST101361</t>
  </si>
  <si>
    <t>CUST101362</t>
  </si>
  <si>
    <t>CUST101363</t>
  </si>
  <si>
    <t>CUST101364</t>
  </si>
  <si>
    <t>CUST101365</t>
  </si>
  <si>
    <t>CUST101366</t>
  </si>
  <si>
    <t>CUST101367</t>
  </si>
  <si>
    <t>CUST101368</t>
  </si>
  <si>
    <t>CUST101369</t>
  </si>
  <si>
    <t>CUST101370</t>
  </si>
  <si>
    <t>CUST101371</t>
  </si>
  <si>
    <t>CUST101372</t>
  </si>
  <si>
    <t>CUST101373</t>
  </si>
  <si>
    <t>CUST101374</t>
  </si>
  <si>
    <t>CUST101375</t>
  </si>
  <si>
    <t>CUST101376</t>
  </si>
  <si>
    <t>CUST101377</t>
  </si>
  <si>
    <t>CUST101378</t>
  </si>
  <si>
    <t>CUST101379</t>
  </si>
  <si>
    <t>CUST101380</t>
  </si>
  <si>
    <t>CUST101381</t>
  </si>
  <si>
    <t>CUST101382</t>
  </si>
  <si>
    <t>CUST101383</t>
  </si>
  <si>
    <t>CUST101384</t>
  </si>
  <si>
    <t>CUST101385</t>
  </si>
  <si>
    <t>CUST101386</t>
  </si>
  <si>
    <t>CUST101387</t>
  </si>
  <si>
    <t>CUST101388</t>
  </si>
  <si>
    <t>CUST101389</t>
  </si>
  <si>
    <t>CUST101390</t>
  </si>
  <si>
    <t>CUST101391</t>
  </si>
  <si>
    <t>CUST101392</t>
  </si>
  <si>
    <t>CUST101393</t>
  </si>
  <si>
    <t>CUST101394</t>
  </si>
  <si>
    <t>CUST101395</t>
  </si>
  <si>
    <t>CUST101396</t>
  </si>
  <si>
    <t>CUST101397</t>
  </si>
  <si>
    <t>CUST101398</t>
  </si>
  <si>
    <t>CUST101399</t>
  </si>
  <si>
    <t>CUST101400</t>
  </si>
  <si>
    <t>CUST101401</t>
  </si>
  <si>
    <t>CUST101402</t>
  </si>
  <si>
    <t>CUST101403</t>
  </si>
  <si>
    <t>CUST101404</t>
  </si>
  <si>
    <t>CUST101405</t>
  </si>
  <si>
    <t>CUST101406</t>
  </si>
  <si>
    <t>CUST101407</t>
  </si>
  <si>
    <t>CUST101408</t>
  </si>
  <si>
    <t>CUST101409</t>
  </si>
  <si>
    <t>CUST101410</t>
  </si>
  <si>
    <t>CUST101411</t>
  </si>
  <si>
    <t>CUST101412</t>
  </si>
  <si>
    <t>CUST101413</t>
  </si>
  <si>
    <t>CUST101414</t>
  </si>
  <si>
    <t>CUST101415</t>
  </si>
  <si>
    <t>CUST101416</t>
  </si>
  <si>
    <t>CUST101417</t>
  </si>
  <si>
    <t>CUST101418</t>
  </si>
  <si>
    <t>CUST101419</t>
  </si>
  <si>
    <t>CUST101420</t>
  </si>
  <si>
    <t>CUST101421</t>
  </si>
  <si>
    <t>CUST101422</t>
  </si>
  <si>
    <t>CUST101423</t>
  </si>
  <si>
    <t>CUST101424</t>
  </si>
  <si>
    <t>CUST101425</t>
  </si>
  <si>
    <t>CUST101426</t>
  </si>
  <si>
    <t>CUST101427</t>
  </si>
  <si>
    <t>CUST101428</t>
  </si>
  <si>
    <t>CUST101429</t>
  </si>
  <si>
    <t>CUST101430</t>
  </si>
  <si>
    <t>CUST101431</t>
  </si>
  <si>
    <t>CUST101432</t>
  </si>
  <si>
    <t>CUST101433</t>
  </si>
  <si>
    <t>CUST101434</t>
  </si>
  <si>
    <t>CUST101435</t>
  </si>
  <si>
    <t>CUST101436</t>
  </si>
  <si>
    <t>CUST101437</t>
  </si>
  <si>
    <t>CUST101438</t>
  </si>
  <si>
    <t>CUST101439</t>
  </si>
  <si>
    <t>CUST101440</t>
  </si>
  <si>
    <t>CUST101441</t>
  </si>
  <si>
    <t>CUST101442</t>
  </si>
  <si>
    <t>CUST101443</t>
  </si>
  <si>
    <t>CUST101444</t>
  </si>
  <si>
    <t>CUST101445</t>
  </si>
  <si>
    <t>CUST101446</t>
  </si>
  <si>
    <t>CUST101447</t>
  </si>
  <si>
    <t>CUST101448</t>
  </si>
  <si>
    <t>CUST101449</t>
  </si>
  <si>
    <t>CUST101450</t>
  </si>
  <si>
    <t>CUST101451</t>
  </si>
  <si>
    <t>CUST101452</t>
  </si>
  <si>
    <t>CUST101453</t>
  </si>
  <si>
    <t>CUST101454</t>
  </si>
  <si>
    <t>CUST101455</t>
  </si>
  <si>
    <t>CUST101456</t>
  </si>
  <si>
    <t>CUST101457</t>
  </si>
  <si>
    <t>CUST101458</t>
  </si>
  <si>
    <t>CUST101459</t>
  </si>
  <si>
    <t>CUST101460</t>
  </si>
  <si>
    <t>CUST101461</t>
  </si>
  <si>
    <t>CUST101462</t>
  </si>
  <si>
    <t>CUST101463</t>
  </si>
  <si>
    <t>CUST101464</t>
  </si>
  <si>
    <t>CUST101465</t>
  </si>
  <si>
    <t>CUST101466</t>
  </si>
  <si>
    <t>CUST101467</t>
  </si>
  <si>
    <t>CUST101468</t>
  </si>
  <si>
    <t>CUST101469</t>
  </si>
  <si>
    <t>CUST101470</t>
  </si>
  <si>
    <t>CUST101471</t>
  </si>
  <si>
    <t>CUST101472</t>
  </si>
  <si>
    <t>CUST101473</t>
  </si>
  <si>
    <t>CUST101474</t>
  </si>
  <si>
    <t>CUST101475</t>
  </si>
  <si>
    <t>CUST101476</t>
  </si>
  <si>
    <t>CUST101477</t>
  </si>
  <si>
    <t>CUST101478</t>
  </si>
  <si>
    <t>CUST101479</t>
  </si>
  <si>
    <t>CUST101480</t>
  </si>
  <si>
    <t>CUST101481</t>
  </si>
  <si>
    <t>CUST101482</t>
  </si>
  <si>
    <t>CUST101483</t>
  </si>
  <si>
    <t>CUST101484</t>
  </si>
  <si>
    <t>CUST101485</t>
  </si>
  <si>
    <t>CUST101486</t>
  </si>
  <si>
    <t>CUST101487</t>
  </si>
  <si>
    <t>CUST101488</t>
  </si>
  <si>
    <t>CUST101489</t>
  </si>
  <si>
    <t>CUST101490</t>
  </si>
  <si>
    <t>CUST101491</t>
  </si>
  <si>
    <t>CUST101492</t>
  </si>
  <si>
    <t>CUST101493</t>
  </si>
  <si>
    <t>CUST101494</t>
  </si>
  <si>
    <t>CUST101495</t>
  </si>
  <si>
    <t>CUST101496</t>
  </si>
  <si>
    <t>CUST101497</t>
  </si>
  <si>
    <t>CUST101498</t>
  </si>
  <si>
    <t>CUST101499</t>
  </si>
  <si>
    <t>CUST101500</t>
  </si>
  <si>
    <t>CUST101501</t>
  </si>
  <si>
    <t>CUST101502</t>
  </si>
  <si>
    <t>CUST101503</t>
  </si>
  <si>
    <t>CUST101504</t>
  </si>
  <si>
    <t>CUST101505</t>
  </si>
  <si>
    <t>CUST101506</t>
  </si>
  <si>
    <t>CUST101507</t>
  </si>
  <si>
    <t>CUST101508</t>
  </si>
  <si>
    <t>CUST101509</t>
  </si>
  <si>
    <t>CUST101510</t>
  </si>
  <si>
    <t>CUST101511</t>
  </si>
  <si>
    <t>CUST101512</t>
  </si>
  <si>
    <t>CUST101513</t>
  </si>
  <si>
    <t>CUST101514</t>
  </si>
  <si>
    <t>CUST101515</t>
  </si>
  <si>
    <t>CUST101516</t>
  </si>
  <si>
    <t>CUST101517</t>
  </si>
  <si>
    <t>CUST101518</t>
  </si>
  <si>
    <t>CUST101519</t>
  </si>
  <si>
    <t>CUST101520</t>
  </si>
  <si>
    <t>CUST101521</t>
  </si>
  <si>
    <t>CUST101522</t>
  </si>
  <si>
    <t>CUST101523</t>
  </si>
  <si>
    <t>CUST101524</t>
  </si>
  <si>
    <t>CUST101525</t>
  </si>
  <si>
    <t>CUST101526</t>
  </si>
  <si>
    <t>CUST101527</t>
  </si>
  <si>
    <t>CUST101528</t>
  </si>
  <si>
    <t>CUST101529</t>
  </si>
  <si>
    <t>CUST101530</t>
  </si>
  <si>
    <t>CUST101531</t>
  </si>
  <si>
    <t>CUST101532</t>
  </si>
  <si>
    <t>CUST101533</t>
  </si>
  <si>
    <t>CUST101534</t>
  </si>
  <si>
    <t>CUST101535</t>
  </si>
  <si>
    <t>CUST101536</t>
  </si>
  <si>
    <t>CUST101537</t>
  </si>
  <si>
    <t>CUST101538</t>
  </si>
  <si>
    <t>CUST101539</t>
  </si>
  <si>
    <t>CUST101540</t>
  </si>
  <si>
    <t>CUST101541</t>
  </si>
  <si>
    <t>CUST101542</t>
  </si>
  <si>
    <t>CUST101543</t>
  </si>
  <si>
    <t>CUST101544</t>
  </si>
  <si>
    <t>CUST101545</t>
  </si>
  <si>
    <t>CUST101546</t>
  </si>
  <si>
    <t>CUST101547</t>
  </si>
  <si>
    <t>CUST101548</t>
  </si>
  <si>
    <t>CUST101549</t>
  </si>
  <si>
    <t>CUST101550</t>
  </si>
  <si>
    <t>CUST101551</t>
  </si>
  <si>
    <t>CUST101552</t>
  </si>
  <si>
    <t>CUST101553</t>
  </si>
  <si>
    <t>CUST101554</t>
  </si>
  <si>
    <t>CUST101555</t>
  </si>
  <si>
    <t>CUST101556</t>
  </si>
  <si>
    <t>CUST101557</t>
  </si>
  <si>
    <t>CUST101558</t>
  </si>
  <si>
    <t>CUST101559</t>
  </si>
  <si>
    <t>CUST101560</t>
  </si>
  <si>
    <t>CUST101561</t>
  </si>
  <si>
    <t>CUST101562</t>
  </si>
  <si>
    <t>CUST101563</t>
  </si>
  <si>
    <t>CUST101564</t>
  </si>
  <si>
    <t>CUST101565</t>
  </si>
  <si>
    <t>CUST101566</t>
  </si>
  <si>
    <t>CUST101567</t>
  </si>
  <si>
    <t>CUST101568</t>
  </si>
  <si>
    <t>CUST101569</t>
  </si>
  <si>
    <t>CUST101570</t>
  </si>
  <si>
    <t>CUST101571</t>
  </si>
  <si>
    <t>CUST101572</t>
  </si>
  <si>
    <t>CUST101573</t>
  </si>
  <si>
    <t>CUST101574</t>
  </si>
  <si>
    <t>CUST101575</t>
  </si>
  <si>
    <t>CUST101576</t>
  </si>
  <si>
    <t>CUST101577</t>
  </si>
  <si>
    <t>CUST101578</t>
  </si>
  <si>
    <t>CUST101579</t>
  </si>
  <si>
    <t>CUST101580</t>
  </si>
  <si>
    <t>CUST101581</t>
  </si>
  <si>
    <t>CUST101582</t>
  </si>
  <si>
    <t>CUST101583</t>
  </si>
  <si>
    <t>CUST101584</t>
  </si>
  <si>
    <t>CUST101585</t>
  </si>
  <si>
    <t>CUST101586</t>
  </si>
  <si>
    <t>CUST101587</t>
  </si>
  <si>
    <t>CUST101588</t>
  </si>
  <si>
    <t>CUST101589</t>
  </si>
  <si>
    <t>CUST101590</t>
  </si>
  <si>
    <t>CUST101591</t>
  </si>
  <si>
    <t>CUST101592</t>
  </si>
  <si>
    <t>CUST101593</t>
  </si>
  <si>
    <t>CUST101594</t>
  </si>
  <si>
    <t>CUST101595</t>
  </si>
  <si>
    <t>CUST101596</t>
  </si>
  <si>
    <t>CUST101597</t>
  </si>
  <si>
    <t>CUST101598</t>
  </si>
  <si>
    <t>CUST101599</t>
  </si>
  <si>
    <t>CUST101600</t>
  </si>
  <si>
    <t>CUST101601</t>
  </si>
  <si>
    <t>CUST101602</t>
  </si>
  <si>
    <t>CUST101603</t>
  </si>
  <si>
    <t>CUST101604</t>
  </si>
  <si>
    <t>CUST101605</t>
  </si>
  <si>
    <t>CUST101606</t>
  </si>
  <si>
    <t>CUST101607</t>
  </si>
  <si>
    <t>CUST101608</t>
  </si>
  <si>
    <t>CUST101609</t>
  </si>
  <si>
    <t>CUST101610</t>
  </si>
  <si>
    <t>CUST101611</t>
  </si>
  <si>
    <t>CUST101612</t>
  </si>
  <si>
    <t>CUST101613</t>
  </si>
  <si>
    <t>CUST101614</t>
  </si>
  <si>
    <t>CUST101615</t>
  </si>
  <si>
    <t>CUST101616</t>
  </si>
  <si>
    <t>CUST101617</t>
  </si>
  <si>
    <t>CUST101618</t>
  </si>
  <si>
    <t>CUST101619</t>
  </si>
  <si>
    <t>CUST101620</t>
  </si>
  <si>
    <t>CUST101621</t>
  </si>
  <si>
    <t>CUST101622</t>
  </si>
  <si>
    <t>CUST101623</t>
  </si>
  <si>
    <t>CUST101624</t>
  </si>
  <si>
    <t>CUST101625</t>
  </si>
  <si>
    <t>CUST101626</t>
  </si>
  <si>
    <t>CUST101627</t>
  </si>
  <si>
    <t>CUST101628</t>
  </si>
  <si>
    <t>CUST101629</t>
  </si>
  <si>
    <t>CUST101630</t>
  </si>
  <si>
    <t>CUST101631</t>
  </si>
  <si>
    <t>CUST101632</t>
  </si>
  <si>
    <t>CUST101633</t>
  </si>
  <si>
    <t>CUST101634</t>
  </si>
  <si>
    <t>CUST101635</t>
  </si>
  <si>
    <t>CUST101636</t>
  </si>
  <si>
    <t>CUST101637</t>
  </si>
  <si>
    <t>CUST101638</t>
  </si>
  <si>
    <t>CUST101639</t>
  </si>
  <si>
    <t>CUST101640</t>
  </si>
  <si>
    <t>CUST101641</t>
  </si>
  <si>
    <t>CUST101642</t>
  </si>
  <si>
    <t>CUST101643</t>
  </si>
  <si>
    <t>CUST101644</t>
  </si>
  <si>
    <t>CUST101645</t>
  </si>
  <si>
    <t>CUST101646</t>
  </si>
  <si>
    <t>CUST101647</t>
  </si>
  <si>
    <t>CUST101648</t>
  </si>
  <si>
    <t>CUST101649</t>
  </si>
  <si>
    <t>CUST101650</t>
  </si>
  <si>
    <t>CUST101651</t>
  </si>
  <si>
    <t>CUST101652</t>
  </si>
  <si>
    <t>CUST101653</t>
  </si>
  <si>
    <t>CUST101654</t>
  </si>
  <si>
    <t>CUST101655</t>
  </si>
  <si>
    <t>CUST101656</t>
  </si>
  <si>
    <t>CUST101657</t>
  </si>
  <si>
    <t>CUST101658</t>
  </si>
  <si>
    <t>CUST101659</t>
  </si>
  <si>
    <t>CUST101660</t>
  </si>
  <si>
    <t>CUST101661</t>
  </si>
  <si>
    <t>CUST101662</t>
  </si>
  <si>
    <t>CUST101663</t>
  </si>
  <si>
    <t>CUST101664</t>
  </si>
  <si>
    <t>CUST101665</t>
  </si>
  <si>
    <t>CUST101666</t>
  </si>
  <si>
    <t>CUST101667</t>
  </si>
  <si>
    <t>CUST101668</t>
  </si>
  <si>
    <t>CUST101669</t>
  </si>
  <si>
    <t>CUST101670</t>
  </si>
  <si>
    <t>CUST101671</t>
  </si>
  <si>
    <t>CUST101672</t>
  </si>
  <si>
    <t>CUST101673</t>
  </si>
  <si>
    <t>CUST101674</t>
  </si>
  <si>
    <t>CUST101675</t>
  </si>
  <si>
    <t>CUST101676</t>
  </si>
  <si>
    <t>CUST101677</t>
  </si>
  <si>
    <t>CUST101678</t>
  </si>
  <si>
    <t>CUST101679</t>
  </si>
  <si>
    <t>CUST101680</t>
  </si>
  <si>
    <t>CUST101681</t>
  </si>
  <si>
    <t>CUST101682</t>
  </si>
  <si>
    <t>CUST101683</t>
  </si>
  <si>
    <t>CUST101684</t>
  </si>
  <si>
    <t>CUST101685</t>
  </si>
  <si>
    <t>CUST101686</t>
  </si>
  <si>
    <t>CUST101687</t>
  </si>
  <si>
    <t>CUST101688</t>
  </si>
  <si>
    <t>CUST101689</t>
  </si>
  <si>
    <t>CUST101690</t>
  </si>
  <si>
    <t>CUST101691</t>
  </si>
  <si>
    <t>CUST101692</t>
  </si>
  <si>
    <t>CUST101693</t>
  </si>
  <si>
    <t>CUST101694</t>
  </si>
  <si>
    <t>CUST101695</t>
  </si>
  <si>
    <t>CUST101696</t>
  </si>
  <si>
    <t>CUST101697</t>
  </si>
  <si>
    <t>CUST101698</t>
  </si>
  <si>
    <t>CUST101699</t>
  </si>
  <si>
    <t>CUST101700</t>
  </si>
  <si>
    <t>CUST101701</t>
  </si>
  <si>
    <t>CUST101702</t>
  </si>
  <si>
    <t>CUST101703</t>
  </si>
  <si>
    <t>CUST101704</t>
  </si>
  <si>
    <t>CUST101705</t>
  </si>
  <si>
    <t>CUST101706</t>
  </si>
  <si>
    <t>CUST101707</t>
  </si>
  <si>
    <t>CUST101708</t>
  </si>
  <si>
    <t>CUST101709</t>
  </si>
  <si>
    <t>CUST101710</t>
  </si>
  <si>
    <t>CUST101711</t>
  </si>
  <si>
    <t>CUST101712</t>
  </si>
  <si>
    <t>CUST101713</t>
  </si>
  <si>
    <t>CUST101714</t>
  </si>
  <si>
    <t>CUST101715</t>
  </si>
  <si>
    <t>CUST101716</t>
  </si>
  <si>
    <t>CUST101717</t>
  </si>
  <si>
    <t>CUST101718</t>
  </si>
  <si>
    <t>CUST101719</t>
  </si>
  <si>
    <t>CUST101720</t>
  </si>
  <si>
    <t>CUST101721</t>
  </si>
  <si>
    <t>CUST101722</t>
  </si>
  <si>
    <t>CUST101723</t>
  </si>
  <si>
    <t>CUST101724</t>
  </si>
  <si>
    <t>CUST101725</t>
  </si>
  <si>
    <t>CUST101726</t>
  </si>
  <si>
    <t>CUST101727</t>
  </si>
  <si>
    <t>CUST101728</t>
  </si>
  <si>
    <t>CUST101729</t>
  </si>
  <si>
    <t>CUST101730</t>
  </si>
  <si>
    <t>CUST101731</t>
  </si>
  <si>
    <t>CUST101732</t>
  </si>
  <si>
    <t>CUST101733</t>
  </si>
  <si>
    <t>CUST101734</t>
  </si>
  <si>
    <t>CUST101735</t>
  </si>
  <si>
    <t>CUST101736</t>
  </si>
  <si>
    <t>CUST101737</t>
  </si>
  <si>
    <t>CUST101738</t>
  </si>
  <si>
    <t>CUST101739</t>
  </si>
  <si>
    <t>CUST101740</t>
  </si>
  <si>
    <t>CUST101741</t>
  </si>
  <si>
    <t>CUST101742</t>
  </si>
  <si>
    <t>CUST101743</t>
  </si>
  <si>
    <t>CUST101744</t>
  </si>
  <si>
    <t>CUST101745</t>
  </si>
  <si>
    <t>CUST101746</t>
  </si>
  <si>
    <t>CUST101747</t>
  </si>
  <si>
    <t>CUST101748</t>
  </si>
  <si>
    <t>CUST101749</t>
  </si>
  <si>
    <t>CUST101750</t>
  </si>
  <si>
    <t>CUST101751</t>
  </si>
  <si>
    <t>CUST101752</t>
  </si>
  <si>
    <t>CUST101753</t>
  </si>
  <si>
    <t>CUST101754</t>
  </si>
  <si>
    <t>CUST101755</t>
  </si>
  <si>
    <t>CUST101756</t>
  </si>
  <si>
    <t>CUST101757</t>
  </si>
  <si>
    <t>CUST101758</t>
  </si>
  <si>
    <t>CUST101759</t>
  </si>
  <si>
    <t>CUST101760</t>
  </si>
  <si>
    <t>CUST101761</t>
  </si>
  <si>
    <t>CUST101762</t>
  </si>
  <si>
    <t>CUST101763</t>
  </si>
  <si>
    <t>CUST101764</t>
  </si>
  <si>
    <t>CUST101765</t>
  </si>
  <si>
    <t>CUST101766</t>
  </si>
  <si>
    <t>CUST101767</t>
  </si>
  <si>
    <t>CUST101768</t>
  </si>
  <si>
    <t>CUST101769</t>
  </si>
  <si>
    <t>CUST101770</t>
  </si>
  <si>
    <t>CUST101771</t>
  </si>
  <si>
    <t>CUST101772</t>
  </si>
  <si>
    <t>CUST101773</t>
  </si>
  <si>
    <t>CUST101774</t>
  </si>
  <si>
    <t>CUST101775</t>
  </si>
  <si>
    <t>CUST101776</t>
  </si>
  <si>
    <t>CUST101777</t>
  </si>
  <si>
    <t>CUST101778</t>
  </si>
  <si>
    <t>CUST101779</t>
  </si>
  <si>
    <t>CUST101780</t>
  </si>
  <si>
    <t>CUST101781</t>
  </si>
  <si>
    <t>CUST101782</t>
  </si>
  <si>
    <t>CUST101783</t>
  </si>
  <si>
    <t>CUST101784</t>
  </si>
  <si>
    <t>CUST101785</t>
  </si>
  <si>
    <t>CUST101786</t>
  </si>
  <si>
    <t>CUST101787</t>
  </si>
  <si>
    <t>CUST101788</t>
  </si>
  <si>
    <t>CUST101789</t>
  </si>
  <si>
    <t>CUST101790</t>
  </si>
  <si>
    <t>CUST101791</t>
  </si>
  <si>
    <t>CUST101792</t>
  </si>
  <si>
    <t>CUST101793</t>
  </si>
  <si>
    <t>CUST101794</t>
  </si>
  <si>
    <t>CUST101795</t>
  </si>
  <si>
    <t>CUST101796</t>
  </si>
  <si>
    <t>CUST101797</t>
  </si>
  <si>
    <t>CUST101798</t>
  </si>
  <si>
    <t>CUST101799</t>
  </si>
  <si>
    <t>CUST101800</t>
  </si>
  <si>
    <t>CUST101801</t>
  </si>
  <si>
    <t>CUST101802</t>
  </si>
  <si>
    <t>CUST101803</t>
  </si>
  <si>
    <t>CUST101804</t>
  </si>
  <si>
    <t>CUST101805</t>
  </si>
  <si>
    <t>CUST101806</t>
  </si>
  <si>
    <t>CUST101807</t>
  </si>
  <si>
    <t>CUST101808</t>
  </si>
  <si>
    <t>CUST101809</t>
  </si>
  <si>
    <t>CUST101810</t>
  </si>
  <si>
    <t>CUST101811</t>
  </si>
  <si>
    <t>CUST101812</t>
  </si>
  <si>
    <t>CUST101813</t>
  </si>
  <si>
    <t>CUST101814</t>
  </si>
  <si>
    <t>CUST101815</t>
  </si>
  <si>
    <t>CUST101816</t>
  </si>
  <si>
    <t>CUST101817</t>
  </si>
  <si>
    <t>CUST101818</t>
  </si>
  <si>
    <t>CUST101819</t>
  </si>
  <si>
    <t>CUST101820</t>
  </si>
  <si>
    <t>CUST101821</t>
  </si>
  <si>
    <t>CUST101822</t>
  </si>
  <si>
    <t>CUST101823</t>
  </si>
  <si>
    <t>CUST101824</t>
  </si>
  <si>
    <t>CUST101825</t>
  </si>
  <si>
    <t>CUST101826</t>
  </si>
  <si>
    <t>CUST101827</t>
  </si>
  <si>
    <t>CUST101828</t>
  </si>
  <si>
    <t>CUST101829</t>
  </si>
  <si>
    <t>CUST101830</t>
  </si>
  <si>
    <t>CUST101831</t>
  </si>
  <si>
    <t>CUST101832</t>
  </si>
  <si>
    <t>CUST101833</t>
  </si>
  <si>
    <t>CUST101834</t>
  </si>
  <si>
    <t>CUST101835</t>
  </si>
  <si>
    <t>CUST101836</t>
  </si>
  <si>
    <t>CUST101837</t>
  </si>
  <si>
    <t>CUST101838</t>
  </si>
  <si>
    <t>CUST101839</t>
  </si>
  <si>
    <t>CUST101840</t>
  </si>
  <si>
    <t>CUST101841</t>
  </si>
  <si>
    <t>CUST101842</t>
  </si>
  <si>
    <t>CUST101843</t>
  </si>
  <si>
    <t>CUST101844</t>
  </si>
  <si>
    <t>CUST101845</t>
  </si>
  <si>
    <t>CUST101846</t>
  </si>
  <si>
    <t>CUST101847</t>
  </si>
  <si>
    <t>CUST101848</t>
  </si>
  <si>
    <t>CUST101849</t>
  </si>
  <si>
    <t>CUST101850</t>
  </si>
  <si>
    <t>CUST101851</t>
  </si>
  <si>
    <t>CUST101852</t>
  </si>
  <si>
    <t>CUST101853</t>
  </si>
  <si>
    <t>CUST101854</t>
  </si>
  <si>
    <t>CUST101855</t>
  </si>
  <si>
    <t>CUST101856</t>
  </si>
  <si>
    <t>CUST101857</t>
  </si>
  <si>
    <t>CUST101858</t>
  </si>
  <si>
    <t>CUST101859</t>
  </si>
  <si>
    <t>CUST101860</t>
  </si>
  <si>
    <t>CUST101861</t>
  </si>
  <si>
    <t>CUST101862</t>
  </si>
  <si>
    <t>CUST101863</t>
  </si>
  <si>
    <t>CUST101864</t>
  </si>
  <si>
    <t>CUST101865</t>
  </si>
  <si>
    <t>CUST101866</t>
  </si>
  <si>
    <t>CUST101867</t>
  </si>
  <si>
    <t>CUST101868</t>
  </si>
  <si>
    <t>CUST101869</t>
  </si>
  <si>
    <t>CUST101870</t>
  </si>
  <si>
    <t>CUST101871</t>
  </si>
  <si>
    <t>CUST101872</t>
  </si>
  <si>
    <t>CUST101873</t>
  </si>
  <si>
    <t>CUST101874</t>
  </si>
  <si>
    <t>CUST101875</t>
  </si>
  <si>
    <t>CUST101876</t>
  </si>
  <si>
    <t>CUST101877</t>
  </si>
  <si>
    <t>CUST101878</t>
  </si>
  <si>
    <t>CUST101879</t>
  </si>
  <si>
    <t>CUST101880</t>
  </si>
  <si>
    <t>CUST101881</t>
  </si>
  <si>
    <t>CUST101882</t>
  </si>
  <si>
    <t>CUST101883</t>
  </si>
  <si>
    <t>CUST101884</t>
  </si>
  <si>
    <t>CUST101885</t>
  </si>
  <si>
    <t>CUST101886</t>
  </si>
  <si>
    <t>CUST101887</t>
  </si>
  <si>
    <t>CUST101888</t>
  </si>
  <si>
    <t>CUST101889</t>
  </si>
  <si>
    <t>CUST101890</t>
  </si>
  <si>
    <t>CUST101891</t>
  </si>
  <si>
    <t>CUST101892</t>
  </si>
  <si>
    <t>CUST101893</t>
  </si>
  <si>
    <t>CUST101894</t>
  </si>
  <si>
    <t>CUST101895</t>
  </si>
  <si>
    <t>CUST101896</t>
  </si>
  <si>
    <t>CUST101897</t>
  </si>
  <si>
    <t>CUST101898</t>
  </si>
  <si>
    <t>CUST101899</t>
  </si>
  <si>
    <t>CUST101900</t>
  </si>
  <si>
    <t>CUST101901</t>
  </si>
  <si>
    <t>CUST101902</t>
  </si>
  <si>
    <t>CUST101903</t>
  </si>
  <si>
    <t>CUST101904</t>
  </si>
  <si>
    <t>CUST101905</t>
  </si>
  <si>
    <t>CUST101906</t>
  </si>
  <si>
    <t>CUST101907</t>
  </si>
  <si>
    <t>CUST101908</t>
  </si>
  <si>
    <t>CUST101909</t>
  </si>
  <si>
    <t>CUST101910</t>
  </si>
  <si>
    <t>CUST101911</t>
  </si>
  <si>
    <t>CUST101912</t>
  </si>
  <si>
    <t>CUST101913</t>
  </si>
  <si>
    <t>CUST101914</t>
  </si>
  <si>
    <t>CUST101915</t>
  </si>
  <si>
    <t>CUST101916</t>
  </si>
  <si>
    <t>CUST101917</t>
  </si>
  <si>
    <t>CUST101918</t>
  </si>
  <si>
    <t>CUST101919</t>
  </si>
  <si>
    <t>CUST101920</t>
  </si>
  <si>
    <t>CUST101921</t>
  </si>
  <si>
    <t>CUST101922</t>
  </si>
  <si>
    <t>CUST101923</t>
  </si>
  <si>
    <t>CUST101924</t>
  </si>
  <si>
    <t>CUST101925</t>
  </si>
  <si>
    <t>CUST101926</t>
  </si>
  <si>
    <t>CUST101927</t>
  </si>
  <si>
    <t>CUST101928</t>
  </si>
  <si>
    <t>CUST101929</t>
  </si>
  <si>
    <t>CUST101930</t>
  </si>
  <si>
    <t>CUST101931</t>
  </si>
  <si>
    <t>CUST101932</t>
  </si>
  <si>
    <t>CUST101933</t>
  </si>
  <si>
    <t>CUST101934</t>
  </si>
  <si>
    <t>CUST101935</t>
  </si>
  <si>
    <t>CUST101936</t>
  </si>
  <si>
    <t>CUST101937</t>
  </si>
  <si>
    <t>CUST101938</t>
  </si>
  <si>
    <t>CUST101939</t>
  </si>
  <si>
    <t>CUST101940</t>
  </si>
  <si>
    <t>CUST101941</t>
  </si>
  <si>
    <t>CUST101942</t>
  </si>
  <si>
    <t>CUST101943</t>
  </si>
  <si>
    <t>CUST101944</t>
  </si>
  <si>
    <t>CUST101945</t>
  </si>
  <si>
    <t>CUST101946</t>
  </si>
  <si>
    <t>CUST101947</t>
  </si>
  <si>
    <t>CUST101948</t>
  </si>
  <si>
    <t>CUST101949</t>
  </si>
  <si>
    <t>CUST101950</t>
  </si>
  <si>
    <t>CUST101951</t>
  </si>
  <si>
    <t>CUST101952</t>
  </si>
  <si>
    <t>CUST101953</t>
  </si>
  <si>
    <t>CUST101954</t>
  </si>
  <si>
    <t>CUST101955</t>
  </si>
  <si>
    <t>CUST101956</t>
  </si>
  <si>
    <t>CUST101957</t>
  </si>
  <si>
    <t>CUST101958</t>
  </si>
  <si>
    <t>CUST101959</t>
  </si>
  <si>
    <t>CUST101960</t>
  </si>
  <si>
    <t>CUST101961</t>
  </si>
  <si>
    <t>CUST101962</t>
  </si>
  <si>
    <t>CUST101963</t>
  </si>
  <si>
    <t>CUST101964</t>
  </si>
  <si>
    <t>CUST101965</t>
  </si>
  <si>
    <t>CUST101966</t>
  </si>
  <si>
    <t>CUST101967</t>
  </si>
  <si>
    <t>CUST101968</t>
  </si>
  <si>
    <t>CUST101969</t>
  </si>
  <si>
    <t>CUST101970</t>
  </si>
  <si>
    <t>CUST101971</t>
  </si>
  <si>
    <t>CUST101972</t>
  </si>
  <si>
    <t>CUST101973</t>
  </si>
  <si>
    <t>CUST101974</t>
  </si>
  <si>
    <t>CUST101975</t>
  </si>
  <si>
    <t>CUST101976</t>
  </si>
  <si>
    <t>CUST101977</t>
  </si>
  <si>
    <t>CUST101978</t>
  </si>
  <si>
    <t>CUST101979</t>
  </si>
  <si>
    <t>CUST101980</t>
  </si>
  <si>
    <t>CUST101981</t>
  </si>
  <si>
    <t>CUST101982</t>
  </si>
  <si>
    <t>CUST101983</t>
  </si>
  <si>
    <t>CUST101984</t>
  </si>
  <si>
    <t>CUST101985</t>
  </si>
  <si>
    <t>CUST101986</t>
  </si>
  <si>
    <t>CUST101987</t>
  </si>
  <si>
    <t>CUST101988</t>
  </si>
  <si>
    <t>CUST101989</t>
  </si>
  <si>
    <t>CUST101990</t>
  </si>
  <si>
    <t>CUST101991</t>
  </si>
  <si>
    <t>CUST101992</t>
  </si>
  <si>
    <t>CUST101993</t>
  </si>
  <si>
    <t>CUST101994</t>
  </si>
  <si>
    <t>CUST101995</t>
  </si>
  <si>
    <t>CUST101996</t>
  </si>
  <si>
    <t>CUST101997</t>
  </si>
  <si>
    <t>CUST101998</t>
  </si>
  <si>
    <t>CUST101999</t>
  </si>
  <si>
    <t>Row Labels</t>
  </si>
  <si>
    <t>Grand Total</t>
  </si>
  <si>
    <t>Sum of current_balance</t>
  </si>
  <si>
    <t>Count of customer_id</t>
  </si>
  <si>
    <t>Average of current_balance</t>
  </si>
  <si>
    <t>Account type</t>
  </si>
  <si>
    <t>Customers</t>
  </si>
  <si>
    <t>Current</t>
  </si>
  <si>
    <t>Savings</t>
  </si>
  <si>
    <t>Total balance</t>
  </si>
  <si>
    <t>Average Balance</t>
  </si>
  <si>
    <t>KYC Status</t>
  </si>
  <si>
    <t>customers</t>
  </si>
  <si>
    <t>Customer Lookup</t>
  </si>
  <si>
    <t>Customer Id</t>
  </si>
  <si>
    <t>Branch ID</t>
  </si>
  <si>
    <t>VLOOKUP</t>
  </si>
  <si>
    <t>XLOOKUP</t>
  </si>
  <si>
    <t>Validation</t>
  </si>
  <si>
    <t>Excel Balance</t>
  </si>
  <si>
    <t>Account Type</t>
  </si>
  <si>
    <t>SQL Balance</t>
  </si>
  <si>
    <t xml:space="preserve">current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</si>
</sst>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4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0" fontId="0" fillId="3" borderId="0" xfId="0" applyFill="1"/>
  </cellXfs>
  <cellStyles count="1">
    <cellStyle name="Normal" xfId="0" builtinId="0"/>
  </cellStyles>
  <dxfs count="11"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4" formatCode="#,##0.0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u Popovici" refreshedDate="46317.609404976851" createdVersion="8" refreshedVersion="8" minRefreshableVersion="3" recordCount="2000" xr:uid="{69C36D6A-3E4F-4488-9B6B-241EA53FD0E8}">
  <cacheSource type="worksheet">
    <worksheetSource name="customer"/>
  </cacheSource>
  <cacheFields count="14">
    <cacheField name="customer_id" numFmtId="0">
      <sharedItems count="2000">
        <s v="CUST100000"/>
        <s v="CUST100001"/>
        <s v="CUST100002"/>
        <s v="CUST100003"/>
        <s v="CUST100004"/>
        <s v="CUST100005"/>
        <s v="CUST100006"/>
        <s v="CUST100007"/>
        <s v="CUST100008"/>
        <s v="CUST100009"/>
        <s v="CUST100010"/>
        <s v="CUST100011"/>
        <s v="CUST100012"/>
        <s v="CUST100013"/>
        <s v="CUST100014"/>
        <s v="CUST100015"/>
        <s v="CUST100016"/>
        <s v="CUST100017"/>
        <s v="CUST100018"/>
        <s v="CUST100019"/>
        <s v="CUST100020"/>
        <s v="CUST100021"/>
        <s v="CUST100022"/>
        <s v="CUST100023"/>
        <s v="CUST100024"/>
        <s v="CUST100025"/>
        <s v="CUST100026"/>
        <s v="CUST100027"/>
        <s v="CUST100028"/>
        <s v="CUST100029"/>
        <s v="CUST100030"/>
        <s v="CUST100031"/>
        <s v="CUST100032"/>
        <s v="CUST100033"/>
        <s v="CUST100034"/>
        <s v="CUST100035"/>
        <s v="CUST100036"/>
        <s v="CUST100037"/>
        <s v="CUST100038"/>
        <s v="CUST100039"/>
        <s v="CUST100040"/>
        <s v="CUST100041"/>
        <s v="CUST100042"/>
        <s v="CUST100043"/>
        <s v="CUST100044"/>
        <s v="CUST100045"/>
        <s v="CUST100046"/>
        <s v="CUST100047"/>
        <s v="CUST100048"/>
        <s v="CUST100049"/>
        <s v="CUST100050"/>
        <s v="CUST100051"/>
        <s v="CUST100052"/>
        <s v="CUST100053"/>
        <s v="CUST100054"/>
        <s v="CUST100055"/>
        <s v="CUST100056"/>
        <s v="CUST100057"/>
        <s v="CUST100058"/>
        <s v="CUST100059"/>
        <s v="CUST100060"/>
        <s v="CUST100061"/>
        <s v="CUST100062"/>
        <s v="CUST100063"/>
        <s v="CUST100064"/>
        <s v="CUST100065"/>
        <s v="CUST100066"/>
        <s v="CUST100067"/>
        <s v="CUST100068"/>
        <s v="CUST100069"/>
        <s v="CUST100070"/>
        <s v="CUST100071"/>
        <s v="CUST100072"/>
        <s v="CUST100073"/>
        <s v="CUST100074"/>
        <s v="CUST100075"/>
        <s v="CUST100076"/>
        <s v="CUST100077"/>
        <s v="CUST100078"/>
        <s v="CUST100079"/>
        <s v="CUST100080"/>
        <s v="CUST100081"/>
        <s v="CUST100082"/>
        <s v="CUST100083"/>
        <s v="CUST100084"/>
        <s v="CUST100085"/>
        <s v="CUST100086"/>
        <s v="CUST100087"/>
        <s v="CUST100088"/>
        <s v="CUST100089"/>
        <s v="CUST100090"/>
        <s v="CUST100091"/>
        <s v="CUST100092"/>
        <s v="CUST100093"/>
        <s v="CUST100094"/>
        <s v="CUST100095"/>
        <s v="CUST100096"/>
        <s v="CUST100097"/>
        <s v="CUST100098"/>
        <s v="CUST100099"/>
        <s v="CUST100100"/>
        <s v="CUST100101"/>
        <s v="CUST100102"/>
        <s v="CUST100103"/>
        <s v="CUST100104"/>
        <s v="CUST100105"/>
        <s v="CUST100106"/>
        <s v="CUST100107"/>
        <s v="CUST100108"/>
        <s v="CUST100109"/>
        <s v="CUST100110"/>
        <s v="CUST100111"/>
        <s v="CUST100112"/>
        <s v="CUST100113"/>
        <s v="CUST100114"/>
        <s v="CUST100115"/>
        <s v="CUST100116"/>
        <s v="CUST100117"/>
        <s v="CUST100118"/>
        <s v="CUST100119"/>
        <s v="CUST100120"/>
        <s v="CUST100121"/>
        <s v="CUST100122"/>
        <s v="CUST100123"/>
        <s v="CUST100124"/>
        <s v="CUST100125"/>
        <s v="CUST100126"/>
        <s v="CUST100127"/>
        <s v="CUST100128"/>
        <s v="CUST100129"/>
        <s v="CUST100130"/>
        <s v="CUST100131"/>
        <s v="CUST100132"/>
        <s v="CUST100133"/>
        <s v="CUST100134"/>
        <s v="CUST100135"/>
        <s v="CUST100136"/>
        <s v="CUST100137"/>
        <s v="CUST100138"/>
        <s v="CUST100139"/>
        <s v="CUST100140"/>
        <s v="CUST100141"/>
        <s v="CUST100142"/>
        <s v="CUST100143"/>
        <s v="CUST100144"/>
        <s v="CUST100145"/>
        <s v="CUST100146"/>
        <s v="CUST100147"/>
        <s v="CUST100148"/>
        <s v="CUST100149"/>
        <s v="CUST100150"/>
        <s v="CUST100151"/>
        <s v="CUST100152"/>
        <s v="CUST100153"/>
        <s v="CUST100154"/>
        <s v="CUST100155"/>
        <s v="CUST100156"/>
        <s v="CUST100157"/>
        <s v="CUST100158"/>
        <s v="CUST100159"/>
        <s v="CUST100160"/>
        <s v="CUST100161"/>
        <s v="CUST100162"/>
        <s v="CUST100163"/>
        <s v="CUST100164"/>
        <s v="CUST100165"/>
        <s v="CUST100166"/>
        <s v="CUST100167"/>
        <s v="CUST100168"/>
        <s v="CUST100169"/>
        <s v="CUST100170"/>
        <s v="CUST100171"/>
        <s v="CUST100172"/>
        <s v="CUST100173"/>
        <s v="CUST100174"/>
        <s v="CUST100175"/>
        <s v="CUST100176"/>
        <s v="CUST100177"/>
        <s v="CUST100178"/>
        <s v="CUST100179"/>
        <s v="CUST100180"/>
        <s v="CUST100181"/>
        <s v="CUST100182"/>
        <s v="CUST100183"/>
        <s v="CUST100184"/>
        <s v="CUST100185"/>
        <s v="CUST100186"/>
        <s v="CUST100187"/>
        <s v="CUST100188"/>
        <s v="CUST100189"/>
        <s v="CUST100190"/>
        <s v="CUST100191"/>
        <s v="CUST100192"/>
        <s v="CUST100193"/>
        <s v="CUST100194"/>
        <s v="CUST100195"/>
        <s v="CUST100196"/>
        <s v="CUST100197"/>
        <s v="CUST100198"/>
        <s v="CUST100199"/>
        <s v="CUST100200"/>
        <s v="CUST100201"/>
        <s v="CUST100202"/>
        <s v="CUST100203"/>
        <s v="CUST100204"/>
        <s v="CUST100205"/>
        <s v="CUST100206"/>
        <s v="CUST100207"/>
        <s v="CUST100208"/>
        <s v="CUST100209"/>
        <s v="CUST100210"/>
        <s v="CUST100211"/>
        <s v="CUST100212"/>
        <s v="CUST100213"/>
        <s v="CUST100214"/>
        <s v="CUST100215"/>
        <s v="CUST100216"/>
        <s v="CUST100217"/>
        <s v="CUST100218"/>
        <s v="CUST100219"/>
        <s v="CUST100220"/>
        <s v="CUST100221"/>
        <s v="CUST100222"/>
        <s v="CUST100223"/>
        <s v="CUST100224"/>
        <s v="CUST100225"/>
        <s v="CUST100226"/>
        <s v="CUST100227"/>
        <s v="CUST100228"/>
        <s v="CUST100229"/>
        <s v="CUST100230"/>
        <s v="CUST100231"/>
        <s v="CUST100232"/>
        <s v="CUST100233"/>
        <s v="CUST100234"/>
        <s v="CUST100235"/>
        <s v="CUST100236"/>
        <s v="CUST100237"/>
        <s v="CUST100238"/>
        <s v="CUST100239"/>
        <s v="CUST100240"/>
        <s v="CUST100241"/>
        <s v="CUST100242"/>
        <s v="CUST100243"/>
        <s v="CUST100244"/>
        <s v="CUST100245"/>
        <s v="CUST100246"/>
        <s v="CUST100247"/>
        <s v="CUST100248"/>
        <s v="CUST100249"/>
        <s v="CUST100250"/>
        <s v="CUST100251"/>
        <s v="CUST100252"/>
        <s v="CUST100253"/>
        <s v="CUST100254"/>
        <s v="CUST100255"/>
        <s v="CUST100256"/>
        <s v="CUST100257"/>
        <s v="CUST100258"/>
        <s v="CUST100259"/>
        <s v="CUST100260"/>
        <s v="CUST100261"/>
        <s v="CUST100262"/>
        <s v="CUST100263"/>
        <s v="CUST100264"/>
        <s v="CUST100265"/>
        <s v="CUST100266"/>
        <s v="CUST100267"/>
        <s v="CUST100268"/>
        <s v="CUST100269"/>
        <s v="CUST100270"/>
        <s v="CUST100271"/>
        <s v="CUST100272"/>
        <s v="CUST100273"/>
        <s v="CUST100274"/>
        <s v="CUST100275"/>
        <s v="CUST100276"/>
        <s v="CUST100277"/>
        <s v="CUST100278"/>
        <s v="CUST100279"/>
        <s v="CUST100280"/>
        <s v="CUST100281"/>
        <s v="CUST100282"/>
        <s v="CUST100283"/>
        <s v="CUST100284"/>
        <s v="CUST100285"/>
        <s v="CUST100286"/>
        <s v="CUST100287"/>
        <s v="CUST100288"/>
        <s v="CUST100289"/>
        <s v="CUST100290"/>
        <s v="CUST100291"/>
        <s v="CUST100292"/>
        <s v="CUST100293"/>
        <s v="CUST100294"/>
        <s v="CUST100295"/>
        <s v="CUST100296"/>
        <s v="CUST100297"/>
        <s v="CUST100298"/>
        <s v="CUST100299"/>
        <s v="CUST100300"/>
        <s v="CUST100301"/>
        <s v="CUST100302"/>
        <s v="CUST100303"/>
        <s v="CUST100304"/>
        <s v="CUST100305"/>
        <s v="CUST100306"/>
        <s v="CUST100307"/>
        <s v="CUST100308"/>
        <s v="CUST100309"/>
        <s v="CUST100310"/>
        <s v="CUST100311"/>
        <s v="CUST100312"/>
        <s v="CUST100313"/>
        <s v="CUST100314"/>
        <s v="CUST100315"/>
        <s v="CUST100316"/>
        <s v="CUST100317"/>
        <s v="CUST100318"/>
        <s v="CUST100319"/>
        <s v="CUST100320"/>
        <s v="CUST100321"/>
        <s v="CUST100322"/>
        <s v="CUST100323"/>
        <s v="CUST100324"/>
        <s v="CUST100325"/>
        <s v="CUST100326"/>
        <s v="CUST100327"/>
        <s v="CUST100328"/>
        <s v="CUST100329"/>
        <s v="CUST100330"/>
        <s v="CUST100331"/>
        <s v="CUST100332"/>
        <s v="CUST100333"/>
        <s v="CUST100334"/>
        <s v="CUST100335"/>
        <s v="CUST100336"/>
        <s v="CUST100337"/>
        <s v="CUST100338"/>
        <s v="CUST100339"/>
        <s v="CUST100340"/>
        <s v="CUST100341"/>
        <s v="CUST100342"/>
        <s v="CUST100343"/>
        <s v="CUST100344"/>
        <s v="CUST100345"/>
        <s v="CUST100346"/>
        <s v="CUST100347"/>
        <s v="CUST100348"/>
        <s v="CUST100349"/>
        <s v="CUST100350"/>
        <s v="CUST100351"/>
        <s v="CUST100352"/>
        <s v="CUST100353"/>
        <s v="CUST100354"/>
        <s v="CUST100355"/>
        <s v="CUST100356"/>
        <s v="CUST100357"/>
        <s v="CUST100358"/>
        <s v="CUST100359"/>
        <s v="CUST100360"/>
        <s v="CUST100361"/>
        <s v="CUST100362"/>
        <s v="CUST100363"/>
        <s v="CUST100364"/>
        <s v="CUST100365"/>
        <s v="CUST100366"/>
        <s v="CUST100367"/>
        <s v="CUST100368"/>
        <s v="CUST100369"/>
        <s v="CUST100370"/>
        <s v="CUST100371"/>
        <s v="CUST100372"/>
        <s v="CUST100373"/>
        <s v="CUST100374"/>
        <s v="CUST100375"/>
        <s v="CUST100376"/>
        <s v="CUST100377"/>
        <s v="CUST100378"/>
        <s v="CUST100379"/>
        <s v="CUST100380"/>
        <s v="CUST100381"/>
        <s v="CUST100382"/>
        <s v="CUST100383"/>
        <s v="CUST100384"/>
        <s v="CUST100385"/>
        <s v="CUST100386"/>
        <s v="CUST100387"/>
        <s v="CUST100388"/>
        <s v="CUST100389"/>
        <s v="CUST100390"/>
        <s v="CUST100391"/>
        <s v="CUST100392"/>
        <s v="CUST100393"/>
        <s v="CUST100394"/>
        <s v="CUST100395"/>
        <s v="CUST100396"/>
        <s v="CUST100397"/>
        <s v="CUST100398"/>
        <s v="CUST100399"/>
        <s v="CUST100400"/>
        <s v="CUST100401"/>
        <s v="CUST100402"/>
        <s v="CUST100403"/>
        <s v="CUST100404"/>
        <s v="CUST100405"/>
        <s v="CUST100406"/>
        <s v="CUST100407"/>
        <s v="CUST100408"/>
        <s v="CUST100409"/>
        <s v="CUST100410"/>
        <s v="CUST100411"/>
        <s v="CUST100412"/>
        <s v="CUST100413"/>
        <s v="CUST100414"/>
        <s v="CUST100415"/>
        <s v="CUST100416"/>
        <s v="CUST100417"/>
        <s v="CUST100418"/>
        <s v="CUST100419"/>
        <s v="CUST100420"/>
        <s v="CUST100421"/>
        <s v="CUST100422"/>
        <s v="CUST100423"/>
        <s v="CUST100424"/>
        <s v="CUST100425"/>
        <s v="CUST100426"/>
        <s v="CUST100427"/>
        <s v="CUST100428"/>
        <s v="CUST100429"/>
        <s v="CUST100430"/>
        <s v="CUST100431"/>
        <s v="CUST100432"/>
        <s v="CUST100433"/>
        <s v="CUST100434"/>
        <s v="CUST100435"/>
        <s v="CUST100436"/>
        <s v="CUST100437"/>
        <s v="CUST100438"/>
        <s v="CUST100439"/>
        <s v="CUST100440"/>
        <s v="CUST100441"/>
        <s v="CUST100442"/>
        <s v="CUST100443"/>
        <s v="CUST100444"/>
        <s v="CUST100445"/>
        <s v="CUST100446"/>
        <s v="CUST100447"/>
        <s v="CUST100448"/>
        <s v="CUST100449"/>
        <s v="CUST100450"/>
        <s v="CUST100451"/>
        <s v="CUST100452"/>
        <s v="CUST100453"/>
        <s v="CUST100454"/>
        <s v="CUST100455"/>
        <s v="CUST100456"/>
        <s v="CUST100457"/>
        <s v="CUST100458"/>
        <s v="CUST100459"/>
        <s v="CUST100460"/>
        <s v="CUST100461"/>
        <s v="CUST100462"/>
        <s v="CUST100463"/>
        <s v="CUST100464"/>
        <s v="CUST100465"/>
        <s v="CUST100466"/>
        <s v="CUST100467"/>
        <s v="CUST100468"/>
        <s v="CUST100469"/>
        <s v="CUST100470"/>
        <s v="CUST100471"/>
        <s v="CUST100472"/>
        <s v="CUST100473"/>
        <s v="CUST100474"/>
        <s v="CUST100475"/>
        <s v="CUST100476"/>
        <s v="CUST100477"/>
        <s v="CUST100478"/>
        <s v="CUST100479"/>
        <s v="CUST100480"/>
        <s v="CUST100481"/>
        <s v="CUST100482"/>
        <s v="CUST100483"/>
        <s v="CUST100484"/>
        <s v="CUST100485"/>
        <s v="CUST100486"/>
        <s v="CUST100487"/>
        <s v="CUST100488"/>
        <s v="CUST100489"/>
        <s v="CUST100490"/>
        <s v="CUST100491"/>
        <s v="CUST100492"/>
        <s v="CUST100493"/>
        <s v="CUST100494"/>
        <s v="CUST100495"/>
        <s v="CUST100496"/>
        <s v="CUST100497"/>
        <s v="CUST100498"/>
        <s v="CUST100499"/>
        <s v="CUST100500"/>
        <s v="CUST100501"/>
        <s v="CUST100502"/>
        <s v="CUST100503"/>
        <s v="CUST100504"/>
        <s v="CUST100505"/>
        <s v="CUST100506"/>
        <s v="CUST100507"/>
        <s v="CUST100508"/>
        <s v="CUST100509"/>
        <s v="CUST100510"/>
        <s v="CUST100511"/>
        <s v="CUST100512"/>
        <s v="CUST100513"/>
        <s v="CUST100514"/>
        <s v="CUST100515"/>
        <s v="CUST100516"/>
        <s v="CUST100517"/>
        <s v="CUST100518"/>
        <s v="CUST100519"/>
        <s v="CUST100520"/>
        <s v="CUST100521"/>
        <s v="CUST100522"/>
        <s v="CUST100523"/>
        <s v="CUST100524"/>
        <s v="CUST100525"/>
        <s v="CUST100526"/>
        <s v="CUST100527"/>
        <s v="CUST100528"/>
        <s v="CUST100529"/>
        <s v="CUST100530"/>
        <s v="CUST100531"/>
        <s v="CUST100532"/>
        <s v="CUST100533"/>
        <s v="CUST100534"/>
        <s v="CUST100535"/>
        <s v="CUST100536"/>
        <s v="CUST100537"/>
        <s v="CUST100538"/>
        <s v="CUST100539"/>
        <s v="CUST100540"/>
        <s v="CUST100541"/>
        <s v="CUST100542"/>
        <s v="CUST100543"/>
        <s v="CUST100544"/>
        <s v="CUST100545"/>
        <s v="CUST100546"/>
        <s v="CUST100547"/>
        <s v="CUST100548"/>
        <s v="CUST100549"/>
        <s v="CUST100550"/>
        <s v="CUST100551"/>
        <s v="CUST100552"/>
        <s v="CUST100553"/>
        <s v="CUST100554"/>
        <s v="CUST100555"/>
        <s v="CUST100556"/>
        <s v="CUST100557"/>
        <s v="CUST100558"/>
        <s v="CUST100559"/>
        <s v="CUST100560"/>
        <s v="CUST100561"/>
        <s v="CUST100562"/>
        <s v="CUST100563"/>
        <s v="CUST100564"/>
        <s v="CUST100565"/>
        <s v="CUST100566"/>
        <s v="CUST100567"/>
        <s v="CUST100568"/>
        <s v="CUST100569"/>
        <s v="CUST100570"/>
        <s v="CUST100571"/>
        <s v="CUST100572"/>
        <s v="CUST100573"/>
        <s v="CUST100574"/>
        <s v="CUST100575"/>
        <s v="CUST100576"/>
        <s v="CUST100577"/>
        <s v="CUST100578"/>
        <s v="CUST100579"/>
        <s v="CUST100580"/>
        <s v="CUST100581"/>
        <s v="CUST100582"/>
        <s v="CUST100583"/>
        <s v="CUST100584"/>
        <s v="CUST100585"/>
        <s v="CUST100586"/>
        <s v="CUST100587"/>
        <s v="CUST100588"/>
        <s v="CUST100589"/>
        <s v="CUST100590"/>
        <s v="CUST100591"/>
        <s v="CUST100592"/>
        <s v="CUST100593"/>
        <s v="CUST100594"/>
        <s v="CUST100595"/>
        <s v="CUST100596"/>
        <s v="CUST100597"/>
        <s v="CUST100598"/>
        <s v="CUST100599"/>
        <s v="CUST100600"/>
        <s v="CUST100601"/>
        <s v="CUST100602"/>
        <s v="CUST100603"/>
        <s v="CUST100604"/>
        <s v="CUST100605"/>
        <s v="CUST100606"/>
        <s v="CUST100607"/>
        <s v="CUST100608"/>
        <s v="CUST100609"/>
        <s v="CUST100610"/>
        <s v="CUST100611"/>
        <s v="CUST100612"/>
        <s v="CUST100613"/>
        <s v="CUST100614"/>
        <s v="CUST100615"/>
        <s v="CUST100616"/>
        <s v="CUST100617"/>
        <s v="CUST100618"/>
        <s v="CUST100619"/>
        <s v="CUST100620"/>
        <s v="CUST100621"/>
        <s v="CUST100622"/>
        <s v="CUST100623"/>
        <s v="CUST100624"/>
        <s v="CUST100625"/>
        <s v="CUST100626"/>
        <s v="CUST100627"/>
        <s v="CUST100628"/>
        <s v="CUST100629"/>
        <s v="CUST100630"/>
        <s v="CUST100631"/>
        <s v="CUST100632"/>
        <s v="CUST100633"/>
        <s v="CUST100634"/>
        <s v="CUST100635"/>
        <s v="CUST100636"/>
        <s v="CUST100637"/>
        <s v="CUST100638"/>
        <s v="CUST100639"/>
        <s v="CUST100640"/>
        <s v="CUST100641"/>
        <s v="CUST100642"/>
        <s v="CUST100643"/>
        <s v="CUST100644"/>
        <s v="CUST100645"/>
        <s v="CUST100646"/>
        <s v="CUST100647"/>
        <s v="CUST100648"/>
        <s v="CUST100649"/>
        <s v="CUST100650"/>
        <s v="CUST100651"/>
        <s v="CUST100652"/>
        <s v="CUST100653"/>
        <s v="CUST100654"/>
        <s v="CUST100655"/>
        <s v="CUST100656"/>
        <s v="CUST100657"/>
        <s v="CUST100658"/>
        <s v="CUST100659"/>
        <s v="CUST100660"/>
        <s v="CUST100661"/>
        <s v="CUST100662"/>
        <s v="CUST100663"/>
        <s v="CUST100664"/>
        <s v="CUST100665"/>
        <s v="CUST100666"/>
        <s v="CUST100667"/>
        <s v="CUST100668"/>
        <s v="CUST100669"/>
        <s v="CUST100670"/>
        <s v="CUST100671"/>
        <s v="CUST100672"/>
        <s v="CUST100673"/>
        <s v="CUST100674"/>
        <s v="CUST100675"/>
        <s v="CUST100676"/>
        <s v="CUST100677"/>
        <s v="CUST100678"/>
        <s v="CUST100679"/>
        <s v="CUST100680"/>
        <s v="CUST100681"/>
        <s v="CUST100682"/>
        <s v="CUST100683"/>
        <s v="CUST100684"/>
        <s v="CUST100685"/>
        <s v="CUST100686"/>
        <s v="CUST100687"/>
        <s v="CUST100688"/>
        <s v="CUST100689"/>
        <s v="CUST100690"/>
        <s v="CUST100691"/>
        <s v="CUST100692"/>
        <s v="CUST100693"/>
        <s v="CUST100694"/>
        <s v="CUST100695"/>
        <s v="CUST100696"/>
        <s v="CUST100697"/>
        <s v="CUST100698"/>
        <s v="CUST100699"/>
        <s v="CUST100700"/>
        <s v="CUST100701"/>
        <s v="CUST100702"/>
        <s v="CUST100703"/>
        <s v="CUST100704"/>
        <s v="CUST100705"/>
        <s v="CUST100706"/>
        <s v="CUST100707"/>
        <s v="CUST100708"/>
        <s v="CUST100709"/>
        <s v="CUST100710"/>
        <s v="CUST100711"/>
        <s v="CUST100712"/>
        <s v="CUST100713"/>
        <s v="CUST100714"/>
        <s v="CUST100715"/>
        <s v="CUST100716"/>
        <s v="CUST100717"/>
        <s v="CUST100718"/>
        <s v="CUST100719"/>
        <s v="CUST100720"/>
        <s v="CUST100721"/>
        <s v="CUST100722"/>
        <s v="CUST100723"/>
        <s v="CUST100724"/>
        <s v="CUST100725"/>
        <s v="CUST100726"/>
        <s v="CUST100727"/>
        <s v="CUST100728"/>
        <s v="CUST100729"/>
        <s v="CUST100730"/>
        <s v="CUST100731"/>
        <s v="CUST100732"/>
        <s v="CUST100733"/>
        <s v="CUST100734"/>
        <s v="CUST100735"/>
        <s v="CUST100736"/>
        <s v="CUST100737"/>
        <s v="CUST100738"/>
        <s v="CUST100739"/>
        <s v="CUST100740"/>
        <s v="CUST100741"/>
        <s v="CUST100742"/>
        <s v="CUST100743"/>
        <s v="CUST100744"/>
        <s v="CUST100745"/>
        <s v="CUST100746"/>
        <s v="CUST100747"/>
        <s v="CUST100748"/>
        <s v="CUST100749"/>
        <s v="CUST100750"/>
        <s v="CUST100751"/>
        <s v="CUST100752"/>
        <s v="CUST100753"/>
        <s v="CUST100754"/>
        <s v="CUST100755"/>
        <s v="CUST100756"/>
        <s v="CUST100757"/>
        <s v="CUST100758"/>
        <s v="CUST100759"/>
        <s v="CUST100760"/>
        <s v="CUST100761"/>
        <s v="CUST100762"/>
        <s v="CUST100763"/>
        <s v="CUST100764"/>
        <s v="CUST100765"/>
        <s v="CUST100766"/>
        <s v="CUST100767"/>
        <s v="CUST100768"/>
        <s v="CUST100769"/>
        <s v="CUST100770"/>
        <s v="CUST100771"/>
        <s v="CUST100772"/>
        <s v="CUST100773"/>
        <s v="CUST100774"/>
        <s v="CUST100775"/>
        <s v="CUST100776"/>
        <s v="CUST100777"/>
        <s v="CUST100778"/>
        <s v="CUST100779"/>
        <s v="CUST100780"/>
        <s v="CUST100781"/>
        <s v="CUST100782"/>
        <s v="CUST100783"/>
        <s v="CUST100784"/>
        <s v="CUST100785"/>
        <s v="CUST100786"/>
        <s v="CUST100787"/>
        <s v="CUST100788"/>
        <s v="CUST100789"/>
        <s v="CUST100790"/>
        <s v="CUST100791"/>
        <s v="CUST100792"/>
        <s v="CUST100793"/>
        <s v="CUST100794"/>
        <s v="CUST100795"/>
        <s v="CUST100796"/>
        <s v="CUST100797"/>
        <s v="CUST100798"/>
        <s v="CUST100799"/>
        <s v="CUST100800"/>
        <s v="CUST100801"/>
        <s v="CUST100802"/>
        <s v="CUST100803"/>
        <s v="CUST100804"/>
        <s v="CUST100805"/>
        <s v="CUST100806"/>
        <s v="CUST100807"/>
        <s v="CUST100808"/>
        <s v="CUST100809"/>
        <s v="CUST100810"/>
        <s v="CUST100811"/>
        <s v="CUST100812"/>
        <s v="CUST100813"/>
        <s v="CUST100814"/>
        <s v="CUST100815"/>
        <s v="CUST100816"/>
        <s v="CUST100817"/>
        <s v="CUST100818"/>
        <s v="CUST100819"/>
        <s v="CUST100820"/>
        <s v="CUST100821"/>
        <s v="CUST100822"/>
        <s v="CUST100823"/>
        <s v="CUST100824"/>
        <s v="CUST100825"/>
        <s v="CUST100826"/>
        <s v="CUST100827"/>
        <s v="CUST100828"/>
        <s v="CUST100829"/>
        <s v="CUST100830"/>
        <s v="CUST100831"/>
        <s v="CUST100832"/>
        <s v="CUST100833"/>
        <s v="CUST100834"/>
        <s v="CUST100835"/>
        <s v="CUST100836"/>
        <s v="CUST100837"/>
        <s v="CUST100838"/>
        <s v="CUST100839"/>
        <s v="CUST100840"/>
        <s v="CUST100841"/>
        <s v="CUST100842"/>
        <s v="CUST100843"/>
        <s v="CUST100844"/>
        <s v="CUST100845"/>
        <s v="CUST100846"/>
        <s v="CUST100847"/>
        <s v="CUST100848"/>
        <s v="CUST100849"/>
        <s v="CUST100850"/>
        <s v="CUST100851"/>
        <s v="CUST100852"/>
        <s v="CUST100853"/>
        <s v="CUST100854"/>
        <s v="CUST100855"/>
        <s v="CUST100856"/>
        <s v="CUST100857"/>
        <s v="CUST100858"/>
        <s v="CUST100859"/>
        <s v="CUST100860"/>
        <s v="CUST100861"/>
        <s v="CUST100862"/>
        <s v="CUST100863"/>
        <s v="CUST100864"/>
        <s v="CUST100865"/>
        <s v="CUST100866"/>
        <s v="CUST100867"/>
        <s v="CUST100868"/>
        <s v="CUST100869"/>
        <s v="CUST100870"/>
        <s v="CUST100871"/>
        <s v="CUST100872"/>
        <s v="CUST100873"/>
        <s v="CUST100874"/>
        <s v="CUST100875"/>
        <s v="CUST100876"/>
        <s v="CUST100877"/>
        <s v="CUST100878"/>
        <s v="CUST100879"/>
        <s v="CUST100880"/>
        <s v="CUST100881"/>
        <s v="CUST100882"/>
        <s v="CUST100883"/>
        <s v="CUST100884"/>
        <s v="CUST100885"/>
        <s v="CUST100886"/>
        <s v="CUST100887"/>
        <s v="CUST100888"/>
        <s v="CUST100889"/>
        <s v="CUST100890"/>
        <s v="CUST100891"/>
        <s v="CUST100892"/>
        <s v="CUST100893"/>
        <s v="CUST100894"/>
        <s v="CUST100895"/>
        <s v="CUST100896"/>
        <s v="CUST100897"/>
        <s v="CUST100898"/>
        <s v="CUST100899"/>
        <s v="CUST100900"/>
        <s v="CUST100901"/>
        <s v="CUST100902"/>
        <s v="CUST100903"/>
        <s v="CUST100904"/>
        <s v="CUST100905"/>
        <s v="CUST100906"/>
        <s v="CUST100907"/>
        <s v="CUST100908"/>
        <s v="CUST100909"/>
        <s v="CUST100910"/>
        <s v="CUST100911"/>
        <s v="CUST100912"/>
        <s v="CUST100913"/>
        <s v="CUST100914"/>
        <s v="CUST100915"/>
        <s v="CUST100916"/>
        <s v="CUST100917"/>
        <s v="CUST100918"/>
        <s v="CUST100919"/>
        <s v="CUST100920"/>
        <s v="CUST100921"/>
        <s v="CUST100922"/>
        <s v="CUST100923"/>
        <s v="CUST100924"/>
        <s v="CUST100925"/>
        <s v="CUST100926"/>
        <s v="CUST100927"/>
        <s v="CUST100928"/>
        <s v="CUST100929"/>
        <s v="CUST100930"/>
        <s v="CUST100931"/>
        <s v="CUST100932"/>
        <s v="CUST100933"/>
        <s v="CUST100934"/>
        <s v="CUST100935"/>
        <s v="CUST100936"/>
        <s v="CUST100937"/>
        <s v="CUST100938"/>
        <s v="CUST100939"/>
        <s v="CUST100940"/>
        <s v="CUST100941"/>
        <s v="CUST100942"/>
        <s v="CUST100943"/>
        <s v="CUST100944"/>
        <s v="CUST100945"/>
        <s v="CUST100946"/>
        <s v="CUST100947"/>
        <s v="CUST100948"/>
        <s v="CUST100949"/>
        <s v="CUST100950"/>
        <s v="CUST100951"/>
        <s v="CUST100952"/>
        <s v="CUST100953"/>
        <s v="CUST100954"/>
        <s v="CUST100955"/>
        <s v="CUST100956"/>
        <s v="CUST100957"/>
        <s v="CUST100958"/>
        <s v="CUST100959"/>
        <s v="CUST100960"/>
        <s v="CUST100961"/>
        <s v="CUST100962"/>
        <s v="CUST100963"/>
        <s v="CUST100964"/>
        <s v="CUST100965"/>
        <s v="CUST100966"/>
        <s v="CUST100967"/>
        <s v="CUST100968"/>
        <s v="CUST100969"/>
        <s v="CUST100970"/>
        <s v="CUST100971"/>
        <s v="CUST100972"/>
        <s v="CUST100973"/>
        <s v="CUST100974"/>
        <s v="CUST100975"/>
        <s v="CUST100976"/>
        <s v="CUST100977"/>
        <s v="CUST100978"/>
        <s v="CUST100979"/>
        <s v="CUST100980"/>
        <s v="CUST100981"/>
        <s v="CUST100982"/>
        <s v="CUST100983"/>
        <s v="CUST100984"/>
        <s v="CUST100985"/>
        <s v="CUST100986"/>
        <s v="CUST100987"/>
        <s v="CUST100988"/>
        <s v="CUST100989"/>
        <s v="CUST100990"/>
        <s v="CUST100991"/>
        <s v="CUST100992"/>
        <s v="CUST100993"/>
        <s v="CUST100994"/>
        <s v="CUST100995"/>
        <s v="CUST100996"/>
        <s v="CUST100997"/>
        <s v="CUST100998"/>
        <s v="CUST100999"/>
        <s v="CUST101000"/>
        <s v="CUST101001"/>
        <s v="CUST101002"/>
        <s v="CUST101003"/>
        <s v="CUST101004"/>
        <s v="CUST101005"/>
        <s v="CUST101006"/>
        <s v="CUST101007"/>
        <s v="CUST101008"/>
        <s v="CUST101009"/>
        <s v="CUST101010"/>
        <s v="CUST101011"/>
        <s v="CUST101012"/>
        <s v="CUST101013"/>
        <s v="CUST101014"/>
        <s v="CUST101015"/>
        <s v="CUST101016"/>
        <s v="CUST101017"/>
        <s v="CUST101018"/>
        <s v="CUST101019"/>
        <s v="CUST101020"/>
        <s v="CUST101021"/>
        <s v="CUST101022"/>
        <s v="CUST101023"/>
        <s v="CUST101024"/>
        <s v="CUST101025"/>
        <s v="CUST101026"/>
        <s v="CUST101027"/>
        <s v="CUST101028"/>
        <s v="CUST101029"/>
        <s v="CUST101030"/>
        <s v="CUST101031"/>
        <s v="CUST101032"/>
        <s v="CUST101033"/>
        <s v="CUST101034"/>
        <s v="CUST101035"/>
        <s v="CUST101036"/>
        <s v="CUST101037"/>
        <s v="CUST101038"/>
        <s v="CUST101039"/>
        <s v="CUST101040"/>
        <s v="CUST101041"/>
        <s v="CUST101042"/>
        <s v="CUST101043"/>
        <s v="CUST101044"/>
        <s v="CUST101045"/>
        <s v="CUST101046"/>
        <s v="CUST101047"/>
        <s v="CUST101048"/>
        <s v="CUST101049"/>
        <s v="CUST101050"/>
        <s v="CUST101051"/>
        <s v="CUST101052"/>
        <s v="CUST101053"/>
        <s v="CUST101054"/>
        <s v="CUST101055"/>
        <s v="CUST101056"/>
        <s v="CUST101057"/>
        <s v="CUST101058"/>
        <s v="CUST101059"/>
        <s v="CUST101060"/>
        <s v="CUST101061"/>
        <s v="CUST101062"/>
        <s v="CUST101063"/>
        <s v="CUST101064"/>
        <s v="CUST101065"/>
        <s v="CUST101066"/>
        <s v="CUST101067"/>
        <s v="CUST101068"/>
        <s v="CUST101069"/>
        <s v="CUST101070"/>
        <s v="CUST101071"/>
        <s v="CUST101072"/>
        <s v="CUST101073"/>
        <s v="CUST101074"/>
        <s v="CUST101075"/>
        <s v="CUST101076"/>
        <s v="CUST101077"/>
        <s v="CUST101078"/>
        <s v="CUST101079"/>
        <s v="CUST101080"/>
        <s v="CUST101081"/>
        <s v="CUST101082"/>
        <s v="CUST101083"/>
        <s v="CUST101084"/>
        <s v="CUST101085"/>
        <s v="CUST101086"/>
        <s v="CUST101087"/>
        <s v="CUST101088"/>
        <s v="CUST101089"/>
        <s v="CUST101090"/>
        <s v="CUST101091"/>
        <s v="CUST101092"/>
        <s v="CUST101093"/>
        <s v="CUST101094"/>
        <s v="CUST101095"/>
        <s v="CUST101096"/>
        <s v="CUST101097"/>
        <s v="CUST101098"/>
        <s v="CUST101099"/>
        <s v="CUST101100"/>
        <s v="CUST101101"/>
        <s v="CUST101102"/>
        <s v="CUST101103"/>
        <s v="CUST101104"/>
        <s v="CUST101105"/>
        <s v="CUST101106"/>
        <s v="CUST101107"/>
        <s v="CUST101108"/>
        <s v="CUST101109"/>
        <s v="CUST101110"/>
        <s v="CUST101111"/>
        <s v="CUST101112"/>
        <s v="CUST101113"/>
        <s v="CUST101114"/>
        <s v="CUST101115"/>
        <s v="CUST101116"/>
        <s v="CUST101117"/>
        <s v="CUST101118"/>
        <s v="CUST101119"/>
        <s v="CUST101120"/>
        <s v="CUST101121"/>
        <s v="CUST101122"/>
        <s v="CUST101123"/>
        <s v="CUST101124"/>
        <s v="CUST101125"/>
        <s v="CUST101126"/>
        <s v="CUST101127"/>
        <s v="CUST101128"/>
        <s v="CUST101129"/>
        <s v="CUST101130"/>
        <s v="CUST101131"/>
        <s v="CUST101132"/>
        <s v="CUST101133"/>
        <s v="CUST101134"/>
        <s v="CUST101135"/>
        <s v="CUST101136"/>
        <s v="CUST101137"/>
        <s v="CUST101138"/>
        <s v="CUST101139"/>
        <s v="CUST101140"/>
        <s v="CUST101141"/>
        <s v="CUST101142"/>
        <s v="CUST101143"/>
        <s v="CUST101144"/>
        <s v="CUST101145"/>
        <s v="CUST101146"/>
        <s v="CUST101147"/>
        <s v="CUST101148"/>
        <s v="CUST101149"/>
        <s v="CUST101150"/>
        <s v="CUST101151"/>
        <s v="CUST101152"/>
        <s v="CUST101153"/>
        <s v="CUST101154"/>
        <s v="CUST101155"/>
        <s v="CUST101156"/>
        <s v="CUST101157"/>
        <s v="CUST101158"/>
        <s v="CUST101159"/>
        <s v="CUST101160"/>
        <s v="CUST101161"/>
        <s v="CUST101162"/>
        <s v="CUST101163"/>
        <s v="CUST101164"/>
        <s v="CUST101165"/>
        <s v="CUST101166"/>
        <s v="CUST101167"/>
        <s v="CUST101168"/>
        <s v="CUST101169"/>
        <s v="CUST101170"/>
        <s v="CUST101171"/>
        <s v="CUST101172"/>
        <s v="CUST101173"/>
        <s v="CUST101174"/>
        <s v="CUST101175"/>
        <s v="CUST101176"/>
        <s v="CUST101177"/>
        <s v="CUST101178"/>
        <s v="CUST101179"/>
        <s v="CUST101180"/>
        <s v="CUST101181"/>
        <s v="CUST101182"/>
        <s v="CUST101183"/>
        <s v="CUST101184"/>
        <s v="CUST101185"/>
        <s v="CUST101186"/>
        <s v="CUST101187"/>
        <s v="CUST101188"/>
        <s v="CUST101189"/>
        <s v="CUST101190"/>
        <s v="CUST101191"/>
        <s v="CUST101192"/>
        <s v="CUST101193"/>
        <s v="CUST101194"/>
        <s v="CUST101195"/>
        <s v="CUST101196"/>
        <s v="CUST101197"/>
        <s v="CUST101198"/>
        <s v="CUST101199"/>
        <s v="CUST101200"/>
        <s v="CUST101201"/>
        <s v="CUST101202"/>
        <s v="CUST101203"/>
        <s v="CUST101204"/>
        <s v="CUST101205"/>
        <s v="CUST101206"/>
        <s v="CUST101207"/>
        <s v="CUST101208"/>
        <s v="CUST101209"/>
        <s v="CUST101210"/>
        <s v="CUST101211"/>
        <s v="CUST101212"/>
        <s v="CUST101213"/>
        <s v="CUST101214"/>
        <s v="CUST101215"/>
        <s v="CUST101216"/>
        <s v="CUST101217"/>
        <s v="CUST101218"/>
        <s v="CUST101219"/>
        <s v="CUST101220"/>
        <s v="CUST101221"/>
        <s v="CUST101222"/>
        <s v="CUST101223"/>
        <s v="CUST101224"/>
        <s v="CUST101225"/>
        <s v="CUST101226"/>
        <s v="CUST101227"/>
        <s v="CUST101228"/>
        <s v="CUST101229"/>
        <s v="CUST101230"/>
        <s v="CUST101231"/>
        <s v="CUST101232"/>
        <s v="CUST101233"/>
        <s v="CUST101234"/>
        <s v="CUST101235"/>
        <s v="CUST101236"/>
        <s v="CUST101237"/>
        <s v="CUST101238"/>
        <s v="CUST101239"/>
        <s v="CUST101240"/>
        <s v="CUST101241"/>
        <s v="CUST101242"/>
        <s v="CUST101243"/>
        <s v="CUST101244"/>
        <s v="CUST101245"/>
        <s v="CUST101246"/>
        <s v="CUST101247"/>
        <s v="CUST101248"/>
        <s v="CUST101249"/>
        <s v="CUST101250"/>
        <s v="CUST101251"/>
        <s v="CUST101252"/>
        <s v="CUST101253"/>
        <s v="CUST101254"/>
        <s v="CUST101255"/>
        <s v="CUST101256"/>
        <s v="CUST101257"/>
        <s v="CUST101258"/>
        <s v="CUST101259"/>
        <s v="CUST101260"/>
        <s v="CUST101261"/>
        <s v="CUST101262"/>
        <s v="CUST101263"/>
        <s v="CUST101264"/>
        <s v="CUST101265"/>
        <s v="CUST101266"/>
        <s v="CUST101267"/>
        <s v="CUST101268"/>
        <s v="CUST101269"/>
        <s v="CUST101270"/>
        <s v="CUST101271"/>
        <s v="CUST101272"/>
        <s v="CUST101273"/>
        <s v="CUST101274"/>
        <s v="CUST101275"/>
        <s v="CUST101276"/>
        <s v="CUST101277"/>
        <s v="CUST101278"/>
        <s v="CUST101279"/>
        <s v="CUST101280"/>
        <s v="CUST101281"/>
        <s v="CUST101282"/>
        <s v="CUST101283"/>
        <s v="CUST101284"/>
        <s v="CUST101285"/>
        <s v="CUST101286"/>
        <s v="CUST101287"/>
        <s v="CUST101288"/>
        <s v="CUST101289"/>
        <s v="CUST101290"/>
        <s v="CUST101291"/>
        <s v="CUST101292"/>
        <s v="CUST101293"/>
        <s v="CUST101294"/>
        <s v="CUST101295"/>
        <s v="CUST101296"/>
        <s v="CUST101297"/>
        <s v="CUST101298"/>
        <s v="CUST101299"/>
        <s v="CUST101300"/>
        <s v="CUST101301"/>
        <s v="CUST101302"/>
        <s v="CUST101303"/>
        <s v="CUST101304"/>
        <s v="CUST101305"/>
        <s v="CUST101306"/>
        <s v="CUST101307"/>
        <s v="CUST101308"/>
        <s v="CUST101309"/>
        <s v="CUST101310"/>
        <s v="CUST101311"/>
        <s v="CUST101312"/>
        <s v="CUST101313"/>
        <s v="CUST101314"/>
        <s v="CUST101315"/>
        <s v="CUST101316"/>
        <s v="CUST101317"/>
        <s v="CUST101318"/>
        <s v="CUST101319"/>
        <s v="CUST101320"/>
        <s v="CUST101321"/>
        <s v="CUST101322"/>
        <s v="CUST101323"/>
        <s v="CUST101324"/>
        <s v="CUST101325"/>
        <s v="CUST101326"/>
        <s v="CUST101327"/>
        <s v="CUST101328"/>
        <s v="CUST101329"/>
        <s v="CUST101330"/>
        <s v="CUST101331"/>
        <s v="CUST101332"/>
        <s v="CUST101333"/>
        <s v="CUST101334"/>
        <s v="CUST101335"/>
        <s v="CUST101336"/>
        <s v="CUST101337"/>
        <s v="CUST101338"/>
        <s v="CUST101339"/>
        <s v="CUST101340"/>
        <s v="CUST101341"/>
        <s v="CUST101342"/>
        <s v="CUST101343"/>
        <s v="CUST101344"/>
        <s v="CUST101345"/>
        <s v="CUST101346"/>
        <s v="CUST101347"/>
        <s v="CUST101348"/>
        <s v="CUST101349"/>
        <s v="CUST101350"/>
        <s v="CUST101351"/>
        <s v="CUST101352"/>
        <s v="CUST101353"/>
        <s v="CUST101354"/>
        <s v="CUST101355"/>
        <s v="CUST101356"/>
        <s v="CUST101357"/>
        <s v="CUST101358"/>
        <s v="CUST101359"/>
        <s v="CUST101360"/>
        <s v="CUST101361"/>
        <s v="CUST101362"/>
        <s v="CUST101363"/>
        <s v="CUST101364"/>
        <s v="CUST101365"/>
        <s v="CUST101366"/>
        <s v="CUST101367"/>
        <s v="CUST101368"/>
        <s v="CUST101369"/>
        <s v="CUST101370"/>
        <s v="CUST101371"/>
        <s v="CUST101372"/>
        <s v="CUST101373"/>
        <s v="CUST101374"/>
        <s v="CUST101375"/>
        <s v="CUST101376"/>
        <s v="CUST101377"/>
        <s v="CUST101378"/>
        <s v="CUST101379"/>
        <s v="CUST101380"/>
        <s v="CUST101381"/>
        <s v="CUST101382"/>
        <s v="CUST101383"/>
        <s v="CUST101384"/>
        <s v="CUST101385"/>
        <s v="CUST101386"/>
        <s v="CUST101387"/>
        <s v="CUST101388"/>
        <s v="CUST101389"/>
        <s v="CUST101390"/>
        <s v="CUST101391"/>
        <s v="CUST101392"/>
        <s v="CUST101393"/>
        <s v="CUST101394"/>
        <s v="CUST101395"/>
        <s v="CUST101396"/>
        <s v="CUST101397"/>
        <s v="CUST101398"/>
        <s v="CUST101399"/>
        <s v="CUST101400"/>
        <s v="CUST101401"/>
        <s v="CUST101402"/>
        <s v="CUST101403"/>
        <s v="CUST101404"/>
        <s v="CUST101405"/>
        <s v="CUST101406"/>
        <s v="CUST101407"/>
        <s v="CUST101408"/>
        <s v="CUST101409"/>
        <s v="CUST101410"/>
        <s v="CUST101411"/>
        <s v="CUST101412"/>
        <s v="CUST101413"/>
        <s v="CUST101414"/>
        <s v="CUST101415"/>
        <s v="CUST101416"/>
        <s v="CUST101417"/>
        <s v="CUST101418"/>
        <s v="CUST101419"/>
        <s v="CUST101420"/>
        <s v="CUST101421"/>
        <s v="CUST101422"/>
        <s v="CUST101423"/>
        <s v="CUST101424"/>
        <s v="CUST101425"/>
        <s v="CUST101426"/>
        <s v="CUST101427"/>
        <s v="CUST101428"/>
        <s v="CUST101429"/>
        <s v="CUST101430"/>
        <s v="CUST101431"/>
        <s v="CUST101432"/>
        <s v="CUST101433"/>
        <s v="CUST101434"/>
        <s v="CUST101435"/>
        <s v="CUST101436"/>
        <s v="CUST101437"/>
        <s v="CUST101438"/>
        <s v="CUST101439"/>
        <s v="CUST101440"/>
        <s v="CUST101441"/>
        <s v="CUST101442"/>
        <s v="CUST101443"/>
        <s v="CUST101444"/>
        <s v="CUST101445"/>
        <s v="CUST101446"/>
        <s v="CUST101447"/>
        <s v="CUST101448"/>
        <s v="CUST101449"/>
        <s v="CUST101450"/>
        <s v="CUST101451"/>
        <s v="CUST101452"/>
        <s v="CUST101453"/>
        <s v="CUST101454"/>
        <s v="CUST101455"/>
        <s v="CUST101456"/>
        <s v="CUST101457"/>
        <s v="CUST101458"/>
        <s v="CUST101459"/>
        <s v="CUST101460"/>
        <s v="CUST101461"/>
        <s v="CUST101462"/>
        <s v="CUST101463"/>
        <s v="CUST101464"/>
        <s v="CUST101465"/>
        <s v="CUST101466"/>
        <s v="CUST101467"/>
        <s v="CUST101468"/>
        <s v="CUST101469"/>
        <s v="CUST101470"/>
        <s v="CUST101471"/>
        <s v="CUST101472"/>
        <s v="CUST101473"/>
        <s v="CUST101474"/>
        <s v="CUST101475"/>
        <s v="CUST101476"/>
        <s v="CUST101477"/>
        <s v="CUST101478"/>
        <s v="CUST101479"/>
        <s v="CUST101480"/>
        <s v="CUST101481"/>
        <s v="CUST101482"/>
        <s v="CUST101483"/>
        <s v="CUST101484"/>
        <s v="CUST101485"/>
        <s v="CUST101486"/>
        <s v="CUST101487"/>
        <s v="CUST101488"/>
        <s v="CUST101489"/>
        <s v="CUST101490"/>
        <s v="CUST101491"/>
        <s v="CUST101492"/>
        <s v="CUST101493"/>
        <s v="CUST101494"/>
        <s v="CUST101495"/>
        <s v="CUST101496"/>
        <s v="CUST101497"/>
        <s v="CUST101498"/>
        <s v="CUST101499"/>
        <s v="CUST101500"/>
        <s v="CUST101501"/>
        <s v="CUST101502"/>
        <s v="CUST101503"/>
        <s v="CUST101504"/>
        <s v="CUST101505"/>
        <s v="CUST101506"/>
        <s v="CUST101507"/>
        <s v="CUST101508"/>
        <s v="CUST101509"/>
        <s v="CUST101510"/>
        <s v="CUST101511"/>
        <s v="CUST101512"/>
        <s v="CUST101513"/>
        <s v="CUST101514"/>
        <s v="CUST101515"/>
        <s v="CUST101516"/>
        <s v="CUST101517"/>
        <s v="CUST101518"/>
        <s v="CUST101519"/>
        <s v="CUST101520"/>
        <s v="CUST101521"/>
        <s v="CUST101522"/>
        <s v="CUST101523"/>
        <s v="CUST101524"/>
        <s v="CUST101525"/>
        <s v="CUST101526"/>
        <s v="CUST101527"/>
        <s v="CUST101528"/>
        <s v="CUST101529"/>
        <s v="CUST101530"/>
        <s v="CUST101531"/>
        <s v="CUST101532"/>
        <s v="CUST101533"/>
        <s v="CUST101534"/>
        <s v="CUST101535"/>
        <s v="CUST101536"/>
        <s v="CUST101537"/>
        <s v="CUST101538"/>
        <s v="CUST101539"/>
        <s v="CUST101540"/>
        <s v="CUST101541"/>
        <s v="CUST101542"/>
        <s v="CUST101543"/>
        <s v="CUST101544"/>
        <s v="CUST101545"/>
        <s v="CUST101546"/>
        <s v="CUST101547"/>
        <s v="CUST101548"/>
        <s v="CUST101549"/>
        <s v="CUST101550"/>
        <s v="CUST101551"/>
        <s v="CUST101552"/>
        <s v="CUST101553"/>
        <s v="CUST101554"/>
        <s v="CUST101555"/>
        <s v="CUST101556"/>
        <s v="CUST101557"/>
        <s v="CUST101558"/>
        <s v="CUST101559"/>
        <s v="CUST101560"/>
        <s v="CUST101561"/>
        <s v="CUST101562"/>
        <s v="CUST101563"/>
        <s v="CUST101564"/>
        <s v="CUST101565"/>
        <s v="CUST101566"/>
        <s v="CUST101567"/>
        <s v="CUST101568"/>
        <s v="CUST101569"/>
        <s v="CUST101570"/>
        <s v="CUST101571"/>
        <s v="CUST101572"/>
        <s v="CUST101573"/>
        <s v="CUST101574"/>
        <s v="CUST101575"/>
        <s v="CUST101576"/>
        <s v="CUST101577"/>
        <s v="CUST101578"/>
        <s v="CUST101579"/>
        <s v="CUST101580"/>
        <s v="CUST101581"/>
        <s v="CUST101582"/>
        <s v="CUST101583"/>
        <s v="CUST101584"/>
        <s v="CUST101585"/>
        <s v="CUST101586"/>
        <s v="CUST101587"/>
        <s v="CUST101588"/>
        <s v="CUST101589"/>
        <s v="CUST101590"/>
        <s v="CUST101591"/>
        <s v="CUST101592"/>
        <s v="CUST101593"/>
        <s v="CUST101594"/>
        <s v="CUST101595"/>
        <s v="CUST101596"/>
        <s v="CUST101597"/>
        <s v="CUST101598"/>
        <s v="CUST101599"/>
        <s v="CUST101600"/>
        <s v="CUST101601"/>
        <s v="CUST101602"/>
        <s v="CUST101603"/>
        <s v="CUST101604"/>
        <s v="CUST101605"/>
        <s v="CUST101606"/>
        <s v="CUST101607"/>
        <s v="CUST101608"/>
        <s v="CUST101609"/>
        <s v="CUST101610"/>
        <s v="CUST101611"/>
        <s v="CUST101612"/>
        <s v="CUST101613"/>
        <s v="CUST101614"/>
        <s v="CUST101615"/>
        <s v="CUST101616"/>
        <s v="CUST101617"/>
        <s v="CUST101618"/>
        <s v="CUST101619"/>
        <s v="CUST101620"/>
        <s v="CUST101621"/>
        <s v="CUST101622"/>
        <s v="CUST101623"/>
        <s v="CUST101624"/>
        <s v="CUST101625"/>
        <s v="CUST101626"/>
        <s v="CUST101627"/>
        <s v="CUST101628"/>
        <s v="CUST101629"/>
        <s v="CUST101630"/>
        <s v="CUST101631"/>
        <s v="CUST101632"/>
        <s v="CUST101633"/>
        <s v="CUST101634"/>
        <s v="CUST101635"/>
        <s v="CUST101636"/>
        <s v="CUST101637"/>
        <s v="CUST101638"/>
        <s v="CUST101639"/>
        <s v="CUST101640"/>
        <s v="CUST101641"/>
        <s v="CUST101642"/>
        <s v="CUST101643"/>
        <s v="CUST101644"/>
        <s v="CUST101645"/>
        <s v="CUST101646"/>
        <s v="CUST101647"/>
        <s v="CUST101648"/>
        <s v="CUST101649"/>
        <s v="CUST101650"/>
        <s v="CUST101651"/>
        <s v="CUST101652"/>
        <s v="CUST101653"/>
        <s v="CUST101654"/>
        <s v="CUST101655"/>
        <s v="CUST101656"/>
        <s v="CUST101657"/>
        <s v="CUST101658"/>
        <s v="CUST101659"/>
        <s v="CUST101660"/>
        <s v="CUST101661"/>
        <s v="CUST101662"/>
        <s v="CUST101663"/>
        <s v="CUST101664"/>
        <s v="CUST101665"/>
        <s v="CUST101666"/>
        <s v="CUST101667"/>
        <s v="CUST101668"/>
        <s v="CUST101669"/>
        <s v="CUST101670"/>
        <s v="CUST101671"/>
        <s v="CUST101672"/>
        <s v="CUST101673"/>
        <s v="CUST101674"/>
        <s v="CUST101675"/>
        <s v="CUST101676"/>
        <s v="CUST101677"/>
        <s v="CUST101678"/>
        <s v="CUST101679"/>
        <s v="CUST101680"/>
        <s v="CUST101681"/>
        <s v="CUST101682"/>
        <s v="CUST101683"/>
        <s v="CUST101684"/>
        <s v="CUST101685"/>
        <s v="CUST101686"/>
        <s v="CUST101687"/>
        <s v="CUST101688"/>
        <s v="CUST101689"/>
        <s v="CUST101690"/>
        <s v="CUST101691"/>
        <s v="CUST101692"/>
        <s v="CUST101693"/>
        <s v="CUST101694"/>
        <s v="CUST101695"/>
        <s v="CUST101696"/>
        <s v="CUST101697"/>
        <s v="CUST101698"/>
        <s v="CUST101699"/>
        <s v="CUST101700"/>
        <s v="CUST101701"/>
        <s v="CUST101702"/>
        <s v="CUST101703"/>
        <s v="CUST101704"/>
        <s v="CUST101705"/>
        <s v="CUST101706"/>
        <s v="CUST101707"/>
        <s v="CUST101708"/>
        <s v="CUST101709"/>
        <s v="CUST101710"/>
        <s v="CUST101711"/>
        <s v="CUST101712"/>
        <s v="CUST101713"/>
        <s v="CUST101714"/>
        <s v="CUST101715"/>
        <s v="CUST101716"/>
        <s v="CUST101717"/>
        <s v="CUST101718"/>
        <s v="CUST101719"/>
        <s v="CUST101720"/>
        <s v="CUST101721"/>
        <s v="CUST101722"/>
        <s v="CUST101723"/>
        <s v="CUST101724"/>
        <s v="CUST101725"/>
        <s v="CUST101726"/>
        <s v="CUST101727"/>
        <s v="CUST101728"/>
        <s v="CUST101729"/>
        <s v="CUST101730"/>
        <s v="CUST101731"/>
        <s v="CUST101732"/>
        <s v="CUST101733"/>
        <s v="CUST101734"/>
        <s v="CUST101735"/>
        <s v="CUST101736"/>
        <s v="CUST101737"/>
        <s v="CUST101738"/>
        <s v="CUST101739"/>
        <s v="CUST101740"/>
        <s v="CUST101741"/>
        <s v="CUST101742"/>
        <s v="CUST101743"/>
        <s v="CUST101744"/>
        <s v="CUST101745"/>
        <s v="CUST101746"/>
        <s v="CUST101747"/>
        <s v="CUST101748"/>
        <s v="CUST101749"/>
        <s v="CUST101750"/>
        <s v="CUST101751"/>
        <s v="CUST101752"/>
        <s v="CUST101753"/>
        <s v="CUST101754"/>
        <s v="CUST101755"/>
        <s v="CUST101756"/>
        <s v="CUST101757"/>
        <s v="CUST101758"/>
        <s v="CUST101759"/>
        <s v="CUST101760"/>
        <s v="CUST101761"/>
        <s v="CUST101762"/>
        <s v="CUST101763"/>
        <s v="CUST101764"/>
        <s v="CUST101765"/>
        <s v="CUST101766"/>
        <s v="CUST101767"/>
        <s v="CUST101768"/>
        <s v="CUST101769"/>
        <s v="CUST101770"/>
        <s v="CUST101771"/>
        <s v="CUST101772"/>
        <s v="CUST101773"/>
        <s v="CUST101774"/>
        <s v="CUST101775"/>
        <s v="CUST101776"/>
        <s v="CUST101777"/>
        <s v="CUST101778"/>
        <s v="CUST101779"/>
        <s v="CUST101780"/>
        <s v="CUST101781"/>
        <s v="CUST101782"/>
        <s v="CUST101783"/>
        <s v="CUST101784"/>
        <s v="CUST101785"/>
        <s v="CUST101786"/>
        <s v="CUST101787"/>
        <s v="CUST101788"/>
        <s v="CUST101789"/>
        <s v="CUST101790"/>
        <s v="CUST101791"/>
        <s v="CUST101792"/>
        <s v="CUST101793"/>
        <s v="CUST101794"/>
        <s v="CUST101795"/>
        <s v="CUST101796"/>
        <s v="CUST101797"/>
        <s v="CUST101798"/>
        <s v="CUST101799"/>
        <s v="CUST101800"/>
        <s v="CUST101801"/>
        <s v="CUST101802"/>
        <s v="CUST101803"/>
        <s v="CUST101804"/>
        <s v="CUST101805"/>
        <s v="CUST101806"/>
        <s v="CUST101807"/>
        <s v="CUST101808"/>
        <s v="CUST101809"/>
        <s v="CUST101810"/>
        <s v="CUST101811"/>
        <s v="CUST101812"/>
        <s v="CUST101813"/>
        <s v="CUST101814"/>
        <s v="CUST101815"/>
        <s v="CUST101816"/>
        <s v="CUST101817"/>
        <s v="CUST101818"/>
        <s v="CUST101819"/>
        <s v="CUST101820"/>
        <s v="CUST101821"/>
        <s v="CUST101822"/>
        <s v="CUST101823"/>
        <s v="CUST101824"/>
        <s v="CUST101825"/>
        <s v="CUST101826"/>
        <s v="CUST101827"/>
        <s v="CUST101828"/>
        <s v="CUST101829"/>
        <s v="CUST101830"/>
        <s v="CUST101831"/>
        <s v="CUST101832"/>
        <s v="CUST101833"/>
        <s v="CUST101834"/>
        <s v="CUST101835"/>
        <s v="CUST101836"/>
        <s v="CUST101837"/>
        <s v="CUST101838"/>
        <s v="CUST101839"/>
        <s v="CUST101840"/>
        <s v="CUST101841"/>
        <s v="CUST101842"/>
        <s v="CUST101843"/>
        <s v="CUST101844"/>
        <s v="CUST101845"/>
        <s v="CUST101846"/>
        <s v="CUST101847"/>
        <s v="CUST101848"/>
        <s v="CUST101849"/>
        <s v="CUST101850"/>
        <s v="CUST101851"/>
        <s v="CUST101852"/>
        <s v="CUST101853"/>
        <s v="CUST101854"/>
        <s v="CUST101855"/>
        <s v="CUST101856"/>
        <s v="CUST101857"/>
        <s v="CUST101858"/>
        <s v="CUST101859"/>
        <s v="CUST101860"/>
        <s v="CUST101861"/>
        <s v="CUST101862"/>
        <s v="CUST101863"/>
        <s v="CUST101864"/>
        <s v="CUST101865"/>
        <s v="CUST101866"/>
        <s v="CUST101867"/>
        <s v="CUST101868"/>
        <s v="CUST101869"/>
        <s v="CUST101870"/>
        <s v="CUST101871"/>
        <s v="CUST101872"/>
        <s v="CUST101873"/>
        <s v="CUST101874"/>
        <s v="CUST101875"/>
        <s v="CUST101876"/>
        <s v="CUST101877"/>
        <s v="CUST101878"/>
        <s v="CUST101879"/>
        <s v="CUST101880"/>
        <s v="CUST101881"/>
        <s v="CUST101882"/>
        <s v="CUST101883"/>
        <s v="CUST101884"/>
        <s v="CUST101885"/>
        <s v="CUST101886"/>
        <s v="CUST101887"/>
        <s v="CUST101888"/>
        <s v="CUST101889"/>
        <s v="CUST101890"/>
        <s v="CUST101891"/>
        <s v="CUST101892"/>
        <s v="CUST101893"/>
        <s v="CUST101894"/>
        <s v="CUST101895"/>
        <s v="CUST101896"/>
        <s v="CUST101897"/>
        <s v="CUST101898"/>
        <s v="CUST101899"/>
        <s v="CUST101900"/>
        <s v="CUST101901"/>
        <s v="CUST101902"/>
        <s v="CUST101903"/>
        <s v="CUST101904"/>
        <s v="CUST101905"/>
        <s v="CUST101906"/>
        <s v="CUST101907"/>
        <s v="CUST101908"/>
        <s v="CUST101909"/>
        <s v="CUST101910"/>
        <s v="CUST101911"/>
        <s v="CUST101912"/>
        <s v="CUST101913"/>
        <s v="CUST101914"/>
        <s v="CUST101915"/>
        <s v="CUST101916"/>
        <s v="CUST101917"/>
        <s v="CUST101918"/>
        <s v="CUST101919"/>
        <s v="CUST101920"/>
        <s v="CUST101921"/>
        <s v="CUST101922"/>
        <s v="CUST101923"/>
        <s v="CUST101924"/>
        <s v="CUST101925"/>
        <s v="CUST101926"/>
        <s v="CUST101927"/>
        <s v="CUST101928"/>
        <s v="CUST101929"/>
        <s v="CUST101930"/>
        <s v="CUST101931"/>
        <s v="CUST101932"/>
        <s v="CUST101933"/>
        <s v="CUST101934"/>
        <s v="CUST101935"/>
        <s v="CUST101936"/>
        <s v="CUST101937"/>
        <s v="CUST101938"/>
        <s v="CUST101939"/>
        <s v="CUST101940"/>
        <s v="CUST101941"/>
        <s v="CUST101942"/>
        <s v="CUST101943"/>
        <s v="CUST101944"/>
        <s v="CUST101945"/>
        <s v="CUST101946"/>
        <s v="CUST101947"/>
        <s v="CUST101948"/>
        <s v="CUST101949"/>
        <s v="CUST101950"/>
        <s v="CUST101951"/>
        <s v="CUST101952"/>
        <s v="CUST101953"/>
        <s v="CUST101954"/>
        <s v="CUST101955"/>
        <s v="CUST101956"/>
        <s v="CUST101957"/>
        <s v="CUST101958"/>
        <s v="CUST101959"/>
        <s v="CUST101960"/>
        <s v="CUST101961"/>
        <s v="CUST101962"/>
        <s v="CUST101963"/>
        <s v="CUST101964"/>
        <s v="CUST101965"/>
        <s v="CUST101966"/>
        <s v="CUST101967"/>
        <s v="CUST101968"/>
        <s v="CUST101969"/>
        <s v="CUST101970"/>
        <s v="CUST101971"/>
        <s v="CUST101972"/>
        <s v="CUST101973"/>
        <s v="CUST101974"/>
        <s v="CUST101975"/>
        <s v="CUST101976"/>
        <s v="CUST101977"/>
        <s v="CUST101978"/>
        <s v="CUST101979"/>
        <s v="CUST101980"/>
        <s v="CUST101981"/>
        <s v="CUST101982"/>
        <s v="CUST101983"/>
        <s v="CUST101984"/>
        <s v="CUST101985"/>
        <s v="CUST101986"/>
        <s v="CUST101987"/>
        <s v="CUST101988"/>
        <s v="CUST101989"/>
        <s v="CUST101990"/>
        <s v="CUST101991"/>
        <s v="CUST101992"/>
        <s v="CUST101993"/>
        <s v="CUST101994"/>
        <s v="CUST101995"/>
        <s v="CUST101996"/>
        <s v="CUST101997"/>
        <s v="CUST101998"/>
        <s v="CUST101999"/>
      </sharedItems>
    </cacheField>
    <cacheField name="branch_id" numFmtId="0">
      <sharedItems/>
    </cacheField>
    <cacheField name="age" numFmtId="0">
      <sharedItems containsSemiMixedTypes="0" containsString="0" containsNumber="1" containsInteger="1" minValue="18" maxValue="69"/>
    </cacheField>
    <cacheField name="gender" numFmtId="0">
      <sharedItems/>
    </cacheField>
    <cacheField name="income_bracket" numFmtId="0">
      <sharedItems/>
    </cacheField>
    <cacheField name="channel" numFmtId="0">
      <sharedItems/>
    </cacheField>
    <cacheField name="account_type" numFmtId="0">
      <sharedItems count="2">
        <s v="savings"/>
        <s v="current"/>
      </sharedItems>
    </cacheField>
    <cacheField name="kyc_status" numFmtId="0">
      <sharedItems/>
    </cacheField>
    <cacheField name="account_open_date" numFmtId="14">
      <sharedItems containsSemiMixedTypes="0" containsNonDate="0" containsDate="1" containsString="0" minDate="2021-01-01T00:00:00" maxDate="2025-07-31T00:00:00"/>
    </cacheField>
    <cacheField name="initial_deposit" numFmtId="0">
      <sharedItems containsSemiMixedTypes="0" containsString="0" containsNumber="1" containsInteger="1" minValue="558" maxValue="300000"/>
    </cacheField>
    <cacheField name="last_txn_date" numFmtId="14">
      <sharedItems containsSemiMixedTypes="0" containsNonDate="0" containsDate="1" containsString="0" minDate="2024-02-10T00:00:00" maxDate="2025-08-01T00:00:00"/>
    </cacheField>
    <cacheField name="txn_net_sum" numFmtId="0">
      <sharedItems containsSemiMixedTypes="0" containsString="0" containsNumber="1" containsInteger="1" minValue="-31952" maxValue="63507"/>
    </cacheField>
    <cacheField name="current_balance" numFmtId="0">
      <sharedItems containsSemiMixedTypes="0" containsString="0" containsNumber="1" containsInteger="1" minValue="-25471" maxValue="317374"/>
    </cacheField>
    <cacheField name="churn_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s v="BR015"/>
    <n v="56"/>
    <s v="F"/>
    <s v="&lt;3L"/>
    <s v="online"/>
    <x v="0"/>
    <s v="complete"/>
    <d v="2022-06-15T00:00:00"/>
    <n v="98089"/>
    <d v="2025-07-13T00:00:00"/>
    <n v="12103"/>
    <n v="110192"/>
    <n v="0"/>
  </r>
  <r>
    <x v="1"/>
    <s v="BR009"/>
    <n v="69"/>
    <s v="M"/>
    <s v="3-6L"/>
    <s v="branch"/>
    <x v="0"/>
    <s v="complete"/>
    <d v="2025-05-30T00:00:00"/>
    <n v="5127"/>
    <d v="2025-07-26T00:00:00"/>
    <n v="-6391"/>
    <n v="-1264"/>
    <n v="0"/>
  </r>
  <r>
    <x v="2"/>
    <s v="BR007"/>
    <n v="46"/>
    <s v="F"/>
    <s v="3-6L"/>
    <s v="online"/>
    <x v="0"/>
    <s v="complete"/>
    <d v="2022-08-06T00:00:00"/>
    <n v="9304"/>
    <d v="2025-07-06T00:00:00"/>
    <n v="17739"/>
    <n v="27043"/>
    <n v="0"/>
  </r>
  <r>
    <x v="3"/>
    <s v="BR016"/>
    <n v="32"/>
    <s v="O"/>
    <s v="3-6L"/>
    <s v="branch"/>
    <x v="0"/>
    <s v="complete"/>
    <d v="2022-08-03T00:00:00"/>
    <n v="7310"/>
    <d v="2025-06-16T00:00:00"/>
    <n v="7452"/>
    <n v="14762"/>
    <n v="0"/>
  </r>
  <r>
    <x v="4"/>
    <s v="BR003"/>
    <n v="60"/>
    <s v="M"/>
    <s v="&lt;3L"/>
    <s v="online"/>
    <x v="0"/>
    <s v="complete"/>
    <d v="2023-09-24T00:00:00"/>
    <n v="1818"/>
    <d v="2025-07-28T00:00:00"/>
    <n v="12418"/>
    <n v="14236"/>
    <n v="0"/>
  </r>
  <r>
    <x v="5"/>
    <s v="BR017"/>
    <n v="25"/>
    <s v="F"/>
    <s v="&gt;10L"/>
    <s v="online"/>
    <x v="0"/>
    <s v="complete"/>
    <d v="2025-06-13T00:00:00"/>
    <n v="14512"/>
    <d v="2025-07-31T00:00:00"/>
    <n v="26840"/>
    <n v="41352"/>
    <n v="0"/>
  </r>
  <r>
    <x v="6"/>
    <s v="BR008"/>
    <n v="38"/>
    <s v="M"/>
    <s v="6-10L"/>
    <s v="branch"/>
    <x v="0"/>
    <s v="complete"/>
    <d v="2025-07-03T00:00:00"/>
    <n v="13027"/>
    <d v="2025-07-30T00:00:00"/>
    <n v="46831"/>
    <n v="59858"/>
    <n v="0"/>
  </r>
  <r>
    <x v="7"/>
    <s v="BR002"/>
    <n v="56"/>
    <s v="F"/>
    <s v="3-6L"/>
    <s v="branch"/>
    <x v="1"/>
    <s v="complete"/>
    <d v="2023-08-28T00:00:00"/>
    <n v="16008"/>
    <d v="2025-06-16T00:00:00"/>
    <n v="7766"/>
    <n v="23774"/>
    <n v="0"/>
  </r>
  <r>
    <x v="8"/>
    <s v="BR020"/>
    <n v="36"/>
    <s v="F"/>
    <s v="&gt;10L"/>
    <s v="branch"/>
    <x v="0"/>
    <s v="complete"/>
    <d v="2021-01-02T00:00:00"/>
    <n v="12276"/>
    <d v="2025-03-02T00:00:00"/>
    <n v="36648"/>
    <n v="48924"/>
    <n v="0"/>
  </r>
  <r>
    <x v="9"/>
    <s v="BR003"/>
    <n v="40"/>
    <s v="M"/>
    <s v="3-6L"/>
    <s v="branch"/>
    <x v="0"/>
    <s v="complete"/>
    <d v="2025-02-15T00:00:00"/>
    <n v="8435"/>
    <d v="2025-07-24T00:00:00"/>
    <n v="16301"/>
    <n v="24736"/>
    <n v="0"/>
  </r>
  <r>
    <x v="10"/>
    <s v="BR008"/>
    <n v="28"/>
    <s v="F"/>
    <s v="&gt;10L"/>
    <s v="online"/>
    <x v="0"/>
    <s v="complete"/>
    <d v="2023-08-13T00:00:00"/>
    <n v="7964"/>
    <d v="2025-07-23T00:00:00"/>
    <n v="23526"/>
    <n v="31490"/>
    <n v="0"/>
  </r>
  <r>
    <x v="11"/>
    <s v="BR002"/>
    <n v="28"/>
    <s v="M"/>
    <s v="3-6L"/>
    <s v="online"/>
    <x v="1"/>
    <s v="complete"/>
    <d v="2022-09-05T00:00:00"/>
    <n v="8102"/>
    <d v="2024-12-09T00:00:00"/>
    <n v="-4078"/>
    <n v="4024"/>
    <n v="1"/>
  </r>
  <r>
    <x v="12"/>
    <s v="BR019"/>
    <n v="41"/>
    <s v="M"/>
    <s v="&lt;3L"/>
    <s v="online"/>
    <x v="1"/>
    <s v="pending"/>
    <d v="2024-10-19T00:00:00"/>
    <n v="4971"/>
    <d v="2025-07-27T00:00:00"/>
    <n v="-30442"/>
    <n v="-25471"/>
    <n v="0"/>
  </r>
  <r>
    <x v="13"/>
    <s v="BR017"/>
    <n v="53"/>
    <s v="F"/>
    <s v="6-10L"/>
    <s v="branch"/>
    <x v="1"/>
    <s v="complete"/>
    <d v="2022-10-31T00:00:00"/>
    <n v="5803"/>
    <d v="2025-07-16T00:00:00"/>
    <n v="7413"/>
    <n v="13216"/>
    <n v="0"/>
  </r>
  <r>
    <x v="14"/>
    <s v="BR005"/>
    <n v="57"/>
    <s v="M"/>
    <s v="6-10L"/>
    <s v="branch"/>
    <x v="0"/>
    <s v="complete"/>
    <d v="2021-02-26T00:00:00"/>
    <n v="5055"/>
    <d v="2025-07-03T00:00:00"/>
    <n v="4277"/>
    <n v="9332"/>
    <n v="0"/>
  </r>
  <r>
    <x v="15"/>
    <s v="BR020"/>
    <n v="41"/>
    <s v="F"/>
    <s v="6-10L"/>
    <s v="online"/>
    <x v="0"/>
    <s v="complete"/>
    <d v="2024-10-05T00:00:00"/>
    <n v="23704"/>
    <d v="2025-07-26T00:00:00"/>
    <n v="3908"/>
    <n v="27612"/>
    <n v="0"/>
  </r>
  <r>
    <x v="16"/>
    <s v="BR017"/>
    <n v="20"/>
    <s v="M"/>
    <s v="&gt;10L"/>
    <s v="online"/>
    <x v="0"/>
    <s v="complete"/>
    <d v="2023-07-03T00:00:00"/>
    <n v="18144"/>
    <d v="2025-07-23T00:00:00"/>
    <n v="9577"/>
    <n v="27721"/>
    <n v="0"/>
  </r>
  <r>
    <x v="17"/>
    <s v="BR010"/>
    <n v="39"/>
    <s v="O"/>
    <s v="6-10L"/>
    <s v="online"/>
    <x v="0"/>
    <s v="complete"/>
    <d v="2022-07-20T00:00:00"/>
    <n v="13727"/>
    <d v="2025-07-02T00:00:00"/>
    <n v="21472"/>
    <n v="35199"/>
    <n v="0"/>
  </r>
  <r>
    <x v="18"/>
    <s v="BR009"/>
    <n v="19"/>
    <s v="M"/>
    <s v="3-6L"/>
    <s v="branch"/>
    <x v="0"/>
    <s v="complete"/>
    <d v="2022-02-24T00:00:00"/>
    <n v="93178"/>
    <d v="2025-07-22T00:00:00"/>
    <n v="29198"/>
    <n v="122376"/>
    <n v="0"/>
  </r>
  <r>
    <x v="19"/>
    <s v="BR006"/>
    <n v="41"/>
    <s v="F"/>
    <s v="6-10L"/>
    <s v="online"/>
    <x v="0"/>
    <s v="complete"/>
    <d v="2023-09-21T00:00:00"/>
    <n v="5294"/>
    <d v="2025-05-05T00:00:00"/>
    <n v="18862"/>
    <n v="24156"/>
    <n v="0"/>
  </r>
  <r>
    <x v="20"/>
    <s v="BR011"/>
    <n v="61"/>
    <s v="F"/>
    <s v="6-10L"/>
    <s v="online"/>
    <x v="0"/>
    <s v="complete"/>
    <d v="2021-12-15T00:00:00"/>
    <n v="40896"/>
    <d v="2025-06-06T00:00:00"/>
    <n v="15568"/>
    <n v="56464"/>
    <n v="0"/>
  </r>
  <r>
    <x v="21"/>
    <s v="BR002"/>
    <n v="47"/>
    <s v="M"/>
    <s v="3-6L"/>
    <s v="online"/>
    <x v="0"/>
    <s v="complete"/>
    <d v="2022-06-26T00:00:00"/>
    <n v="10301"/>
    <d v="2025-07-01T00:00:00"/>
    <n v="-234"/>
    <n v="10067"/>
    <n v="0"/>
  </r>
  <r>
    <x v="22"/>
    <s v="BR012"/>
    <n v="55"/>
    <s v="O"/>
    <s v="6-10L"/>
    <s v="branch"/>
    <x v="0"/>
    <s v="pending"/>
    <d v="2023-12-01T00:00:00"/>
    <n v="15633"/>
    <d v="2025-07-14T00:00:00"/>
    <n v="8151"/>
    <n v="23784"/>
    <n v="0"/>
  </r>
  <r>
    <x v="23"/>
    <s v="BR012"/>
    <n v="19"/>
    <s v="F"/>
    <s v="&lt;3L"/>
    <s v="branch"/>
    <x v="0"/>
    <s v="complete"/>
    <d v="2025-01-14T00:00:00"/>
    <n v="26138"/>
    <d v="2025-07-24T00:00:00"/>
    <n v="30024"/>
    <n v="56162"/>
    <n v="0"/>
  </r>
  <r>
    <x v="24"/>
    <s v="BR016"/>
    <n v="38"/>
    <s v="F"/>
    <s v="6-10L"/>
    <s v="branch"/>
    <x v="1"/>
    <s v="complete"/>
    <d v="2023-06-11T00:00:00"/>
    <n v="8287"/>
    <d v="2025-06-19T00:00:00"/>
    <n v="17365"/>
    <n v="25652"/>
    <n v="0"/>
  </r>
  <r>
    <x v="25"/>
    <s v="BR012"/>
    <n v="50"/>
    <s v="F"/>
    <s v="6-10L"/>
    <s v="online"/>
    <x v="0"/>
    <s v="complete"/>
    <d v="2024-06-23T00:00:00"/>
    <n v="4644"/>
    <d v="2025-07-23T00:00:00"/>
    <n v="-18544"/>
    <n v="-13900"/>
    <n v="0"/>
  </r>
  <r>
    <x v="26"/>
    <s v="BR018"/>
    <n v="29"/>
    <s v="O"/>
    <s v="6-10L"/>
    <s v="online"/>
    <x v="0"/>
    <s v="complete"/>
    <d v="2024-06-30T00:00:00"/>
    <n v="5477"/>
    <d v="2025-07-18T00:00:00"/>
    <n v="31787"/>
    <n v="37264"/>
    <n v="0"/>
  </r>
  <r>
    <x v="27"/>
    <s v="BR013"/>
    <n v="39"/>
    <s v="F"/>
    <s v="6-10L"/>
    <s v="branch"/>
    <x v="0"/>
    <s v="complete"/>
    <d v="2024-01-17T00:00:00"/>
    <n v="1626"/>
    <d v="2025-07-02T00:00:00"/>
    <n v="39564"/>
    <n v="41190"/>
    <n v="0"/>
  </r>
  <r>
    <x v="28"/>
    <s v="BR015"/>
    <n v="61"/>
    <s v="F"/>
    <s v="6-10L"/>
    <s v="branch"/>
    <x v="0"/>
    <s v="complete"/>
    <d v="2022-02-16T00:00:00"/>
    <n v="24509"/>
    <d v="2025-07-24T00:00:00"/>
    <n v="23879"/>
    <n v="48388"/>
    <n v="0"/>
  </r>
  <r>
    <x v="29"/>
    <s v="BR016"/>
    <n v="42"/>
    <s v="F"/>
    <s v="3-6L"/>
    <s v="online"/>
    <x v="0"/>
    <s v="complete"/>
    <d v="2024-12-21T00:00:00"/>
    <n v="23926"/>
    <d v="2025-07-30T00:00:00"/>
    <n v="20070"/>
    <n v="43996"/>
    <n v="0"/>
  </r>
  <r>
    <x v="30"/>
    <s v="BR004"/>
    <n v="66"/>
    <s v="M"/>
    <s v="6-10L"/>
    <s v="online"/>
    <x v="0"/>
    <s v="pending"/>
    <d v="2022-12-31T00:00:00"/>
    <n v="65098"/>
    <d v="2025-07-30T00:00:00"/>
    <n v="10251"/>
    <n v="75349"/>
    <n v="0"/>
  </r>
  <r>
    <x v="31"/>
    <s v="BR012"/>
    <n v="44"/>
    <s v="M"/>
    <s v="&lt;3L"/>
    <s v="online"/>
    <x v="0"/>
    <s v="complete"/>
    <d v="2021-03-15T00:00:00"/>
    <n v="20230"/>
    <d v="2025-04-19T00:00:00"/>
    <n v="3460"/>
    <n v="23690"/>
    <n v="0"/>
  </r>
  <r>
    <x v="32"/>
    <s v="BR017"/>
    <n v="59"/>
    <s v="F"/>
    <s v="&lt;3L"/>
    <s v="online"/>
    <x v="0"/>
    <s v="complete"/>
    <d v="2022-02-14T00:00:00"/>
    <n v="25725"/>
    <d v="2025-06-24T00:00:00"/>
    <n v="9814"/>
    <n v="35539"/>
    <n v="0"/>
  </r>
  <r>
    <x v="33"/>
    <s v="BR001"/>
    <n v="45"/>
    <s v="M"/>
    <s v="3-6L"/>
    <s v="branch"/>
    <x v="1"/>
    <s v="pending"/>
    <d v="2024-07-04T00:00:00"/>
    <n v="12314"/>
    <d v="2025-07-15T00:00:00"/>
    <n v="3160"/>
    <n v="15474"/>
    <n v="0"/>
  </r>
  <r>
    <x v="34"/>
    <s v="BR018"/>
    <n v="33"/>
    <s v="F"/>
    <s v="3-6L"/>
    <s v="online"/>
    <x v="0"/>
    <s v="complete"/>
    <d v="2021-04-26T00:00:00"/>
    <n v="21266"/>
    <d v="2025-05-09T00:00:00"/>
    <n v="3909"/>
    <n v="25175"/>
    <n v="0"/>
  </r>
  <r>
    <x v="35"/>
    <s v="BR016"/>
    <n v="32"/>
    <s v="M"/>
    <s v="3-6L"/>
    <s v="online"/>
    <x v="0"/>
    <s v="complete"/>
    <d v="2021-09-04T00:00:00"/>
    <n v="39719"/>
    <d v="2025-07-23T00:00:00"/>
    <n v="-478"/>
    <n v="39241"/>
    <n v="0"/>
  </r>
  <r>
    <x v="36"/>
    <s v="BR001"/>
    <n v="64"/>
    <s v="M"/>
    <s v="6-10L"/>
    <s v="online"/>
    <x v="0"/>
    <s v="complete"/>
    <d v="2024-03-07T00:00:00"/>
    <n v="16018"/>
    <d v="2025-06-07T00:00:00"/>
    <n v="5375"/>
    <n v="21393"/>
    <n v="0"/>
  </r>
  <r>
    <x v="37"/>
    <s v="BR010"/>
    <n v="68"/>
    <s v="F"/>
    <s v="3-6L"/>
    <s v="online"/>
    <x v="1"/>
    <s v="complete"/>
    <d v="2025-02-02T00:00:00"/>
    <n v="7933"/>
    <d v="2025-07-26T00:00:00"/>
    <n v="15410"/>
    <n v="23343"/>
    <n v="0"/>
  </r>
  <r>
    <x v="38"/>
    <s v="BR019"/>
    <n v="61"/>
    <s v="F"/>
    <s v="3-6L"/>
    <s v="online"/>
    <x v="0"/>
    <s v="complete"/>
    <d v="2023-11-27T00:00:00"/>
    <n v="10719"/>
    <d v="2025-07-10T00:00:00"/>
    <n v="6476"/>
    <n v="17195"/>
    <n v="0"/>
  </r>
  <r>
    <x v="39"/>
    <s v="BR016"/>
    <n v="69"/>
    <s v="M"/>
    <s v="&lt;3L"/>
    <s v="online"/>
    <x v="0"/>
    <s v="complete"/>
    <d v="2022-01-07T00:00:00"/>
    <n v="28335"/>
    <d v="2025-03-16T00:00:00"/>
    <n v="-7974"/>
    <n v="20361"/>
    <n v="0"/>
  </r>
  <r>
    <x v="40"/>
    <s v="BR014"/>
    <n v="20"/>
    <s v="F"/>
    <s v="3-6L"/>
    <s v="online"/>
    <x v="1"/>
    <s v="complete"/>
    <d v="2021-03-31T00:00:00"/>
    <n v="8174"/>
    <d v="2025-04-01T00:00:00"/>
    <n v="4151"/>
    <n v="12325"/>
    <n v="0"/>
  </r>
  <r>
    <x v="41"/>
    <s v="BR002"/>
    <n v="54"/>
    <s v="F"/>
    <s v="3-6L"/>
    <s v="branch"/>
    <x v="1"/>
    <s v="complete"/>
    <d v="2023-10-27T00:00:00"/>
    <n v="32502"/>
    <d v="2025-07-23T00:00:00"/>
    <n v="16687"/>
    <n v="49189"/>
    <n v="0"/>
  </r>
  <r>
    <x v="42"/>
    <s v="BR006"/>
    <n v="68"/>
    <s v="M"/>
    <s v="&lt;3L"/>
    <s v="online"/>
    <x v="1"/>
    <s v="complete"/>
    <d v="2021-03-21T00:00:00"/>
    <n v="90093"/>
    <d v="2025-03-29T00:00:00"/>
    <n v="17717"/>
    <n v="107810"/>
    <n v="0"/>
  </r>
  <r>
    <x v="43"/>
    <s v="BR005"/>
    <n v="24"/>
    <s v="F"/>
    <s v="3-6L"/>
    <s v="online"/>
    <x v="0"/>
    <s v="complete"/>
    <d v="2023-10-23T00:00:00"/>
    <n v="32908"/>
    <d v="2025-07-05T00:00:00"/>
    <n v="31999"/>
    <n v="64907"/>
    <n v="0"/>
  </r>
  <r>
    <x v="44"/>
    <s v="BR012"/>
    <n v="38"/>
    <s v="M"/>
    <s v="&lt;3L"/>
    <s v="branch"/>
    <x v="0"/>
    <s v="complete"/>
    <d v="2022-01-13T00:00:00"/>
    <n v="28202"/>
    <d v="2025-07-18T00:00:00"/>
    <n v="5813"/>
    <n v="34015"/>
    <n v="0"/>
  </r>
  <r>
    <x v="45"/>
    <s v="BR004"/>
    <n v="26"/>
    <s v="M"/>
    <s v="&lt;3L"/>
    <s v="branch"/>
    <x v="1"/>
    <s v="pending"/>
    <d v="2025-02-22T00:00:00"/>
    <n v="18914"/>
    <d v="2025-07-30T00:00:00"/>
    <n v="4983"/>
    <n v="23897"/>
    <n v="0"/>
  </r>
  <r>
    <x v="46"/>
    <s v="BR004"/>
    <n v="56"/>
    <s v="O"/>
    <s v="3-6L"/>
    <s v="branch"/>
    <x v="0"/>
    <s v="complete"/>
    <d v="2023-03-06T00:00:00"/>
    <n v="6143"/>
    <d v="2025-07-08T00:00:00"/>
    <n v="8928"/>
    <n v="15071"/>
    <n v="0"/>
  </r>
  <r>
    <x v="47"/>
    <s v="BR005"/>
    <n v="35"/>
    <s v="M"/>
    <s v="&lt;3L"/>
    <s v="online"/>
    <x v="0"/>
    <s v="complete"/>
    <d v="2022-01-10T00:00:00"/>
    <n v="5611"/>
    <d v="2025-05-22T00:00:00"/>
    <n v="15253"/>
    <n v="20864"/>
    <n v="0"/>
  </r>
  <r>
    <x v="48"/>
    <s v="BR007"/>
    <n v="21"/>
    <s v="F"/>
    <s v="6-10L"/>
    <s v="online"/>
    <x v="0"/>
    <s v="complete"/>
    <d v="2024-11-28T00:00:00"/>
    <n v="5555"/>
    <d v="2025-07-25T00:00:00"/>
    <n v="-4285"/>
    <n v="1270"/>
    <n v="0"/>
  </r>
  <r>
    <x v="49"/>
    <s v="BR006"/>
    <n v="42"/>
    <s v="F"/>
    <s v="6-10L"/>
    <s v="online"/>
    <x v="0"/>
    <s v="complete"/>
    <d v="2022-03-02T00:00:00"/>
    <n v="23266"/>
    <d v="2025-07-22T00:00:00"/>
    <n v="8354"/>
    <n v="31620"/>
    <n v="0"/>
  </r>
  <r>
    <x v="50"/>
    <s v="BR013"/>
    <n v="31"/>
    <s v="M"/>
    <s v="3-6L"/>
    <s v="online"/>
    <x v="1"/>
    <s v="complete"/>
    <d v="2022-05-28T00:00:00"/>
    <n v="9050"/>
    <d v="2025-07-27T00:00:00"/>
    <n v="2456"/>
    <n v="11506"/>
    <n v="0"/>
  </r>
  <r>
    <x v="51"/>
    <s v="BR004"/>
    <n v="67"/>
    <s v="F"/>
    <s v="&gt;10L"/>
    <s v="online"/>
    <x v="0"/>
    <s v="complete"/>
    <d v="2024-10-27T00:00:00"/>
    <n v="12978"/>
    <d v="2025-07-31T00:00:00"/>
    <n v="14951"/>
    <n v="27929"/>
    <n v="0"/>
  </r>
  <r>
    <x v="52"/>
    <s v="BR013"/>
    <n v="26"/>
    <s v="O"/>
    <s v="3-6L"/>
    <s v="branch"/>
    <x v="0"/>
    <s v="complete"/>
    <d v="2022-06-01T00:00:00"/>
    <n v="20306"/>
    <d v="2025-07-17T00:00:00"/>
    <n v="19597"/>
    <n v="39903"/>
    <n v="0"/>
  </r>
  <r>
    <x v="53"/>
    <s v="BR004"/>
    <n v="43"/>
    <s v="M"/>
    <s v="3-6L"/>
    <s v="online"/>
    <x v="1"/>
    <s v="complete"/>
    <d v="2022-11-18T00:00:00"/>
    <n v="5765"/>
    <d v="2025-07-10T00:00:00"/>
    <n v="12018"/>
    <n v="17783"/>
    <n v="0"/>
  </r>
  <r>
    <x v="54"/>
    <s v="BR010"/>
    <n v="19"/>
    <s v="F"/>
    <s v="&gt;10L"/>
    <s v="online"/>
    <x v="0"/>
    <s v="complete"/>
    <d v="2022-08-05T00:00:00"/>
    <n v="8088"/>
    <d v="2025-07-29T00:00:00"/>
    <n v="11310"/>
    <n v="19398"/>
    <n v="0"/>
  </r>
  <r>
    <x v="55"/>
    <s v="BR020"/>
    <n v="37"/>
    <s v="F"/>
    <s v="&lt;3L"/>
    <s v="online"/>
    <x v="0"/>
    <s v="complete"/>
    <d v="2021-07-14T00:00:00"/>
    <n v="18451"/>
    <d v="2024-12-02T00:00:00"/>
    <n v="19685"/>
    <n v="38136"/>
    <n v="1"/>
  </r>
  <r>
    <x v="56"/>
    <s v="BR001"/>
    <n v="45"/>
    <s v="F"/>
    <s v="&gt;10L"/>
    <s v="online"/>
    <x v="0"/>
    <s v="complete"/>
    <d v="2021-03-07T00:00:00"/>
    <n v="9988"/>
    <d v="2025-07-28T00:00:00"/>
    <n v="19055"/>
    <n v="29043"/>
    <n v="0"/>
  </r>
  <r>
    <x v="57"/>
    <s v="BR008"/>
    <n v="64"/>
    <s v="F"/>
    <s v="&lt;3L"/>
    <s v="branch"/>
    <x v="0"/>
    <s v="complete"/>
    <d v="2024-04-27T00:00:00"/>
    <n v="10966"/>
    <d v="2025-07-23T00:00:00"/>
    <n v="14599"/>
    <n v="25565"/>
    <n v="0"/>
  </r>
  <r>
    <x v="58"/>
    <s v="BR007"/>
    <n v="24"/>
    <s v="M"/>
    <s v="3-6L"/>
    <s v="online"/>
    <x v="0"/>
    <s v="complete"/>
    <d v="2023-12-16T00:00:00"/>
    <n v="4757"/>
    <d v="2025-07-17T00:00:00"/>
    <n v="14144"/>
    <n v="18901"/>
    <n v="0"/>
  </r>
  <r>
    <x v="59"/>
    <s v="BR005"/>
    <n v="61"/>
    <s v="F"/>
    <s v="&lt;3L"/>
    <s v="branch"/>
    <x v="0"/>
    <s v="complete"/>
    <d v="2022-04-18T00:00:00"/>
    <n v="11115"/>
    <d v="2025-07-07T00:00:00"/>
    <n v="41373"/>
    <n v="52488"/>
    <n v="0"/>
  </r>
  <r>
    <x v="60"/>
    <s v="BR003"/>
    <n v="25"/>
    <s v="F"/>
    <s v="6-10L"/>
    <s v="branch"/>
    <x v="0"/>
    <s v="complete"/>
    <d v="2022-05-10T00:00:00"/>
    <n v="69715"/>
    <d v="2025-04-11T00:00:00"/>
    <n v="6550"/>
    <n v="76265"/>
    <n v="0"/>
  </r>
  <r>
    <x v="61"/>
    <s v="BR015"/>
    <n v="64"/>
    <s v="F"/>
    <s v="3-6L"/>
    <s v="online"/>
    <x v="0"/>
    <s v="complete"/>
    <d v="2025-04-30T00:00:00"/>
    <n v="8550"/>
    <d v="2025-07-31T00:00:00"/>
    <n v="6027"/>
    <n v="14577"/>
    <n v="0"/>
  </r>
  <r>
    <x v="62"/>
    <s v="BR017"/>
    <n v="52"/>
    <s v="F"/>
    <s v="6-10L"/>
    <s v="online"/>
    <x v="0"/>
    <s v="complete"/>
    <d v="2025-07-11T00:00:00"/>
    <n v="4243"/>
    <d v="2025-07-31T00:00:00"/>
    <n v="4939"/>
    <n v="9182"/>
    <n v="0"/>
  </r>
  <r>
    <x v="63"/>
    <s v="BR013"/>
    <n v="31"/>
    <s v="F"/>
    <s v="3-6L"/>
    <s v="branch"/>
    <x v="0"/>
    <s v="complete"/>
    <d v="2023-03-04T00:00:00"/>
    <n v="34827"/>
    <d v="2025-06-23T00:00:00"/>
    <n v="14583"/>
    <n v="49410"/>
    <n v="0"/>
  </r>
  <r>
    <x v="64"/>
    <s v="BR015"/>
    <n v="34"/>
    <s v="F"/>
    <s v="3-6L"/>
    <s v="branch"/>
    <x v="0"/>
    <s v="complete"/>
    <d v="2024-09-04T00:00:00"/>
    <n v="22547"/>
    <d v="2025-07-26T00:00:00"/>
    <n v="-5819"/>
    <n v="16728"/>
    <n v="0"/>
  </r>
  <r>
    <x v="65"/>
    <s v="BR019"/>
    <n v="53"/>
    <s v="F"/>
    <s v="&lt;3L"/>
    <s v="online"/>
    <x v="0"/>
    <s v="complete"/>
    <d v="2024-05-17T00:00:00"/>
    <n v="16525"/>
    <d v="2025-07-25T00:00:00"/>
    <n v="12784"/>
    <n v="29309"/>
    <n v="0"/>
  </r>
  <r>
    <x v="66"/>
    <s v="BR020"/>
    <n v="67"/>
    <s v="F"/>
    <s v="3-6L"/>
    <s v="branch"/>
    <x v="0"/>
    <s v="complete"/>
    <d v="2022-05-13T00:00:00"/>
    <n v="3574"/>
    <d v="2025-07-17T00:00:00"/>
    <n v="9339"/>
    <n v="12913"/>
    <n v="0"/>
  </r>
  <r>
    <x v="67"/>
    <s v="BR014"/>
    <n v="57"/>
    <s v="F"/>
    <s v="&gt;10L"/>
    <s v="online"/>
    <x v="0"/>
    <s v="complete"/>
    <d v="2021-04-08T00:00:00"/>
    <n v="4119"/>
    <d v="2025-07-30T00:00:00"/>
    <n v="-4610"/>
    <n v="-491"/>
    <n v="0"/>
  </r>
  <r>
    <x v="68"/>
    <s v="BR013"/>
    <n v="21"/>
    <s v="F"/>
    <s v="3-6L"/>
    <s v="branch"/>
    <x v="0"/>
    <s v="complete"/>
    <d v="2021-08-27T00:00:00"/>
    <n v="2872"/>
    <d v="2025-04-10T00:00:00"/>
    <n v="11951"/>
    <n v="14823"/>
    <n v="0"/>
  </r>
  <r>
    <x v="69"/>
    <s v="BR012"/>
    <n v="19"/>
    <s v="F"/>
    <s v="6-10L"/>
    <s v="online"/>
    <x v="0"/>
    <s v="complete"/>
    <d v="2024-11-03T00:00:00"/>
    <n v="20569"/>
    <d v="2025-07-11T00:00:00"/>
    <n v="-7219"/>
    <n v="13350"/>
    <n v="0"/>
  </r>
  <r>
    <x v="70"/>
    <s v="BR009"/>
    <n v="23"/>
    <s v="M"/>
    <s v="6-10L"/>
    <s v="online"/>
    <x v="1"/>
    <s v="complete"/>
    <d v="2024-05-08T00:00:00"/>
    <n v="37044"/>
    <d v="2025-06-30T00:00:00"/>
    <n v="18178"/>
    <n v="55222"/>
    <n v="0"/>
  </r>
  <r>
    <x v="71"/>
    <s v="BR003"/>
    <n v="59"/>
    <s v="M"/>
    <s v="3-6L"/>
    <s v="branch"/>
    <x v="0"/>
    <s v="complete"/>
    <d v="2024-01-17T00:00:00"/>
    <n v="21275"/>
    <d v="2025-06-30T00:00:00"/>
    <n v="-2452"/>
    <n v="18823"/>
    <n v="0"/>
  </r>
  <r>
    <x v="72"/>
    <s v="BR011"/>
    <n v="21"/>
    <s v="M"/>
    <s v="3-6L"/>
    <s v="online"/>
    <x v="0"/>
    <s v="complete"/>
    <d v="2021-08-07T00:00:00"/>
    <n v="93892"/>
    <d v="2025-05-08T00:00:00"/>
    <n v="5092"/>
    <n v="98984"/>
    <n v="0"/>
  </r>
  <r>
    <x v="73"/>
    <s v="BR010"/>
    <n v="46"/>
    <s v="F"/>
    <s v="&lt;3L"/>
    <s v="online"/>
    <x v="0"/>
    <s v="complete"/>
    <d v="2023-12-07T00:00:00"/>
    <n v="8588"/>
    <d v="2025-06-16T00:00:00"/>
    <n v="27814"/>
    <n v="36402"/>
    <n v="0"/>
  </r>
  <r>
    <x v="74"/>
    <s v="BR001"/>
    <n v="35"/>
    <s v="F"/>
    <s v="&lt;3L"/>
    <s v="online"/>
    <x v="1"/>
    <s v="complete"/>
    <d v="2024-07-15T00:00:00"/>
    <n v="9666"/>
    <d v="2025-07-29T00:00:00"/>
    <n v="-8932"/>
    <n v="734"/>
    <n v="0"/>
  </r>
  <r>
    <x v="75"/>
    <s v="BR017"/>
    <n v="43"/>
    <s v="F"/>
    <s v="&lt;3L"/>
    <s v="branch"/>
    <x v="0"/>
    <s v="complete"/>
    <d v="2024-12-10T00:00:00"/>
    <n v="14862"/>
    <d v="2025-07-11T00:00:00"/>
    <n v="-5985"/>
    <n v="8877"/>
    <n v="0"/>
  </r>
  <r>
    <x v="76"/>
    <s v="BR013"/>
    <n v="61"/>
    <s v="F"/>
    <s v="3-6L"/>
    <s v="branch"/>
    <x v="0"/>
    <s v="complete"/>
    <d v="2021-01-23T00:00:00"/>
    <n v="10620"/>
    <d v="2025-07-17T00:00:00"/>
    <n v="3872"/>
    <n v="14492"/>
    <n v="0"/>
  </r>
  <r>
    <x v="77"/>
    <s v="BR014"/>
    <n v="51"/>
    <s v="F"/>
    <s v="3-6L"/>
    <s v="branch"/>
    <x v="0"/>
    <s v="pending"/>
    <d v="2024-02-20T00:00:00"/>
    <n v="21998"/>
    <d v="2025-07-22T00:00:00"/>
    <n v="22541"/>
    <n v="44539"/>
    <n v="0"/>
  </r>
  <r>
    <x v="78"/>
    <s v="BR001"/>
    <n v="27"/>
    <s v="M"/>
    <s v="3-6L"/>
    <s v="online"/>
    <x v="0"/>
    <s v="complete"/>
    <d v="2021-02-01T00:00:00"/>
    <n v="7047"/>
    <d v="2025-06-16T00:00:00"/>
    <n v="13265"/>
    <n v="20312"/>
    <n v="0"/>
  </r>
  <r>
    <x v="79"/>
    <s v="BR002"/>
    <n v="53"/>
    <s v="F"/>
    <s v="3-6L"/>
    <s v="branch"/>
    <x v="0"/>
    <s v="complete"/>
    <d v="2024-03-28T00:00:00"/>
    <n v="3312"/>
    <d v="2025-07-19T00:00:00"/>
    <n v="-5460"/>
    <n v="-2148"/>
    <n v="0"/>
  </r>
  <r>
    <x v="80"/>
    <s v="BR002"/>
    <n v="31"/>
    <s v="F"/>
    <s v="3-6L"/>
    <s v="online"/>
    <x v="0"/>
    <s v="pending"/>
    <d v="2023-11-30T00:00:00"/>
    <n v="2232"/>
    <d v="2025-07-27T00:00:00"/>
    <n v="-4649"/>
    <n v="-2417"/>
    <n v="0"/>
  </r>
  <r>
    <x v="81"/>
    <s v="BR007"/>
    <n v="48"/>
    <s v="F"/>
    <s v="6-10L"/>
    <s v="online"/>
    <x v="0"/>
    <s v="complete"/>
    <d v="2021-09-06T00:00:00"/>
    <n v="21601"/>
    <d v="2025-06-17T00:00:00"/>
    <n v="19218"/>
    <n v="40819"/>
    <n v="0"/>
  </r>
  <r>
    <x v="82"/>
    <s v="BR009"/>
    <n v="65"/>
    <s v="M"/>
    <s v="6-10L"/>
    <s v="branch"/>
    <x v="0"/>
    <s v="complete"/>
    <d v="2024-07-05T00:00:00"/>
    <n v="7896"/>
    <d v="2025-07-31T00:00:00"/>
    <n v="28934"/>
    <n v="36830"/>
    <n v="0"/>
  </r>
  <r>
    <x v="83"/>
    <s v="BR004"/>
    <n v="32"/>
    <s v="M"/>
    <s v="&lt;3L"/>
    <s v="online"/>
    <x v="0"/>
    <s v="complete"/>
    <d v="2021-04-25T00:00:00"/>
    <n v="4148"/>
    <d v="2025-06-13T00:00:00"/>
    <n v="-1541"/>
    <n v="2607"/>
    <n v="0"/>
  </r>
  <r>
    <x v="84"/>
    <s v="BR002"/>
    <n v="25"/>
    <s v="M"/>
    <s v="&lt;3L"/>
    <s v="online"/>
    <x v="0"/>
    <s v="complete"/>
    <d v="2024-10-14T00:00:00"/>
    <n v="7194"/>
    <d v="2025-07-28T00:00:00"/>
    <n v="6297"/>
    <n v="13491"/>
    <n v="0"/>
  </r>
  <r>
    <x v="85"/>
    <s v="BR019"/>
    <n v="31"/>
    <s v="M"/>
    <s v="6-10L"/>
    <s v="online"/>
    <x v="0"/>
    <s v="complete"/>
    <d v="2022-03-15T00:00:00"/>
    <n v="94139"/>
    <d v="2025-07-05T00:00:00"/>
    <n v="-8361"/>
    <n v="85778"/>
    <n v="0"/>
  </r>
  <r>
    <x v="86"/>
    <s v="BR005"/>
    <n v="40"/>
    <s v="F"/>
    <s v="3-6L"/>
    <s v="online"/>
    <x v="0"/>
    <s v="complete"/>
    <d v="2024-02-27T00:00:00"/>
    <n v="4399"/>
    <d v="2025-07-16T00:00:00"/>
    <n v="12526"/>
    <n v="16925"/>
    <n v="0"/>
  </r>
  <r>
    <x v="87"/>
    <s v="BR009"/>
    <n v="57"/>
    <s v="M"/>
    <s v="6-10L"/>
    <s v="branch"/>
    <x v="0"/>
    <s v="complete"/>
    <d v="2025-03-26T00:00:00"/>
    <n v="27645"/>
    <d v="2025-07-23T00:00:00"/>
    <n v="-1555"/>
    <n v="26090"/>
    <n v="0"/>
  </r>
  <r>
    <x v="88"/>
    <s v="BR013"/>
    <n v="38"/>
    <s v="F"/>
    <s v="3-6L"/>
    <s v="online"/>
    <x v="0"/>
    <s v="complete"/>
    <d v="2022-07-23T00:00:00"/>
    <n v="20355"/>
    <d v="2025-06-06T00:00:00"/>
    <n v="-19531"/>
    <n v="824"/>
    <n v="0"/>
  </r>
  <r>
    <x v="89"/>
    <s v="BR012"/>
    <n v="33"/>
    <s v="F"/>
    <s v="3-6L"/>
    <s v="branch"/>
    <x v="1"/>
    <s v="complete"/>
    <d v="2023-04-22T00:00:00"/>
    <n v="51095"/>
    <d v="2025-06-06T00:00:00"/>
    <n v="5675"/>
    <n v="56770"/>
    <n v="0"/>
  </r>
  <r>
    <x v="90"/>
    <s v="BR019"/>
    <n v="62"/>
    <s v="M"/>
    <s v="&lt;3L"/>
    <s v="online"/>
    <x v="0"/>
    <s v="complete"/>
    <d v="2023-02-14T00:00:00"/>
    <n v="11812"/>
    <d v="2025-03-19T00:00:00"/>
    <n v="19499"/>
    <n v="31311"/>
    <n v="0"/>
  </r>
  <r>
    <x v="91"/>
    <s v="BR009"/>
    <n v="35"/>
    <s v="M"/>
    <s v="3-6L"/>
    <s v="online"/>
    <x v="1"/>
    <s v="complete"/>
    <d v="2021-09-21T00:00:00"/>
    <n v="2806"/>
    <d v="2025-03-07T00:00:00"/>
    <n v="15345"/>
    <n v="18151"/>
    <n v="0"/>
  </r>
  <r>
    <x v="92"/>
    <s v="BR010"/>
    <n v="64"/>
    <s v="M"/>
    <s v="3-6L"/>
    <s v="online"/>
    <x v="0"/>
    <s v="complete"/>
    <d v="2023-09-15T00:00:00"/>
    <n v="36046"/>
    <d v="2025-07-18T00:00:00"/>
    <n v="-18208"/>
    <n v="17838"/>
    <n v="0"/>
  </r>
  <r>
    <x v="93"/>
    <s v="BR019"/>
    <n v="41"/>
    <s v="M"/>
    <s v="3-6L"/>
    <s v="branch"/>
    <x v="1"/>
    <s v="complete"/>
    <d v="2024-05-28T00:00:00"/>
    <n v="10406"/>
    <d v="2025-07-31T00:00:00"/>
    <n v="1768"/>
    <n v="12174"/>
    <n v="0"/>
  </r>
  <r>
    <x v="94"/>
    <s v="BR010"/>
    <n v="43"/>
    <s v="M"/>
    <s v="6-10L"/>
    <s v="branch"/>
    <x v="0"/>
    <s v="complete"/>
    <d v="2025-03-14T00:00:00"/>
    <n v="47785"/>
    <d v="2025-07-21T00:00:00"/>
    <n v="21827"/>
    <n v="69612"/>
    <n v="0"/>
  </r>
  <r>
    <x v="95"/>
    <s v="BR012"/>
    <n v="42"/>
    <s v="F"/>
    <s v="6-10L"/>
    <s v="branch"/>
    <x v="0"/>
    <s v="complete"/>
    <d v="2024-11-24T00:00:00"/>
    <n v="30211"/>
    <d v="2025-07-31T00:00:00"/>
    <n v="34948"/>
    <n v="65159"/>
    <n v="0"/>
  </r>
  <r>
    <x v="96"/>
    <s v="BR014"/>
    <n v="62"/>
    <s v="M"/>
    <s v="3-6L"/>
    <s v="branch"/>
    <x v="0"/>
    <s v="complete"/>
    <d v="2023-05-04T00:00:00"/>
    <n v="36166"/>
    <d v="2025-06-16T00:00:00"/>
    <n v="-6266"/>
    <n v="29900"/>
    <n v="0"/>
  </r>
  <r>
    <x v="97"/>
    <s v="BR008"/>
    <n v="58"/>
    <s v="O"/>
    <s v="6-10L"/>
    <s v="online"/>
    <x v="0"/>
    <s v="complete"/>
    <d v="2024-04-17T00:00:00"/>
    <n v="142697"/>
    <d v="2025-07-23T00:00:00"/>
    <n v="15236"/>
    <n v="157933"/>
    <n v="0"/>
  </r>
  <r>
    <x v="98"/>
    <s v="BR016"/>
    <n v="46"/>
    <s v="M"/>
    <s v="3-6L"/>
    <s v="branch"/>
    <x v="0"/>
    <s v="complete"/>
    <d v="2024-09-01T00:00:00"/>
    <n v="17712"/>
    <d v="2025-07-06T00:00:00"/>
    <n v="13365"/>
    <n v="31077"/>
    <n v="0"/>
  </r>
  <r>
    <x v="99"/>
    <s v="BR017"/>
    <n v="32"/>
    <s v="F"/>
    <s v="3-6L"/>
    <s v="branch"/>
    <x v="0"/>
    <s v="complete"/>
    <d v="2023-04-06T00:00:00"/>
    <n v="56549"/>
    <d v="2025-07-02T00:00:00"/>
    <n v="14418"/>
    <n v="70967"/>
    <n v="0"/>
  </r>
  <r>
    <x v="100"/>
    <s v="BR020"/>
    <n v="62"/>
    <s v="F"/>
    <s v="6-10L"/>
    <s v="branch"/>
    <x v="0"/>
    <s v="complete"/>
    <d v="2021-07-13T00:00:00"/>
    <n v="8912"/>
    <d v="2025-06-05T00:00:00"/>
    <n v="-14160"/>
    <n v="-5248"/>
    <n v="0"/>
  </r>
  <r>
    <x v="101"/>
    <s v="BR004"/>
    <n v="18"/>
    <s v="F"/>
    <s v="3-6L"/>
    <s v="online"/>
    <x v="0"/>
    <s v="complete"/>
    <d v="2023-01-03T00:00:00"/>
    <n v="22942"/>
    <d v="2025-07-24T00:00:00"/>
    <n v="22668"/>
    <n v="45610"/>
    <n v="0"/>
  </r>
  <r>
    <x v="102"/>
    <s v="BR006"/>
    <n v="42"/>
    <s v="F"/>
    <s v="3-6L"/>
    <s v="online"/>
    <x v="0"/>
    <s v="complete"/>
    <d v="2024-11-10T00:00:00"/>
    <n v="8085"/>
    <d v="2025-07-30T00:00:00"/>
    <n v="-1806"/>
    <n v="6279"/>
    <n v="0"/>
  </r>
  <r>
    <x v="103"/>
    <s v="BR012"/>
    <n v="24"/>
    <s v="F"/>
    <s v="&lt;3L"/>
    <s v="branch"/>
    <x v="0"/>
    <s v="complete"/>
    <d v="2023-09-26T00:00:00"/>
    <n v="21574"/>
    <d v="2025-07-04T00:00:00"/>
    <n v="16131"/>
    <n v="37705"/>
    <n v="0"/>
  </r>
  <r>
    <x v="104"/>
    <s v="BR018"/>
    <n v="26"/>
    <s v="F"/>
    <s v="3-6L"/>
    <s v="branch"/>
    <x v="0"/>
    <s v="complete"/>
    <d v="2024-04-27T00:00:00"/>
    <n v="19435"/>
    <d v="2025-07-05T00:00:00"/>
    <n v="8928"/>
    <n v="28363"/>
    <n v="0"/>
  </r>
  <r>
    <x v="105"/>
    <s v="BR007"/>
    <n v="41"/>
    <s v="F"/>
    <s v="6-10L"/>
    <s v="online"/>
    <x v="0"/>
    <s v="complete"/>
    <d v="2021-11-06T00:00:00"/>
    <n v="1702"/>
    <d v="2025-02-24T00:00:00"/>
    <n v="-11581"/>
    <n v="-9879"/>
    <n v="0"/>
  </r>
  <r>
    <x v="106"/>
    <s v="BR005"/>
    <n v="18"/>
    <s v="F"/>
    <s v="6-10L"/>
    <s v="branch"/>
    <x v="0"/>
    <s v="complete"/>
    <d v="2025-06-02T00:00:00"/>
    <n v="7246"/>
    <d v="2025-07-30T00:00:00"/>
    <n v="6951"/>
    <n v="14197"/>
    <n v="0"/>
  </r>
  <r>
    <x v="107"/>
    <s v="BR010"/>
    <n v="61"/>
    <s v="M"/>
    <s v="6-10L"/>
    <s v="branch"/>
    <x v="0"/>
    <s v="complete"/>
    <d v="2022-11-08T00:00:00"/>
    <n v="16820"/>
    <d v="2025-07-05T00:00:00"/>
    <n v="-3950"/>
    <n v="12870"/>
    <n v="0"/>
  </r>
  <r>
    <x v="108"/>
    <s v="BR006"/>
    <n v="25"/>
    <s v="M"/>
    <s v="6-10L"/>
    <s v="online"/>
    <x v="1"/>
    <s v="complete"/>
    <d v="2023-12-30T00:00:00"/>
    <n v="1398"/>
    <d v="2025-07-04T00:00:00"/>
    <n v="24456"/>
    <n v="25854"/>
    <n v="0"/>
  </r>
  <r>
    <x v="109"/>
    <s v="BR014"/>
    <n v="41"/>
    <s v="F"/>
    <s v="3-6L"/>
    <s v="branch"/>
    <x v="0"/>
    <s v="complete"/>
    <d v="2021-02-01T00:00:00"/>
    <n v="12139"/>
    <d v="2025-07-15T00:00:00"/>
    <n v="9315"/>
    <n v="21454"/>
    <n v="0"/>
  </r>
  <r>
    <x v="110"/>
    <s v="BR006"/>
    <n v="28"/>
    <s v="F"/>
    <s v="3-6L"/>
    <s v="online"/>
    <x v="0"/>
    <s v="complete"/>
    <d v="2021-08-02T00:00:00"/>
    <n v="36624"/>
    <d v="2025-07-31T00:00:00"/>
    <n v="23802"/>
    <n v="60426"/>
    <n v="0"/>
  </r>
  <r>
    <x v="111"/>
    <s v="BR014"/>
    <n v="68"/>
    <s v="F"/>
    <s v="&lt;3L"/>
    <s v="online"/>
    <x v="0"/>
    <s v="complete"/>
    <d v="2024-08-01T00:00:00"/>
    <n v="49033"/>
    <d v="2025-07-25T00:00:00"/>
    <n v="26081"/>
    <n v="75114"/>
    <n v="0"/>
  </r>
  <r>
    <x v="112"/>
    <s v="BR012"/>
    <n v="34"/>
    <s v="F"/>
    <s v="3-6L"/>
    <s v="online"/>
    <x v="0"/>
    <s v="complete"/>
    <d v="2025-06-08T00:00:00"/>
    <n v="6109"/>
    <d v="2025-07-28T00:00:00"/>
    <n v="20342"/>
    <n v="26451"/>
    <n v="0"/>
  </r>
  <r>
    <x v="113"/>
    <s v="BR012"/>
    <n v="25"/>
    <s v="O"/>
    <s v="3-6L"/>
    <s v="online"/>
    <x v="0"/>
    <s v="complete"/>
    <d v="2022-06-20T00:00:00"/>
    <n v="52282"/>
    <d v="2025-05-09T00:00:00"/>
    <n v="17683"/>
    <n v="69965"/>
    <n v="0"/>
  </r>
  <r>
    <x v="114"/>
    <s v="BR008"/>
    <n v="52"/>
    <s v="M"/>
    <s v="&gt;10L"/>
    <s v="branch"/>
    <x v="0"/>
    <s v="complete"/>
    <d v="2021-03-04T00:00:00"/>
    <n v="44717"/>
    <d v="2025-07-22T00:00:00"/>
    <n v="41840"/>
    <n v="86557"/>
    <n v="0"/>
  </r>
  <r>
    <x v="115"/>
    <s v="BR010"/>
    <n v="52"/>
    <s v="M"/>
    <s v="3-6L"/>
    <s v="online"/>
    <x v="0"/>
    <s v="complete"/>
    <d v="2022-08-27T00:00:00"/>
    <n v="1559"/>
    <d v="2025-07-07T00:00:00"/>
    <n v="19911"/>
    <n v="21470"/>
    <n v="0"/>
  </r>
  <r>
    <x v="116"/>
    <s v="BR016"/>
    <n v="50"/>
    <s v="M"/>
    <s v="3-6L"/>
    <s v="online"/>
    <x v="0"/>
    <s v="complete"/>
    <d v="2021-01-30T00:00:00"/>
    <n v="15000"/>
    <d v="2025-06-12T00:00:00"/>
    <n v="5499"/>
    <n v="20499"/>
    <n v="0"/>
  </r>
  <r>
    <x v="117"/>
    <s v="BR020"/>
    <n v="22"/>
    <s v="F"/>
    <s v="3-6L"/>
    <s v="online"/>
    <x v="0"/>
    <s v="complete"/>
    <d v="2021-11-18T00:00:00"/>
    <n v="16755"/>
    <d v="2025-07-19T00:00:00"/>
    <n v="8412"/>
    <n v="25167"/>
    <n v="0"/>
  </r>
  <r>
    <x v="118"/>
    <s v="BR008"/>
    <n v="59"/>
    <s v="F"/>
    <s v="3-6L"/>
    <s v="online"/>
    <x v="0"/>
    <s v="complete"/>
    <d v="2024-06-12T00:00:00"/>
    <n v="61010"/>
    <d v="2025-07-16T00:00:00"/>
    <n v="18167"/>
    <n v="79177"/>
    <n v="0"/>
  </r>
  <r>
    <x v="119"/>
    <s v="BR009"/>
    <n v="56"/>
    <s v="M"/>
    <s v="6-10L"/>
    <s v="online"/>
    <x v="0"/>
    <s v="complete"/>
    <d v="2025-04-17T00:00:00"/>
    <n v="17790"/>
    <d v="2025-07-30T00:00:00"/>
    <n v="26835"/>
    <n v="44625"/>
    <n v="0"/>
  </r>
  <r>
    <x v="120"/>
    <s v="BR013"/>
    <n v="58"/>
    <s v="F"/>
    <s v="&lt;3L"/>
    <s v="branch"/>
    <x v="0"/>
    <s v="complete"/>
    <d v="2021-05-27T00:00:00"/>
    <n v="53838"/>
    <d v="2025-05-20T00:00:00"/>
    <n v="22895"/>
    <n v="76733"/>
    <n v="0"/>
  </r>
  <r>
    <x v="121"/>
    <s v="BR020"/>
    <n v="45"/>
    <s v="M"/>
    <s v="3-6L"/>
    <s v="online"/>
    <x v="1"/>
    <s v="complete"/>
    <d v="2023-07-23T00:00:00"/>
    <n v="6119"/>
    <d v="2025-07-09T00:00:00"/>
    <n v="30462"/>
    <n v="36581"/>
    <n v="0"/>
  </r>
  <r>
    <x v="122"/>
    <s v="BR017"/>
    <n v="24"/>
    <s v="F"/>
    <s v="6-10L"/>
    <s v="branch"/>
    <x v="0"/>
    <s v="complete"/>
    <d v="2022-03-01T00:00:00"/>
    <n v="2703"/>
    <d v="2025-03-01T00:00:00"/>
    <n v="12870"/>
    <n v="15573"/>
    <n v="0"/>
  </r>
  <r>
    <x v="123"/>
    <s v="BR019"/>
    <n v="26"/>
    <s v="F"/>
    <s v="3-6L"/>
    <s v="branch"/>
    <x v="0"/>
    <s v="complete"/>
    <d v="2021-08-21T00:00:00"/>
    <n v="6989"/>
    <d v="2025-06-10T00:00:00"/>
    <n v="3558"/>
    <n v="10547"/>
    <n v="0"/>
  </r>
  <r>
    <x v="124"/>
    <s v="BR017"/>
    <n v="25"/>
    <s v="M"/>
    <s v="3-6L"/>
    <s v="online"/>
    <x v="0"/>
    <s v="complete"/>
    <d v="2022-01-02T00:00:00"/>
    <n v="64666"/>
    <d v="2025-06-29T00:00:00"/>
    <n v="25941"/>
    <n v="90607"/>
    <n v="0"/>
  </r>
  <r>
    <x v="125"/>
    <s v="BR007"/>
    <n v="29"/>
    <s v="F"/>
    <s v="6-10L"/>
    <s v="branch"/>
    <x v="0"/>
    <s v="complete"/>
    <d v="2023-08-25T00:00:00"/>
    <n v="33722"/>
    <d v="2025-07-21T00:00:00"/>
    <n v="-16835"/>
    <n v="16887"/>
    <n v="0"/>
  </r>
  <r>
    <x v="126"/>
    <s v="BR001"/>
    <n v="51"/>
    <s v="M"/>
    <s v="6-10L"/>
    <s v="online"/>
    <x v="0"/>
    <s v="complete"/>
    <d v="2021-04-19T00:00:00"/>
    <n v="136279"/>
    <d v="2025-03-09T00:00:00"/>
    <n v="17549"/>
    <n v="153828"/>
    <n v="0"/>
  </r>
  <r>
    <x v="127"/>
    <s v="BR020"/>
    <n v="50"/>
    <s v="M"/>
    <s v="&lt;3L"/>
    <s v="online"/>
    <x v="0"/>
    <s v="complete"/>
    <d v="2022-12-28T00:00:00"/>
    <n v="3155"/>
    <d v="2025-07-26T00:00:00"/>
    <n v="5981"/>
    <n v="9136"/>
    <n v="0"/>
  </r>
  <r>
    <x v="128"/>
    <s v="BR014"/>
    <n v="65"/>
    <s v="M"/>
    <s v="6-10L"/>
    <s v="online"/>
    <x v="0"/>
    <s v="complete"/>
    <d v="2021-08-15T00:00:00"/>
    <n v="37848"/>
    <d v="2025-06-09T00:00:00"/>
    <n v="7708"/>
    <n v="45556"/>
    <n v="0"/>
  </r>
  <r>
    <x v="129"/>
    <s v="BR017"/>
    <n v="40"/>
    <s v="M"/>
    <s v="6-10L"/>
    <s v="online"/>
    <x v="0"/>
    <s v="complete"/>
    <d v="2022-04-02T00:00:00"/>
    <n v="28421"/>
    <d v="2025-04-20T00:00:00"/>
    <n v="-18027"/>
    <n v="10394"/>
    <n v="0"/>
  </r>
  <r>
    <x v="130"/>
    <s v="BR013"/>
    <n v="41"/>
    <s v="M"/>
    <s v="3-6L"/>
    <s v="online"/>
    <x v="0"/>
    <s v="complete"/>
    <d v="2021-11-16T00:00:00"/>
    <n v="10044"/>
    <d v="2025-07-31T00:00:00"/>
    <n v="772"/>
    <n v="10816"/>
    <n v="0"/>
  </r>
  <r>
    <x v="131"/>
    <s v="BR002"/>
    <n v="54"/>
    <s v="F"/>
    <s v="&gt;10L"/>
    <s v="branch"/>
    <x v="0"/>
    <s v="complete"/>
    <d v="2025-01-17T00:00:00"/>
    <n v="29025"/>
    <d v="2025-07-20T00:00:00"/>
    <n v="15693"/>
    <n v="44718"/>
    <n v="0"/>
  </r>
  <r>
    <x v="132"/>
    <s v="BR014"/>
    <n v="52"/>
    <s v="F"/>
    <s v="6-10L"/>
    <s v="online"/>
    <x v="0"/>
    <s v="complete"/>
    <d v="2024-03-30T00:00:00"/>
    <n v="15367"/>
    <d v="2025-06-24T00:00:00"/>
    <n v="13830"/>
    <n v="29197"/>
    <n v="0"/>
  </r>
  <r>
    <x v="133"/>
    <s v="BR001"/>
    <n v="61"/>
    <s v="F"/>
    <s v="6-10L"/>
    <s v="branch"/>
    <x v="0"/>
    <s v="complete"/>
    <d v="2024-12-23T00:00:00"/>
    <n v="21169"/>
    <d v="2025-07-11T00:00:00"/>
    <n v="-4374"/>
    <n v="16795"/>
    <n v="0"/>
  </r>
  <r>
    <x v="134"/>
    <s v="BR005"/>
    <n v="57"/>
    <s v="M"/>
    <s v="6-10L"/>
    <s v="online"/>
    <x v="0"/>
    <s v="complete"/>
    <d v="2022-10-04T00:00:00"/>
    <n v="26385"/>
    <d v="2025-07-13T00:00:00"/>
    <n v="-3364"/>
    <n v="23021"/>
    <n v="0"/>
  </r>
  <r>
    <x v="135"/>
    <s v="BR007"/>
    <n v="39"/>
    <s v="F"/>
    <s v="&lt;3L"/>
    <s v="branch"/>
    <x v="0"/>
    <s v="complete"/>
    <d v="2022-06-09T00:00:00"/>
    <n v="35600"/>
    <d v="2025-07-21T00:00:00"/>
    <n v="16626"/>
    <n v="52226"/>
    <n v="0"/>
  </r>
  <r>
    <x v="136"/>
    <s v="BR019"/>
    <n v="44"/>
    <s v="M"/>
    <s v="&lt;3L"/>
    <s v="online"/>
    <x v="0"/>
    <s v="pending"/>
    <d v="2022-09-29T00:00:00"/>
    <n v="14571"/>
    <d v="2025-07-21T00:00:00"/>
    <n v="15832"/>
    <n v="30403"/>
    <n v="0"/>
  </r>
  <r>
    <x v="137"/>
    <s v="BR014"/>
    <n v="52"/>
    <s v="M"/>
    <s v="3-6L"/>
    <s v="online"/>
    <x v="0"/>
    <s v="complete"/>
    <d v="2021-02-01T00:00:00"/>
    <n v="79011"/>
    <d v="2025-04-18T00:00:00"/>
    <n v="13414"/>
    <n v="92425"/>
    <n v="0"/>
  </r>
  <r>
    <x v="138"/>
    <s v="BR014"/>
    <n v="18"/>
    <s v="F"/>
    <s v="3-6L"/>
    <s v="online"/>
    <x v="0"/>
    <s v="complete"/>
    <d v="2024-04-27T00:00:00"/>
    <n v="10767"/>
    <d v="2025-07-26T00:00:00"/>
    <n v="16013"/>
    <n v="26780"/>
    <n v="0"/>
  </r>
  <r>
    <x v="139"/>
    <s v="BR015"/>
    <n v="52"/>
    <s v="M"/>
    <s v="3-6L"/>
    <s v="online"/>
    <x v="0"/>
    <s v="complete"/>
    <d v="2022-08-09T00:00:00"/>
    <n v="87883"/>
    <d v="2025-07-27T00:00:00"/>
    <n v="24015"/>
    <n v="111898"/>
    <n v="0"/>
  </r>
  <r>
    <x v="140"/>
    <s v="BR005"/>
    <n v="54"/>
    <s v="F"/>
    <s v="6-10L"/>
    <s v="online"/>
    <x v="0"/>
    <s v="complete"/>
    <d v="2022-06-09T00:00:00"/>
    <n v="4325"/>
    <d v="2025-04-30T00:00:00"/>
    <n v="13513"/>
    <n v="17838"/>
    <n v="0"/>
  </r>
  <r>
    <x v="141"/>
    <s v="BR005"/>
    <n v="64"/>
    <s v="F"/>
    <s v="6-10L"/>
    <s v="branch"/>
    <x v="1"/>
    <s v="complete"/>
    <d v="2023-09-28T00:00:00"/>
    <n v="4989"/>
    <d v="2025-06-09T00:00:00"/>
    <n v="8266"/>
    <n v="13255"/>
    <n v="0"/>
  </r>
  <r>
    <x v="142"/>
    <s v="BR002"/>
    <n v="31"/>
    <s v="M"/>
    <s v="3-6L"/>
    <s v="online"/>
    <x v="0"/>
    <s v="complete"/>
    <d v="2022-12-31T00:00:00"/>
    <n v="5290"/>
    <d v="2025-05-25T00:00:00"/>
    <n v="17048"/>
    <n v="22338"/>
    <n v="0"/>
  </r>
  <r>
    <x v="143"/>
    <s v="BR018"/>
    <n v="20"/>
    <s v="M"/>
    <s v="6-10L"/>
    <s v="branch"/>
    <x v="0"/>
    <s v="complete"/>
    <d v="2025-06-29T00:00:00"/>
    <n v="34782"/>
    <d v="2025-07-31T00:00:00"/>
    <n v="-2634"/>
    <n v="32148"/>
    <n v="0"/>
  </r>
  <r>
    <x v="144"/>
    <s v="BR009"/>
    <n v="18"/>
    <s v="M"/>
    <s v="6-10L"/>
    <s v="branch"/>
    <x v="0"/>
    <s v="complete"/>
    <d v="2022-08-20T00:00:00"/>
    <n v="5970"/>
    <d v="2025-06-20T00:00:00"/>
    <n v="9726"/>
    <n v="15696"/>
    <n v="0"/>
  </r>
  <r>
    <x v="145"/>
    <s v="BR010"/>
    <n v="22"/>
    <s v="F"/>
    <s v="3-6L"/>
    <s v="branch"/>
    <x v="0"/>
    <s v="complete"/>
    <d v="2023-10-25T00:00:00"/>
    <n v="59286"/>
    <d v="2025-06-22T00:00:00"/>
    <n v="-13011"/>
    <n v="46275"/>
    <n v="0"/>
  </r>
  <r>
    <x v="146"/>
    <s v="BR018"/>
    <n v="43"/>
    <s v="M"/>
    <s v="&lt;3L"/>
    <s v="online"/>
    <x v="0"/>
    <s v="complete"/>
    <d v="2022-06-06T00:00:00"/>
    <n v="7891"/>
    <d v="2025-03-19T00:00:00"/>
    <n v="12046"/>
    <n v="19937"/>
    <n v="0"/>
  </r>
  <r>
    <x v="147"/>
    <s v="BR004"/>
    <n v="31"/>
    <s v="M"/>
    <s v="3-6L"/>
    <s v="online"/>
    <x v="0"/>
    <s v="complete"/>
    <d v="2025-07-16T00:00:00"/>
    <n v="19916"/>
    <d v="2025-07-31T00:00:00"/>
    <n v="-2728"/>
    <n v="17188"/>
    <n v="0"/>
  </r>
  <r>
    <x v="148"/>
    <s v="BR008"/>
    <n v="56"/>
    <s v="M"/>
    <s v="6-10L"/>
    <s v="branch"/>
    <x v="0"/>
    <s v="complete"/>
    <d v="2023-01-15T00:00:00"/>
    <n v="25339"/>
    <d v="2025-07-20T00:00:00"/>
    <n v="24704"/>
    <n v="50043"/>
    <n v="0"/>
  </r>
  <r>
    <x v="149"/>
    <s v="BR018"/>
    <n v="44"/>
    <s v="F"/>
    <s v="3-6L"/>
    <s v="branch"/>
    <x v="0"/>
    <s v="complete"/>
    <d v="2023-11-27T00:00:00"/>
    <n v="4838"/>
    <d v="2025-07-17T00:00:00"/>
    <n v="10381"/>
    <n v="15219"/>
    <n v="0"/>
  </r>
  <r>
    <x v="150"/>
    <s v="BR020"/>
    <n v="26"/>
    <s v="M"/>
    <s v="6-10L"/>
    <s v="online"/>
    <x v="0"/>
    <s v="complete"/>
    <d v="2021-08-01T00:00:00"/>
    <n v="3325"/>
    <d v="2025-05-24T00:00:00"/>
    <n v="10745"/>
    <n v="14070"/>
    <n v="0"/>
  </r>
  <r>
    <x v="151"/>
    <s v="BR017"/>
    <n v="32"/>
    <s v="M"/>
    <s v="&lt;3L"/>
    <s v="online"/>
    <x v="0"/>
    <s v="complete"/>
    <d v="2024-05-11T00:00:00"/>
    <n v="17728"/>
    <d v="2025-07-23T00:00:00"/>
    <n v="-283"/>
    <n v="17445"/>
    <n v="0"/>
  </r>
  <r>
    <x v="152"/>
    <s v="BR016"/>
    <n v="32"/>
    <s v="F"/>
    <s v="6-10L"/>
    <s v="online"/>
    <x v="0"/>
    <s v="complete"/>
    <d v="2022-03-27T00:00:00"/>
    <n v="10125"/>
    <d v="2025-06-21T00:00:00"/>
    <n v="26065"/>
    <n v="36190"/>
    <n v="0"/>
  </r>
  <r>
    <x v="153"/>
    <s v="BR018"/>
    <n v="43"/>
    <s v="F"/>
    <s v="6-10L"/>
    <s v="online"/>
    <x v="0"/>
    <s v="complete"/>
    <d v="2023-01-21T00:00:00"/>
    <n v="21992"/>
    <d v="2025-06-05T00:00:00"/>
    <n v="4611"/>
    <n v="26603"/>
    <n v="0"/>
  </r>
  <r>
    <x v="154"/>
    <s v="BR007"/>
    <n v="59"/>
    <s v="M"/>
    <s v="6-10L"/>
    <s v="branch"/>
    <x v="0"/>
    <s v="complete"/>
    <d v="2025-01-17T00:00:00"/>
    <n v="3478"/>
    <d v="2025-07-30T00:00:00"/>
    <n v="-12533"/>
    <n v="-9055"/>
    <n v="0"/>
  </r>
  <r>
    <x v="155"/>
    <s v="BR001"/>
    <n v="30"/>
    <s v="M"/>
    <s v="&gt;10L"/>
    <s v="online"/>
    <x v="0"/>
    <s v="complete"/>
    <d v="2025-06-12T00:00:00"/>
    <n v="9351"/>
    <d v="2025-07-30T00:00:00"/>
    <n v="8574"/>
    <n v="17925"/>
    <n v="0"/>
  </r>
  <r>
    <x v="156"/>
    <s v="BR001"/>
    <n v="68"/>
    <s v="M"/>
    <s v="6-10L"/>
    <s v="online"/>
    <x v="0"/>
    <s v="complete"/>
    <d v="2022-12-12T00:00:00"/>
    <n v="11138"/>
    <d v="2025-05-17T00:00:00"/>
    <n v="11767"/>
    <n v="22905"/>
    <n v="0"/>
  </r>
  <r>
    <x v="157"/>
    <s v="BR018"/>
    <n v="49"/>
    <s v="F"/>
    <s v="&gt;10L"/>
    <s v="online"/>
    <x v="0"/>
    <s v="complete"/>
    <d v="2024-10-28T00:00:00"/>
    <n v="1167"/>
    <d v="2025-07-30T00:00:00"/>
    <n v="4466"/>
    <n v="5633"/>
    <n v="0"/>
  </r>
  <r>
    <x v="158"/>
    <s v="BR004"/>
    <n v="56"/>
    <s v="M"/>
    <s v="&gt;10L"/>
    <s v="online"/>
    <x v="0"/>
    <s v="complete"/>
    <d v="2021-03-31T00:00:00"/>
    <n v="36151"/>
    <d v="2025-07-20T00:00:00"/>
    <n v="12899"/>
    <n v="49050"/>
    <n v="0"/>
  </r>
  <r>
    <x v="159"/>
    <s v="BR020"/>
    <n v="66"/>
    <s v="F"/>
    <s v="6-10L"/>
    <s v="branch"/>
    <x v="0"/>
    <s v="complete"/>
    <d v="2024-11-18T00:00:00"/>
    <n v="6264"/>
    <d v="2025-07-21T00:00:00"/>
    <n v="32093"/>
    <n v="38357"/>
    <n v="0"/>
  </r>
  <r>
    <x v="160"/>
    <s v="BR020"/>
    <n v="69"/>
    <s v="F"/>
    <s v="6-10L"/>
    <s v="branch"/>
    <x v="0"/>
    <s v="complete"/>
    <d v="2023-11-20T00:00:00"/>
    <n v="59824"/>
    <d v="2025-06-22T00:00:00"/>
    <n v="14210"/>
    <n v="74034"/>
    <n v="0"/>
  </r>
  <r>
    <x v="161"/>
    <s v="BR004"/>
    <n v="49"/>
    <s v="F"/>
    <s v="&lt;3L"/>
    <s v="online"/>
    <x v="0"/>
    <s v="complete"/>
    <d v="2023-03-29T00:00:00"/>
    <n v="6682"/>
    <d v="2025-07-30T00:00:00"/>
    <n v="7819"/>
    <n v="14501"/>
    <n v="0"/>
  </r>
  <r>
    <x v="162"/>
    <s v="BR006"/>
    <n v="21"/>
    <s v="M"/>
    <s v="3-6L"/>
    <s v="branch"/>
    <x v="0"/>
    <s v="complete"/>
    <d v="2025-01-28T00:00:00"/>
    <n v="7932"/>
    <d v="2025-07-15T00:00:00"/>
    <n v="-6577"/>
    <n v="1355"/>
    <n v="0"/>
  </r>
  <r>
    <x v="163"/>
    <s v="BR003"/>
    <n v="47"/>
    <s v="F"/>
    <s v="3-6L"/>
    <s v="online"/>
    <x v="0"/>
    <s v="complete"/>
    <d v="2024-11-15T00:00:00"/>
    <n v="3859"/>
    <d v="2025-07-05T00:00:00"/>
    <n v="-14322"/>
    <n v="-10463"/>
    <n v="0"/>
  </r>
  <r>
    <x v="164"/>
    <s v="BR006"/>
    <n v="54"/>
    <s v="F"/>
    <s v="3-6L"/>
    <s v="online"/>
    <x v="0"/>
    <s v="complete"/>
    <d v="2022-05-12T00:00:00"/>
    <n v="42050"/>
    <d v="2025-05-03T00:00:00"/>
    <n v="4682"/>
    <n v="46732"/>
    <n v="0"/>
  </r>
  <r>
    <x v="165"/>
    <s v="BR013"/>
    <n v="40"/>
    <s v="F"/>
    <s v="3-6L"/>
    <s v="online"/>
    <x v="0"/>
    <s v="complete"/>
    <d v="2024-08-17T00:00:00"/>
    <n v="21040"/>
    <d v="2025-07-10T00:00:00"/>
    <n v="28945"/>
    <n v="49985"/>
    <n v="0"/>
  </r>
  <r>
    <x v="166"/>
    <s v="BR007"/>
    <n v="56"/>
    <s v="M"/>
    <s v="&gt;10L"/>
    <s v="online"/>
    <x v="0"/>
    <s v="complete"/>
    <d v="2021-06-16T00:00:00"/>
    <n v="54184"/>
    <d v="2024-11-27T00:00:00"/>
    <n v="-408"/>
    <n v="53776"/>
    <n v="1"/>
  </r>
  <r>
    <x v="167"/>
    <s v="BR004"/>
    <n v="62"/>
    <s v="O"/>
    <s v="6-10L"/>
    <s v="online"/>
    <x v="0"/>
    <s v="complete"/>
    <d v="2024-10-08T00:00:00"/>
    <n v="10858"/>
    <d v="2025-07-13T00:00:00"/>
    <n v="18245"/>
    <n v="29103"/>
    <n v="0"/>
  </r>
  <r>
    <x v="168"/>
    <s v="BR001"/>
    <n v="32"/>
    <s v="M"/>
    <s v="6-10L"/>
    <s v="online"/>
    <x v="0"/>
    <s v="complete"/>
    <d v="2024-02-05T00:00:00"/>
    <n v="12814"/>
    <d v="2025-07-18T00:00:00"/>
    <n v="41846"/>
    <n v="54660"/>
    <n v="0"/>
  </r>
  <r>
    <x v="169"/>
    <s v="BR006"/>
    <n v="60"/>
    <s v="M"/>
    <s v="3-6L"/>
    <s v="branch"/>
    <x v="0"/>
    <s v="complete"/>
    <d v="2021-05-28T00:00:00"/>
    <n v="2485"/>
    <d v="2025-03-29T00:00:00"/>
    <n v="17535"/>
    <n v="20020"/>
    <n v="0"/>
  </r>
  <r>
    <x v="170"/>
    <s v="BR005"/>
    <n v="46"/>
    <s v="M"/>
    <s v="&lt;3L"/>
    <s v="online"/>
    <x v="1"/>
    <s v="complete"/>
    <d v="2024-02-17T00:00:00"/>
    <n v="7158"/>
    <d v="2025-07-22T00:00:00"/>
    <n v="8783"/>
    <n v="15941"/>
    <n v="0"/>
  </r>
  <r>
    <x v="171"/>
    <s v="BR013"/>
    <n v="53"/>
    <s v="F"/>
    <s v="&lt;3L"/>
    <s v="branch"/>
    <x v="0"/>
    <s v="complete"/>
    <d v="2023-08-30T00:00:00"/>
    <n v="15843"/>
    <d v="2025-06-14T00:00:00"/>
    <n v="4414"/>
    <n v="20257"/>
    <n v="0"/>
  </r>
  <r>
    <x v="172"/>
    <s v="BR019"/>
    <n v="30"/>
    <s v="M"/>
    <s v="3-6L"/>
    <s v="online"/>
    <x v="0"/>
    <s v="complete"/>
    <d v="2023-09-22T00:00:00"/>
    <n v="19677"/>
    <d v="2025-07-15T00:00:00"/>
    <n v="13046"/>
    <n v="32723"/>
    <n v="0"/>
  </r>
  <r>
    <x v="173"/>
    <s v="BR004"/>
    <n v="49"/>
    <s v="M"/>
    <s v="&lt;3L"/>
    <s v="branch"/>
    <x v="0"/>
    <s v="complete"/>
    <d v="2022-05-02T00:00:00"/>
    <n v="82780"/>
    <d v="2025-03-12T00:00:00"/>
    <n v="5827"/>
    <n v="88607"/>
    <n v="0"/>
  </r>
  <r>
    <x v="174"/>
    <s v="BR006"/>
    <n v="24"/>
    <s v="M"/>
    <s v="&lt;3L"/>
    <s v="branch"/>
    <x v="0"/>
    <s v="complete"/>
    <d v="2022-03-22T00:00:00"/>
    <n v="2099"/>
    <d v="2025-06-08T00:00:00"/>
    <n v="63507"/>
    <n v="65606"/>
    <n v="0"/>
  </r>
  <r>
    <x v="175"/>
    <s v="BR013"/>
    <n v="68"/>
    <s v="M"/>
    <s v="&gt;10L"/>
    <s v="online"/>
    <x v="0"/>
    <s v="complete"/>
    <d v="2024-06-29T00:00:00"/>
    <n v="16805"/>
    <d v="2025-07-04T00:00:00"/>
    <n v="1547"/>
    <n v="18352"/>
    <n v="0"/>
  </r>
  <r>
    <x v="176"/>
    <s v="BR005"/>
    <n v="39"/>
    <s v="F"/>
    <s v="6-10L"/>
    <s v="branch"/>
    <x v="0"/>
    <s v="complete"/>
    <d v="2022-03-06T00:00:00"/>
    <n v="9171"/>
    <d v="2025-06-29T00:00:00"/>
    <n v="4975"/>
    <n v="14146"/>
    <n v="0"/>
  </r>
  <r>
    <x v="177"/>
    <s v="BR013"/>
    <n v="45"/>
    <s v="F"/>
    <s v="3-6L"/>
    <s v="online"/>
    <x v="0"/>
    <s v="complete"/>
    <d v="2023-01-17T00:00:00"/>
    <n v="14407"/>
    <d v="2025-05-29T00:00:00"/>
    <n v="13111"/>
    <n v="27518"/>
    <n v="0"/>
  </r>
  <r>
    <x v="178"/>
    <s v="BR010"/>
    <n v="19"/>
    <s v="M"/>
    <s v="&lt;3L"/>
    <s v="branch"/>
    <x v="0"/>
    <s v="pending"/>
    <d v="2024-03-08T00:00:00"/>
    <n v="14805"/>
    <d v="2025-07-23T00:00:00"/>
    <n v="17519"/>
    <n v="32324"/>
    <n v="0"/>
  </r>
  <r>
    <x v="179"/>
    <s v="BR003"/>
    <n v="59"/>
    <s v="F"/>
    <s v="3-6L"/>
    <s v="online"/>
    <x v="0"/>
    <s v="complete"/>
    <d v="2021-05-14T00:00:00"/>
    <n v="11035"/>
    <d v="2025-07-04T00:00:00"/>
    <n v="14003"/>
    <n v="25038"/>
    <n v="0"/>
  </r>
  <r>
    <x v="180"/>
    <s v="BR013"/>
    <n v="62"/>
    <s v="F"/>
    <s v="&lt;3L"/>
    <s v="branch"/>
    <x v="0"/>
    <s v="pending"/>
    <d v="2023-09-22T00:00:00"/>
    <n v="4302"/>
    <d v="2025-07-10T00:00:00"/>
    <n v="6122"/>
    <n v="10424"/>
    <n v="0"/>
  </r>
  <r>
    <x v="181"/>
    <s v="BR012"/>
    <n v="23"/>
    <s v="M"/>
    <s v="&gt;10L"/>
    <s v="branch"/>
    <x v="0"/>
    <s v="complete"/>
    <d v="2023-09-14T00:00:00"/>
    <n v="3573"/>
    <d v="2025-07-22T00:00:00"/>
    <n v="967"/>
    <n v="4540"/>
    <n v="0"/>
  </r>
  <r>
    <x v="182"/>
    <s v="BR004"/>
    <n v="45"/>
    <s v="M"/>
    <s v="3-6L"/>
    <s v="online"/>
    <x v="0"/>
    <s v="complete"/>
    <d v="2024-02-19T00:00:00"/>
    <n v="10251"/>
    <d v="2025-07-11T00:00:00"/>
    <n v="7113"/>
    <n v="17364"/>
    <n v="0"/>
  </r>
  <r>
    <x v="183"/>
    <s v="BR010"/>
    <n v="45"/>
    <s v="O"/>
    <s v="3-6L"/>
    <s v="online"/>
    <x v="1"/>
    <s v="complete"/>
    <d v="2022-09-11T00:00:00"/>
    <n v="3227"/>
    <d v="2025-06-18T00:00:00"/>
    <n v="-5401"/>
    <n v="-2174"/>
    <n v="0"/>
  </r>
  <r>
    <x v="184"/>
    <s v="BR003"/>
    <n v="61"/>
    <s v="F"/>
    <s v="3-6L"/>
    <s v="branch"/>
    <x v="0"/>
    <s v="complete"/>
    <d v="2023-01-22T00:00:00"/>
    <n v="11933"/>
    <d v="2025-07-15T00:00:00"/>
    <n v="16419"/>
    <n v="28352"/>
    <n v="0"/>
  </r>
  <r>
    <x v="185"/>
    <s v="BR017"/>
    <n v="61"/>
    <s v="M"/>
    <s v="&lt;3L"/>
    <s v="online"/>
    <x v="0"/>
    <s v="complete"/>
    <d v="2022-07-07T00:00:00"/>
    <n v="10370"/>
    <d v="2025-06-20T00:00:00"/>
    <n v="39132"/>
    <n v="49502"/>
    <n v="0"/>
  </r>
  <r>
    <x v="186"/>
    <s v="BR009"/>
    <n v="37"/>
    <s v="F"/>
    <s v="3-6L"/>
    <s v="online"/>
    <x v="0"/>
    <s v="complete"/>
    <d v="2024-09-14T00:00:00"/>
    <n v="1153"/>
    <d v="2025-07-27T00:00:00"/>
    <n v="40839"/>
    <n v="41992"/>
    <n v="0"/>
  </r>
  <r>
    <x v="187"/>
    <s v="BR001"/>
    <n v="47"/>
    <s v="M"/>
    <s v="6-10L"/>
    <s v="online"/>
    <x v="0"/>
    <s v="complete"/>
    <d v="2021-08-07T00:00:00"/>
    <n v="92375"/>
    <d v="2025-07-02T00:00:00"/>
    <n v="20110"/>
    <n v="112485"/>
    <n v="0"/>
  </r>
  <r>
    <x v="188"/>
    <s v="BR018"/>
    <n v="28"/>
    <s v="F"/>
    <s v="6-10L"/>
    <s v="online"/>
    <x v="0"/>
    <s v="pending"/>
    <d v="2025-05-31T00:00:00"/>
    <n v="14433"/>
    <d v="2025-07-29T00:00:00"/>
    <n v="24228"/>
    <n v="38661"/>
    <n v="0"/>
  </r>
  <r>
    <x v="189"/>
    <s v="BR009"/>
    <n v="45"/>
    <s v="M"/>
    <s v="&lt;3L"/>
    <s v="branch"/>
    <x v="0"/>
    <s v="complete"/>
    <d v="2023-11-29T00:00:00"/>
    <n v="1167"/>
    <d v="2025-07-07T00:00:00"/>
    <n v="-16241"/>
    <n v="-15074"/>
    <n v="0"/>
  </r>
  <r>
    <x v="190"/>
    <s v="BR020"/>
    <n v="42"/>
    <s v="M"/>
    <s v="3-6L"/>
    <s v="online"/>
    <x v="0"/>
    <s v="complete"/>
    <d v="2025-01-23T00:00:00"/>
    <n v="17105"/>
    <d v="2025-07-19T00:00:00"/>
    <n v="24480"/>
    <n v="41585"/>
    <n v="0"/>
  </r>
  <r>
    <x v="191"/>
    <s v="BR009"/>
    <n v="56"/>
    <s v="M"/>
    <s v="3-6L"/>
    <s v="online"/>
    <x v="1"/>
    <s v="complete"/>
    <d v="2022-12-15T00:00:00"/>
    <n v="10901"/>
    <d v="2025-05-27T00:00:00"/>
    <n v="-1922"/>
    <n v="8979"/>
    <n v="0"/>
  </r>
  <r>
    <x v="192"/>
    <s v="BR002"/>
    <n v="50"/>
    <s v="F"/>
    <s v="6-10L"/>
    <s v="branch"/>
    <x v="0"/>
    <s v="complete"/>
    <d v="2022-07-10T00:00:00"/>
    <n v="3577"/>
    <d v="2025-07-13T00:00:00"/>
    <n v="-1719"/>
    <n v="1858"/>
    <n v="0"/>
  </r>
  <r>
    <x v="193"/>
    <s v="BR019"/>
    <n v="18"/>
    <s v="F"/>
    <s v="3-6L"/>
    <s v="branch"/>
    <x v="0"/>
    <s v="complete"/>
    <d v="2025-02-15T00:00:00"/>
    <n v="18202"/>
    <d v="2025-06-20T00:00:00"/>
    <n v="7605"/>
    <n v="25807"/>
    <n v="0"/>
  </r>
  <r>
    <x v="194"/>
    <s v="BR016"/>
    <n v="44"/>
    <s v="M"/>
    <s v="3-6L"/>
    <s v="online"/>
    <x v="1"/>
    <s v="complete"/>
    <d v="2021-06-15T00:00:00"/>
    <n v="5207"/>
    <d v="2025-06-27T00:00:00"/>
    <n v="-1335"/>
    <n v="3872"/>
    <n v="0"/>
  </r>
  <r>
    <x v="195"/>
    <s v="BR003"/>
    <n v="69"/>
    <s v="M"/>
    <s v="3-6L"/>
    <s v="online"/>
    <x v="0"/>
    <s v="complete"/>
    <d v="2021-07-15T00:00:00"/>
    <n v="16204"/>
    <d v="2025-06-20T00:00:00"/>
    <n v="-16162"/>
    <n v="42"/>
    <n v="0"/>
  </r>
  <r>
    <x v="196"/>
    <s v="BR016"/>
    <n v="30"/>
    <s v="F"/>
    <s v="3-6L"/>
    <s v="branch"/>
    <x v="0"/>
    <s v="complete"/>
    <d v="2022-05-16T00:00:00"/>
    <n v="6624"/>
    <d v="2025-04-12T00:00:00"/>
    <n v="23792"/>
    <n v="30416"/>
    <n v="0"/>
  </r>
  <r>
    <x v="197"/>
    <s v="BR013"/>
    <n v="58"/>
    <s v="M"/>
    <s v="3-6L"/>
    <s v="branch"/>
    <x v="0"/>
    <s v="complete"/>
    <d v="2025-05-25T00:00:00"/>
    <n v="5401"/>
    <d v="2025-07-24T00:00:00"/>
    <n v="17667"/>
    <n v="23068"/>
    <n v="0"/>
  </r>
  <r>
    <x v="198"/>
    <s v="BR003"/>
    <n v="20"/>
    <s v="M"/>
    <s v="3-6L"/>
    <s v="online"/>
    <x v="1"/>
    <s v="pending"/>
    <d v="2023-11-26T00:00:00"/>
    <n v="13154"/>
    <d v="2025-06-24T00:00:00"/>
    <n v="18254"/>
    <n v="31408"/>
    <n v="0"/>
  </r>
  <r>
    <x v="199"/>
    <s v="BR010"/>
    <n v="56"/>
    <s v="O"/>
    <s v="3-6L"/>
    <s v="online"/>
    <x v="0"/>
    <s v="complete"/>
    <d v="2023-07-17T00:00:00"/>
    <n v="2638"/>
    <d v="2025-05-27T00:00:00"/>
    <n v="20869"/>
    <n v="23507"/>
    <n v="0"/>
  </r>
  <r>
    <x v="200"/>
    <s v="BR018"/>
    <n v="23"/>
    <s v="M"/>
    <s v="6-10L"/>
    <s v="online"/>
    <x v="0"/>
    <s v="complete"/>
    <d v="2024-03-26T00:00:00"/>
    <n v="12301"/>
    <d v="2025-07-04T00:00:00"/>
    <n v="13121"/>
    <n v="25422"/>
    <n v="0"/>
  </r>
  <r>
    <x v="201"/>
    <s v="BR006"/>
    <n v="25"/>
    <s v="F"/>
    <s v="3-6L"/>
    <s v="online"/>
    <x v="0"/>
    <s v="complete"/>
    <d v="2022-11-30T00:00:00"/>
    <n v="25777"/>
    <d v="2025-07-30T00:00:00"/>
    <n v="17932"/>
    <n v="43709"/>
    <n v="0"/>
  </r>
  <r>
    <x v="202"/>
    <s v="BR006"/>
    <n v="44"/>
    <s v="O"/>
    <s v="&gt;10L"/>
    <s v="online"/>
    <x v="0"/>
    <s v="complete"/>
    <d v="2024-06-22T00:00:00"/>
    <n v="47601"/>
    <d v="2025-07-26T00:00:00"/>
    <n v="27542"/>
    <n v="75143"/>
    <n v="0"/>
  </r>
  <r>
    <x v="203"/>
    <s v="BR018"/>
    <n v="26"/>
    <s v="M"/>
    <s v="3-6L"/>
    <s v="branch"/>
    <x v="0"/>
    <s v="complete"/>
    <d v="2022-10-20T00:00:00"/>
    <n v="39679"/>
    <d v="2025-04-09T00:00:00"/>
    <n v="29508"/>
    <n v="69187"/>
    <n v="0"/>
  </r>
  <r>
    <x v="204"/>
    <s v="BR006"/>
    <n v="54"/>
    <s v="M"/>
    <s v="&gt;10L"/>
    <s v="online"/>
    <x v="0"/>
    <s v="complete"/>
    <d v="2024-10-14T00:00:00"/>
    <n v="51706"/>
    <d v="2025-07-10T00:00:00"/>
    <n v="14157"/>
    <n v="65863"/>
    <n v="0"/>
  </r>
  <r>
    <x v="205"/>
    <s v="BR006"/>
    <n v="50"/>
    <s v="M"/>
    <s v="6-10L"/>
    <s v="branch"/>
    <x v="1"/>
    <s v="complete"/>
    <d v="2022-03-24T00:00:00"/>
    <n v="8478"/>
    <d v="2025-06-09T00:00:00"/>
    <n v="8150"/>
    <n v="16628"/>
    <n v="0"/>
  </r>
  <r>
    <x v="206"/>
    <s v="BR013"/>
    <n v="68"/>
    <s v="F"/>
    <s v="3-6L"/>
    <s v="online"/>
    <x v="0"/>
    <s v="complete"/>
    <d v="2022-04-10T00:00:00"/>
    <n v="4795"/>
    <d v="2025-07-31T00:00:00"/>
    <n v="27036"/>
    <n v="31831"/>
    <n v="0"/>
  </r>
  <r>
    <x v="207"/>
    <s v="BR014"/>
    <n v="59"/>
    <s v="F"/>
    <s v="6-10L"/>
    <s v="branch"/>
    <x v="0"/>
    <s v="complete"/>
    <d v="2023-05-24T00:00:00"/>
    <n v="30193"/>
    <d v="2025-06-13T00:00:00"/>
    <n v="-8708"/>
    <n v="21485"/>
    <n v="0"/>
  </r>
  <r>
    <x v="208"/>
    <s v="BR007"/>
    <n v="61"/>
    <s v="F"/>
    <s v="&lt;3L"/>
    <s v="branch"/>
    <x v="0"/>
    <s v="complete"/>
    <d v="2022-12-22T00:00:00"/>
    <n v="7967"/>
    <d v="2025-07-19T00:00:00"/>
    <n v="17076"/>
    <n v="25043"/>
    <n v="0"/>
  </r>
  <r>
    <x v="209"/>
    <s v="BR013"/>
    <n v="41"/>
    <s v="M"/>
    <s v="&gt;10L"/>
    <s v="online"/>
    <x v="0"/>
    <s v="complete"/>
    <d v="2023-12-21T00:00:00"/>
    <n v="13444"/>
    <d v="2025-07-03T00:00:00"/>
    <n v="8111"/>
    <n v="21555"/>
    <n v="0"/>
  </r>
  <r>
    <x v="210"/>
    <s v="BR015"/>
    <n v="32"/>
    <s v="F"/>
    <s v="3-6L"/>
    <s v="online"/>
    <x v="0"/>
    <s v="complete"/>
    <d v="2022-09-02T00:00:00"/>
    <n v="28194"/>
    <d v="2025-07-19T00:00:00"/>
    <n v="34442"/>
    <n v="62636"/>
    <n v="0"/>
  </r>
  <r>
    <x v="211"/>
    <s v="BR012"/>
    <n v="49"/>
    <s v="F"/>
    <s v="&lt;3L"/>
    <s v="online"/>
    <x v="1"/>
    <s v="complete"/>
    <d v="2022-01-21T00:00:00"/>
    <n v="100821"/>
    <d v="2025-07-02T00:00:00"/>
    <n v="24684"/>
    <n v="125505"/>
    <n v="0"/>
  </r>
  <r>
    <x v="212"/>
    <s v="BR001"/>
    <n v="49"/>
    <s v="F"/>
    <s v="3-6L"/>
    <s v="branch"/>
    <x v="1"/>
    <s v="complete"/>
    <d v="2023-02-25T00:00:00"/>
    <n v="22670"/>
    <d v="2025-07-07T00:00:00"/>
    <n v="15642"/>
    <n v="38312"/>
    <n v="0"/>
  </r>
  <r>
    <x v="213"/>
    <s v="BR003"/>
    <n v="41"/>
    <s v="F"/>
    <s v="&gt;10L"/>
    <s v="branch"/>
    <x v="0"/>
    <s v="pending"/>
    <d v="2023-07-28T00:00:00"/>
    <n v="16401"/>
    <d v="2025-07-07T00:00:00"/>
    <n v="15099"/>
    <n v="31500"/>
    <n v="0"/>
  </r>
  <r>
    <x v="214"/>
    <s v="BR018"/>
    <n v="58"/>
    <s v="F"/>
    <s v="&lt;3L"/>
    <s v="online"/>
    <x v="1"/>
    <s v="complete"/>
    <d v="2021-08-27T00:00:00"/>
    <n v="4354"/>
    <d v="2025-02-17T00:00:00"/>
    <n v="5151"/>
    <n v="9505"/>
    <n v="0"/>
  </r>
  <r>
    <x v="215"/>
    <s v="BR008"/>
    <n v="69"/>
    <s v="F"/>
    <s v="3-6L"/>
    <s v="online"/>
    <x v="0"/>
    <s v="complete"/>
    <d v="2023-07-21T00:00:00"/>
    <n v="43017"/>
    <d v="2025-06-16T00:00:00"/>
    <n v="-2630"/>
    <n v="40387"/>
    <n v="0"/>
  </r>
  <r>
    <x v="216"/>
    <s v="BR002"/>
    <n v="66"/>
    <s v="F"/>
    <s v="6-10L"/>
    <s v="online"/>
    <x v="0"/>
    <s v="complete"/>
    <d v="2022-06-19T00:00:00"/>
    <n v="20103"/>
    <d v="2025-07-30T00:00:00"/>
    <n v="21404"/>
    <n v="41507"/>
    <n v="0"/>
  </r>
  <r>
    <x v="217"/>
    <s v="BR004"/>
    <n v="66"/>
    <s v="M"/>
    <s v="6-10L"/>
    <s v="branch"/>
    <x v="0"/>
    <s v="complete"/>
    <d v="2022-10-19T00:00:00"/>
    <n v="9441"/>
    <d v="2025-07-30T00:00:00"/>
    <n v="10118"/>
    <n v="19559"/>
    <n v="0"/>
  </r>
  <r>
    <x v="218"/>
    <s v="BR018"/>
    <n v="69"/>
    <s v="M"/>
    <s v="3-6L"/>
    <s v="online"/>
    <x v="1"/>
    <s v="complete"/>
    <d v="2022-04-13T00:00:00"/>
    <n v="8515"/>
    <d v="2025-07-24T00:00:00"/>
    <n v="-10072"/>
    <n v="-1557"/>
    <n v="0"/>
  </r>
  <r>
    <x v="219"/>
    <s v="BR013"/>
    <n v="29"/>
    <s v="F"/>
    <s v="&lt;3L"/>
    <s v="online"/>
    <x v="0"/>
    <s v="complete"/>
    <d v="2025-04-08T00:00:00"/>
    <n v="8894"/>
    <d v="2025-07-30T00:00:00"/>
    <n v="4612"/>
    <n v="13506"/>
    <n v="0"/>
  </r>
  <r>
    <x v="220"/>
    <s v="BR015"/>
    <n v="56"/>
    <s v="M"/>
    <s v="&lt;3L"/>
    <s v="online"/>
    <x v="1"/>
    <s v="complete"/>
    <d v="2024-02-18T00:00:00"/>
    <n v="13960"/>
    <d v="2025-07-31T00:00:00"/>
    <n v="18655"/>
    <n v="32615"/>
    <n v="0"/>
  </r>
  <r>
    <x v="221"/>
    <s v="BR002"/>
    <n v="19"/>
    <s v="F"/>
    <s v="3-6L"/>
    <s v="online"/>
    <x v="0"/>
    <s v="complete"/>
    <d v="2022-03-16T00:00:00"/>
    <n v="3106"/>
    <d v="2025-07-10T00:00:00"/>
    <n v="11179"/>
    <n v="14285"/>
    <n v="0"/>
  </r>
  <r>
    <x v="222"/>
    <s v="BR010"/>
    <n v="20"/>
    <s v="O"/>
    <s v="3-6L"/>
    <s v="branch"/>
    <x v="0"/>
    <s v="complete"/>
    <d v="2023-12-16T00:00:00"/>
    <n v="45163"/>
    <d v="2025-07-24T00:00:00"/>
    <n v="12420"/>
    <n v="57583"/>
    <n v="0"/>
  </r>
  <r>
    <x v="223"/>
    <s v="BR002"/>
    <n v="66"/>
    <s v="F"/>
    <s v="&gt;10L"/>
    <s v="online"/>
    <x v="0"/>
    <s v="complete"/>
    <d v="2024-11-20T00:00:00"/>
    <n v="37597"/>
    <d v="2025-07-23T00:00:00"/>
    <n v="18866"/>
    <n v="56463"/>
    <n v="0"/>
  </r>
  <r>
    <x v="224"/>
    <s v="BR012"/>
    <n v="54"/>
    <s v="M"/>
    <s v="&lt;3L"/>
    <s v="branch"/>
    <x v="0"/>
    <s v="complete"/>
    <d v="2022-11-03T00:00:00"/>
    <n v="11299"/>
    <d v="2025-07-08T00:00:00"/>
    <n v="-5050"/>
    <n v="6249"/>
    <n v="0"/>
  </r>
  <r>
    <x v="225"/>
    <s v="BR005"/>
    <n v="66"/>
    <s v="M"/>
    <s v="6-10L"/>
    <s v="online"/>
    <x v="0"/>
    <s v="complete"/>
    <d v="2024-10-20T00:00:00"/>
    <n v="8914"/>
    <d v="2025-07-21T00:00:00"/>
    <n v="3126"/>
    <n v="12040"/>
    <n v="0"/>
  </r>
  <r>
    <x v="226"/>
    <s v="BR012"/>
    <n v="34"/>
    <s v="M"/>
    <s v="&lt;3L"/>
    <s v="online"/>
    <x v="0"/>
    <s v="complete"/>
    <d v="2021-09-16T00:00:00"/>
    <n v="13054"/>
    <d v="2025-04-10T00:00:00"/>
    <n v="-256"/>
    <n v="12798"/>
    <n v="0"/>
  </r>
  <r>
    <x v="227"/>
    <s v="BR001"/>
    <n v="66"/>
    <s v="F"/>
    <s v="&lt;3L"/>
    <s v="branch"/>
    <x v="0"/>
    <s v="complete"/>
    <d v="2024-10-08T00:00:00"/>
    <n v="15469"/>
    <d v="2025-07-27T00:00:00"/>
    <n v="8760"/>
    <n v="24229"/>
    <n v="0"/>
  </r>
  <r>
    <x v="228"/>
    <s v="BR002"/>
    <n v="19"/>
    <s v="F"/>
    <s v="3-6L"/>
    <s v="branch"/>
    <x v="0"/>
    <s v="complete"/>
    <d v="2023-06-23T00:00:00"/>
    <n v="9896"/>
    <d v="2025-06-06T00:00:00"/>
    <n v="8314"/>
    <n v="18210"/>
    <n v="0"/>
  </r>
  <r>
    <x v="229"/>
    <s v="BR016"/>
    <n v="19"/>
    <s v="F"/>
    <s v="3-6L"/>
    <s v="branch"/>
    <x v="0"/>
    <s v="complete"/>
    <d v="2022-01-09T00:00:00"/>
    <n v="36282"/>
    <d v="2025-06-15T00:00:00"/>
    <n v="25079"/>
    <n v="61361"/>
    <n v="0"/>
  </r>
  <r>
    <x v="230"/>
    <s v="BR002"/>
    <n v="45"/>
    <s v="M"/>
    <s v="6-10L"/>
    <s v="online"/>
    <x v="1"/>
    <s v="complete"/>
    <d v="2022-11-13T00:00:00"/>
    <n v="3216"/>
    <d v="2025-07-30T00:00:00"/>
    <n v="43300"/>
    <n v="46516"/>
    <n v="0"/>
  </r>
  <r>
    <x v="231"/>
    <s v="BR016"/>
    <n v="40"/>
    <s v="F"/>
    <s v="&gt;10L"/>
    <s v="online"/>
    <x v="0"/>
    <s v="complete"/>
    <d v="2025-07-11T00:00:00"/>
    <n v="6556"/>
    <d v="2025-07-31T00:00:00"/>
    <n v="12939"/>
    <n v="19495"/>
    <n v="0"/>
  </r>
  <r>
    <x v="232"/>
    <s v="BR020"/>
    <n v="54"/>
    <s v="F"/>
    <s v="3-6L"/>
    <s v="branch"/>
    <x v="0"/>
    <s v="complete"/>
    <d v="2024-08-03T00:00:00"/>
    <n v="29006"/>
    <d v="2025-07-31T00:00:00"/>
    <n v="29470"/>
    <n v="58476"/>
    <n v="0"/>
  </r>
  <r>
    <x v="233"/>
    <s v="BR016"/>
    <n v="49"/>
    <s v="M"/>
    <s v="&gt;10L"/>
    <s v="online"/>
    <x v="0"/>
    <s v="complete"/>
    <d v="2023-08-21T00:00:00"/>
    <n v="18477"/>
    <d v="2025-07-27T00:00:00"/>
    <n v="21607"/>
    <n v="40084"/>
    <n v="0"/>
  </r>
  <r>
    <x v="234"/>
    <s v="BR006"/>
    <n v="50"/>
    <s v="F"/>
    <s v="6-10L"/>
    <s v="online"/>
    <x v="0"/>
    <s v="complete"/>
    <d v="2021-07-12T00:00:00"/>
    <n v="6771"/>
    <d v="2025-07-12T00:00:00"/>
    <n v="8676"/>
    <n v="15447"/>
    <n v="0"/>
  </r>
  <r>
    <x v="235"/>
    <s v="BR013"/>
    <n v="18"/>
    <s v="M"/>
    <s v="3-6L"/>
    <s v="branch"/>
    <x v="0"/>
    <s v="complete"/>
    <d v="2022-11-30T00:00:00"/>
    <n v="19940"/>
    <d v="2025-07-15T00:00:00"/>
    <n v="-740"/>
    <n v="19200"/>
    <n v="0"/>
  </r>
  <r>
    <x v="236"/>
    <s v="BR012"/>
    <n v="36"/>
    <s v="M"/>
    <s v="6-10L"/>
    <s v="branch"/>
    <x v="0"/>
    <s v="complete"/>
    <d v="2022-03-17T00:00:00"/>
    <n v="6045"/>
    <d v="2025-07-19T00:00:00"/>
    <n v="7905"/>
    <n v="13950"/>
    <n v="0"/>
  </r>
  <r>
    <x v="237"/>
    <s v="BR010"/>
    <n v="19"/>
    <s v="F"/>
    <s v="3-6L"/>
    <s v="branch"/>
    <x v="0"/>
    <s v="complete"/>
    <d v="2021-04-29T00:00:00"/>
    <n v="9798"/>
    <d v="2025-06-16T00:00:00"/>
    <n v="11362"/>
    <n v="21160"/>
    <n v="0"/>
  </r>
  <r>
    <x v="238"/>
    <s v="BR005"/>
    <n v="61"/>
    <s v="M"/>
    <s v="&lt;3L"/>
    <s v="branch"/>
    <x v="0"/>
    <s v="complete"/>
    <d v="2023-06-27T00:00:00"/>
    <n v="37938"/>
    <d v="2025-07-05T00:00:00"/>
    <n v="-2722"/>
    <n v="35216"/>
    <n v="0"/>
  </r>
  <r>
    <x v="239"/>
    <s v="BR008"/>
    <n v="43"/>
    <s v="F"/>
    <s v="6-10L"/>
    <s v="branch"/>
    <x v="0"/>
    <s v="complete"/>
    <d v="2025-01-27T00:00:00"/>
    <n v="33965"/>
    <d v="2025-07-28T00:00:00"/>
    <n v="28027"/>
    <n v="61992"/>
    <n v="0"/>
  </r>
  <r>
    <x v="240"/>
    <s v="BR006"/>
    <n v="49"/>
    <s v="F"/>
    <s v="&lt;3L"/>
    <s v="online"/>
    <x v="1"/>
    <s v="complete"/>
    <d v="2024-02-05T00:00:00"/>
    <n v="17823"/>
    <d v="2025-07-07T00:00:00"/>
    <n v="-8311"/>
    <n v="9512"/>
    <n v="0"/>
  </r>
  <r>
    <x v="241"/>
    <s v="BR005"/>
    <n v="23"/>
    <s v="F"/>
    <s v="3-6L"/>
    <s v="online"/>
    <x v="0"/>
    <s v="complete"/>
    <d v="2022-02-22T00:00:00"/>
    <n v="4670"/>
    <d v="2025-05-21T00:00:00"/>
    <n v="27687"/>
    <n v="32357"/>
    <n v="0"/>
  </r>
  <r>
    <x v="242"/>
    <s v="BR020"/>
    <n v="49"/>
    <s v="M"/>
    <s v="6-10L"/>
    <s v="online"/>
    <x v="1"/>
    <s v="complete"/>
    <d v="2023-08-18T00:00:00"/>
    <n v="9158"/>
    <d v="2025-07-26T00:00:00"/>
    <n v="14526"/>
    <n v="23684"/>
    <n v="0"/>
  </r>
  <r>
    <x v="243"/>
    <s v="BR006"/>
    <n v="21"/>
    <s v="F"/>
    <s v="&lt;3L"/>
    <s v="online"/>
    <x v="1"/>
    <s v="complete"/>
    <d v="2025-04-28T00:00:00"/>
    <n v="14713"/>
    <d v="2025-07-28T00:00:00"/>
    <n v="13921"/>
    <n v="28634"/>
    <n v="0"/>
  </r>
  <r>
    <x v="244"/>
    <s v="BR017"/>
    <n v="28"/>
    <s v="F"/>
    <s v="&lt;3L"/>
    <s v="online"/>
    <x v="1"/>
    <s v="complete"/>
    <d v="2024-04-24T00:00:00"/>
    <n v="57264"/>
    <d v="2025-07-25T00:00:00"/>
    <n v="17538"/>
    <n v="74802"/>
    <n v="0"/>
  </r>
  <r>
    <x v="245"/>
    <s v="BR006"/>
    <n v="34"/>
    <s v="F"/>
    <s v="&gt;10L"/>
    <s v="online"/>
    <x v="1"/>
    <s v="complete"/>
    <d v="2024-02-28T00:00:00"/>
    <n v="2248"/>
    <d v="2025-07-22T00:00:00"/>
    <n v="12162"/>
    <n v="14410"/>
    <n v="0"/>
  </r>
  <r>
    <x v="246"/>
    <s v="BR017"/>
    <n v="55"/>
    <s v="M"/>
    <s v="3-6L"/>
    <s v="online"/>
    <x v="0"/>
    <s v="complete"/>
    <d v="2025-06-08T00:00:00"/>
    <n v="5585"/>
    <d v="2025-07-30T00:00:00"/>
    <n v="15434"/>
    <n v="21019"/>
    <n v="0"/>
  </r>
  <r>
    <x v="247"/>
    <s v="BR005"/>
    <n v="41"/>
    <s v="M"/>
    <s v="&lt;3L"/>
    <s v="online"/>
    <x v="0"/>
    <s v="complete"/>
    <d v="2024-08-29T00:00:00"/>
    <n v="41299"/>
    <d v="2025-07-31T00:00:00"/>
    <n v="-16677"/>
    <n v="24622"/>
    <n v="0"/>
  </r>
  <r>
    <x v="248"/>
    <s v="BR017"/>
    <n v="22"/>
    <s v="F"/>
    <s v="6-10L"/>
    <s v="online"/>
    <x v="0"/>
    <s v="complete"/>
    <d v="2021-08-17T00:00:00"/>
    <n v="52061"/>
    <d v="2025-07-13T00:00:00"/>
    <n v="5834"/>
    <n v="57895"/>
    <n v="0"/>
  </r>
  <r>
    <x v="249"/>
    <s v="BR017"/>
    <n v="69"/>
    <s v="M"/>
    <s v="3-6L"/>
    <s v="online"/>
    <x v="0"/>
    <s v="complete"/>
    <d v="2022-08-05T00:00:00"/>
    <n v="12460"/>
    <d v="2025-05-27T00:00:00"/>
    <n v="16808"/>
    <n v="29268"/>
    <n v="0"/>
  </r>
  <r>
    <x v="250"/>
    <s v="BR013"/>
    <n v="51"/>
    <s v="F"/>
    <s v="3-6L"/>
    <s v="online"/>
    <x v="0"/>
    <s v="complete"/>
    <d v="2025-06-03T00:00:00"/>
    <n v="62218"/>
    <d v="2025-07-27T00:00:00"/>
    <n v="35818"/>
    <n v="98036"/>
    <n v="0"/>
  </r>
  <r>
    <x v="251"/>
    <s v="BR007"/>
    <n v="23"/>
    <s v="F"/>
    <s v="&gt;10L"/>
    <s v="branch"/>
    <x v="0"/>
    <s v="complete"/>
    <d v="2023-03-31T00:00:00"/>
    <n v="6417"/>
    <d v="2025-07-18T00:00:00"/>
    <n v="6814"/>
    <n v="13231"/>
    <n v="0"/>
  </r>
  <r>
    <x v="252"/>
    <s v="BR006"/>
    <n v="39"/>
    <s v="F"/>
    <s v="6-10L"/>
    <s v="online"/>
    <x v="1"/>
    <s v="complete"/>
    <d v="2021-07-06T00:00:00"/>
    <n v="2954"/>
    <d v="2025-04-13T00:00:00"/>
    <n v="18406"/>
    <n v="21360"/>
    <n v="0"/>
  </r>
  <r>
    <x v="253"/>
    <s v="BR014"/>
    <n v="28"/>
    <s v="F"/>
    <s v="3-6L"/>
    <s v="online"/>
    <x v="1"/>
    <s v="complete"/>
    <d v="2023-02-07T00:00:00"/>
    <n v="29444"/>
    <d v="2025-07-28T00:00:00"/>
    <n v="7569"/>
    <n v="37013"/>
    <n v="0"/>
  </r>
  <r>
    <x v="254"/>
    <s v="BR016"/>
    <n v="65"/>
    <s v="O"/>
    <s v="6-10L"/>
    <s v="branch"/>
    <x v="0"/>
    <s v="complete"/>
    <d v="2024-03-12T00:00:00"/>
    <n v="48762"/>
    <d v="2025-07-23T00:00:00"/>
    <n v="12868"/>
    <n v="61630"/>
    <n v="0"/>
  </r>
  <r>
    <x v="255"/>
    <s v="BR003"/>
    <n v="33"/>
    <s v="F"/>
    <s v="6-10L"/>
    <s v="online"/>
    <x v="0"/>
    <s v="complete"/>
    <d v="2025-07-27T00:00:00"/>
    <n v="47956"/>
    <d v="2025-07-31T00:00:00"/>
    <n v="38583"/>
    <n v="86539"/>
    <n v="0"/>
  </r>
  <r>
    <x v="256"/>
    <s v="BR009"/>
    <n v="50"/>
    <s v="F"/>
    <s v="&lt;3L"/>
    <s v="online"/>
    <x v="1"/>
    <s v="pending"/>
    <d v="2022-06-26T00:00:00"/>
    <n v="5634"/>
    <d v="2025-07-13T00:00:00"/>
    <n v="29148"/>
    <n v="34782"/>
    <n v="0"/>
  </r>
  <r>
    <x v="257"/>
    <s v="BR015"/>
    <n v="26"/>
    <s v="F"/>
    <s v="&lt;3L"/>
    <s v="online"/>
    <x v="0"/>
    <s v="pending"/>
    <d v="2023-05-11T00:00:00"/>
    <n v="16307"/>
    <d v="2025-07-16T00:00:00"/>
    <n v="10775"/>
    <n v="27082"/>
    <n v="0"/>
  </r>
  <r>
    <x v="258"/>
    <s v="BR018"/>
    <n v="23"/>
    <s v="M"/>
    <s v="&lt;3L"/>
    <s v="online"/>
    <x v="0"/>
    <s v="complete"/>
    <d v="2025-01-11T00:00:00"/>
    <n v="30940"/>
    <d v="2025-07-23T00:00:00"/>
    <n v="5523"/>
    <n v="36463"/>
    <n v="0"/>
  </r>
  <r>
    <x v="259"/>
    <s v="BR010"/>
    <n v="33"/>
    <s v="M"/>
    <s v="6-10L"/>
    <s v="branch"/>
    <x v="0"/>
    <s v="pending"/>
    <d v="2022-08-18T00:00:00"/>
    <n v="18051"/>
    <d v="2025-07-12T00:00:00"/>
    <n v="25937"/>
    <n v="43988"/>
    <n v="0"/>
  </r>
  <r>
    <x v="260"/>
    <s v="BR010"/>
    <n v="46"/>
    <s v="F"/>
    <s v="3-6L"/>
    <s v="online"/>
    <x v="0"/>
    <s v="complete"/>
    <d v="2021-07-02T00:00:00"/>
    <n v="56747"/>
    <d v="2025-05-23T00:00:00"/>
    <n v="4503"/>
    <n v="61250"/>
    <n v="0"/>
  </r>
  <r>
    <x v="261"/>
    <s v="BR003"/>
    <n v="20"/>
    <s v="M"/>
    <s v="3-6L"/>
    <s v="branch"/>
    <x v="0"/>
    <s v="complete"/>
    <d v="2025-05-07T00:00:00"/>
    <n v="8910"/>
    <d v="2025-07-30T00:00:00"/>
    <n v="16958"/>
    <n v="25868"/>
    <n v="0"/>
  </r>
  <r>
    <x v="262"/>
    <s v="BR001"/>
    <n v="37"/>
    <s v="F"/>
    <s v="&gt;10L"/>
    <s v="online"/>
    <x v="1"/>
    <s v="complete"/>
    <d v="2023-03-29T00:00:00"/>
    <n v="12449"/>
    <d v="2025-07-18T00:00:00"/>
    <n v="5465"/>
    <n v="17914"/>
    <n v="0"/>
  </r>
  <r>
    <x v="263"/>
    <s v="BR003"/>
    <n v="53"/>
    <s v="M"/>
    <s v="6-10L"/>
    <s v="online"/>
    <x v="0"/>
    <s v="complete"/>
    <d v="2023-04-22T00:00:00"/>
    <n v="16919"/>
    <d v="2025-07-31T00:00:00"/>
    <n v="29026"/>
    <n v="45945"/>
    <n v="0"/>
  </r>
  <r>
    <x v="264"/>
    <s v="BR005"/>
    <n v="36"/>
    <s v="F"/>
    <s v="&lt;3L"/>
    <s v="online"/>
    <x v="0"/>
    <s v="complete"/>
    <d v="2023-11-06T00:00:00"/>
    <n v="30716"/>
    <d v="2025-07-25T00:00:00"/>
    <n v="-2008"/>
    <n v="28708"/>
    <n v="0"/>
  </r>
  <r>
    <x v="265"/>
    <s v="BR007"/>
    <n v="43"/>
    <s v="F"/>
    <s v="3-6L"/>
    <s v="online"/>
    <x v="0"/>
    <s v="pending"/>
    <d v="2021-01-06T00:00:00"/>
    <n v="10999"/>
    <d v="2025-07-01T00:00:00"/>
    <n v="14827"/>
    <n v="25826"/>
    <n v="0"/>
  </r>
  <r>
    <x v="266"/>
    <s v="BR003"/>
    <n v="20"/>
    <s v="F"/>
    <s v="3-6L"/>
    <s v="online"/>
    <x v="0"/>
    <s v="complete"/>
    <d v="2025-04-07T00:00:00"/>
    <n v="33774"/>
    <d v="2025-07-27T00:00:00"/>
    <n v="838"/>
    <n v="34612"/>
    <n v="0"/>
  </r>
  <r>
    <x v="267"/>
    <s v="BR004"/>
    <n v="36"/>
    <s v="F"/>
    <s v="3-6L"/>
    <s v="online"/>
    <x v="1"/>
    <s v="complete"/>
    <d v="2022-08-28T00:00:00"/>
    <n v="66478"/>
    <d v="2025-04-27T00:00:00"/>
    <n v="-3411"/>
    <n v="63067"/>
    <n v="0"/>
  </r>
  <r>
    <x v="268"/>
    <s v="BR017"/>
    <n v="37"/>
    <s v="F"/>
    <s v="6-10L"/>
    <s v="online"/>
    <x v="0"/>
    <s v="complete"/>
    <d v="2022-10-27T00:00:00"/>
    <n v="7958"/>
    <d v="2025-07-25T00:00:00"/>
    <n v="24744"/>
    <n v="32702"/>
    <n v="0"/>
  </r>
  <r>
    <x v="269"/>
    <s v="BR003"/>
    <n v="49"/>
    <s v="M"/>
    <s v="6-10L"/>
    <s v="branch"/>
    <x v="0"/>
    <s v="complete"/>
    <d v="2021-10-19T00:00:00"/>
    <n v="11331"/>
    <d v="2025-07-30T00:00:00"/>
    <n v="21931"/>
    <n v="33262"/>
    <n v="0"/>
  </r>
  <r>
    <x v="270"/>
    <s v="BR004"/>
    <n v="24"/>
    <s v="F"/>
    <s v="3-6L"/>
    <s v="online"/>
    <x v="0"/>
    <s v="complete"/>
    <d v="2022-09-25T00:00:00"/>
    <n v="35163"/>
    <d v="2025-01-18T00:00:00"/>
    <n v="8297"/>
    <n v="43460"/>
    <n v="1"/>
  </r>
  <r>
    <x v="271"/>
    <s v="BR002"/>
    <n v="69"/>
    <s v="M"/>
    <s v="3-6L"/>
    <s v="branch"/>
    <x v="0"/>
    <s v="complete"/>
    <d v="2024-09-06T00:00:00"/>
    <n v="91815"/>
    <d v="2025-07-25T00:00:00"/>
    <n v="15999"/>
    <n v="107814"/>
    <n v="0"/>
  </r>
  <r>
    <x v="272"/>
    <s v="BR014"/>
    <n v="58"/>
    <s v="O"/>
    <s v="6-10L"/>
    <s v="branch"/>
    <x v="0"/>
    <s v="complete"/>
    <d v="2024-08-31T00:00:00"/>
    <n v="25234"/>
    <d v="2025-07-25T00:00:00"/>
    <n v="3537"/>
    <n v="28771"/>
    <n v="0"/>
  </r>
  <r>
    <x v="273"/>
    <s v="BR005"/>
    <n v="50"/>
    <s v="F"/>
    <s v="3-6L"/>
    <s v="online"/>
    <x v="0"/>
    <s v="complete"/>
    <d v="2025-04-15T00:00:00"/>
    <n v="6086"/>
    <d v="2025-07-28T00:00:00"/>
    <n v="13126"/>
    <n v="19212"/>
    <n v="0"/>
  </r>
  <r>
    <x v="274"/>
    <s v="BR002"/>
    <n v="57"/>
    <s v="M"/>
    <s v="&lt;3L"/>
    <s v="online"/>
    <x v="0"/>
    <s v="complete"/>
    <d v="2022-11-06T00:00:00"/>
    <n v="16288"/>
    <d v="2025-07-08T00:00:00"/>
    <n v="7566"/>
    <n v="23854"/>
    <n v="0"/>
  </r>
  <r>
    <x v="275"/>
    <s v="BR015"/>
    <n v="56"/>
    <s v="M"/>
    <s v="3-6L"/>
    <s v="online"/>
    <x v="0"/>
    <s v="complete"/>
    <d v="2024-03-31T00:00:00"/>
    <n v="34898"/>
    <d v="2025-07-16T00:00:00"/>
    <n v="26092"/>
    <n v="60990"/>
    <n v="0"/>
  </r>
  <r>
    <x v="276"/>
    <s v="BR011"/>
    <n v="35"/>
    <s v="F"/>
    <s v="&lt;3L"/>
    <s v="branch"/>
    <x v="0"/>
    <s v="pending"/>
    <d v="2023-04-29T00:00:00"/>
    <n v="5928"/>
    <d v="2025-03-27T00:00:00"/>
    <n v="7898"/>
    <n v="13826"/>
    <n v="0"/>
  </r>
  <r>
    <x v="277"/>
    <s v="BR010"/>
    <n v="57"/>
    <s v="M"/>
    <s v="&gt;10L"/>
    <s v="online"/>
    <x v="1"/>
    <s v="complete"/>
    <d v="2024-09-07T00:00:00"/>
    <n v="4544"/>
    <d v="2025-07-23T00:00:00"/>
    <n v="16438"/>
    <n v="20982"/>
    <n v="0"/>
  </r>
  <r>
    <x v="278"/>
    <s v="BR020"/>
    <n v="18"/>
    <s v="M"/>
    <s v="&lt;3L"/>
    <s v="branch"/>
    <x v="1"/>
    <s v="complete"/>
    <d v="2024-04-07T00:00:00"/>
    <n v="9462"/>
    <d v="2025-07-26T00:00:00"/>
    <n v="10474"/>
    <n v="19936"/>
    <n v="0"/>
  </r>
  <r>
    <x v="279"/>
    <s v="BR001"/>
    <n v="28"/>
    <s v="F"/>
    <s v="3-6L"/>
    <s v="online"/>
    <x v="0"/>
    <s v="complete"/>
    <d v="2022-09-08T00:00:00"/>
    <n v="25839"/>
    <d v="2025-04-12T00:00:00"/>
    <n v="16598"/>
    <n v="42437"/>
    <n v="0"/>
  </r>
  <r>
    <x v="280"/>
    <s v="BR019"/>
    <n v="45"/>
    <s v="F"/>
    <s v="3-6L"/>
    <s v="branch"/>
    <x v="0"/>
    <s v="complete"/>
    <d v="2022-07-18T00:00:00"/>
    <n v="3397"/>
    <d v="2025-06-03T00:00:00"/>
    <n v="10775"/>
    <n v="14172"/>
    <n v="0"/>
  </r>
  <r>
    <x v="281"/>
    <s v="BR014"/>
    <n v="42"/>
    <s v="F"/>
    <s v="&gt;10L"/>
    <s v="online"/>
    <x v="0"/>
    <s v="pending"/>
    <d v="2022-02-27T00:00:00"/>
    <n v="6680"/>
    <d v="2025-05-23T00:00:00"/>
    <n v="4323"/>
    <n v="11003"/>
    <n v="0"/>
  </r>
  <r>
    <x v="282"/>
    <s v="BR014"/>
    <n v="67"/>
    <s v="F"/>
    <s v="&lt;3L"/>
    <s v="branch"/>
    <x v="0"/>
    <s v="complete"/>
    <d v="2023-08-23T00:00:00"/>
    <n v="17565"/>
    <d v="2025-06-27T00:00:00"/>
    <n v="226"/>
    <n v="17791"/>
    <n v="0"/>
  </r>
  <r>
    <x v="283"/>
    <s v="BR001"/>
    <n v="40"/>
    <s v="F"/>
    <s v="&lt;3L"/>
    <s v="online"/>
    <x v="0"/>
    <s v="complete"/>
    <d v="2025-06-01T00:00:00"/>
    <n v="39756"/>
    <d v="2025-07-31T00:00:00"/>
    <n v="4846"/>
    <n v="44602"/>
    <n v="0"/>
  </r>
  <r>
    <x v="284"/>
    <s v="BR009"/>
    <n v="48"/>
    <s v="F"/>
    <s v="&lt;3L"/>
    <s v="online"/>
    <x v="0"/>
    <s v="complete"/>
    <d v="2021-12-01T00:00:00"/>
    <n v="17858"/>
    <d v="2025-07-31T00:00:00"/>
    <n v="4703"/>
    <n v="22561"/>
    <n v="0"/>
  </r>
  <r>
    <x v="285"/>
    <s v="BR017"/>
    <n v="47"/>
    <s v="M"/>
    <s v="&lt;3L"/>
    <s v="online"/>
    <x v="0"/>
    <s v="pending"/>
    <d v="2021-06-09T00:00:00"/>
    <n v="19432"/>
    <d v="2025-06-06T00:00:00"/>
    <n v="-2702"/>
    <n v="16730"/>
    <n v="0"/>
  </r>
  <r>
    <x v="286"/>
    <s v="BR014"/>
    <n v="59"/>
    <s v="F"/>
    <s v="&lt;3L"/>
    <s v="online"/>
    <x v="0"/>
    <s v="complete"/>
    <d v="2021-07-19T00:00:00"/>
    <n v="36495"/>
    <d v="2025-06-16T00:00:00"/>
    <n v="24672"/>
    <n v="61167"/>
    <n v="0"/>
  </r>
  <r>
    <x v="287"/>
    <s v="BR013"/>
    <n v="52"/>
    <s v="M"/>
    <s v="3-6L"/>
    <s v="branch"/>
    <x v="0"/>
    <s v="complete"/>
    <d v="2024-08-03T00:00:00"/>
    <n v="65990"/>
    <d v="2025-07-28T00:00:00"/>
    <n v="22640"/>
    <n v="88630"/>
    <n v="0"/>
  </r>
  <r>
    <x v="288"/>
    <s v="BR013"/>
    <n v="24"/>
    <s v="O"/>
    <s v="&lt;3L"/>
    <s v="online"/>
    <x v="0"/>
    <s v="complete"/>
    <d v="2022-08-09T00:00:00"/>
    <n v="59013"/>
    <d v="2025-07-22T00:00:00"/>
    <n v="-396"/>
    <n v="58617"/>
    <n v="0"/>
  </r>
  <r>
    <x v="289"/>
    <s v="BR006"/>
    <n v="33"/>
    <s v="F"/>
    <s v="&lt;3L"/>
    <s v="online"/>
    <x v="0"/>
    <s v="complete"/>
    <d v="2022-01-11T00:00:00"/>
    <n v="1735"/>
    <d v="2025-02-12T00:00:00"/>
    <n v="16583"/>
    <n v="18318"/>
    <n v="0"/>
  </r>
  <r>
    <x v="290"/>
    <s v="BR007"/>
    <n v="43"/>
    <s v="F"/>
    <s v="6-10L"/>
    <s v="online"/>
    <x v="0"/>
    <s v="complete"/>
    <d v="2022-08-14T00:00:00"/>
    <n v="14736"/>
    <d v="2025-03-28T00:00:00"/>
    <n v="-8637"/>
    <n v="6099"/>
    <n v="0"/>
  </r>
  <r>
    <x v="291"/>
    <s v="BR002"/>
    <n v="65"/>
    <s v="M"/>
    <s v="3-6L"/>
    <s v="online"/>
    <x v="0"/>
    <s v="complete"/>
    <d v="2023-12-16T00:00:00"/>
    <n v="33273"/>
    <d v="2025-07-05T00:00:00"/>
    <n v="4818"/>
    <n v="38091"/>
    <n v="0"/>
  </r>
  <r>
    <x v="292"/>
    <s v="BR008"/>
    <n v="69"/>
    <s v="F"/>
    <s v="3-6L"/>
    <s v="online"/>
    <x v="0"/>
    <s v="complete"/>
    <d v="2023-07-04T00:00:00"/>
    <n v="73115"/>
    <d v="2025-07-23T00:00:00"/>
    <n v="8925"/>
    <n v="82040"/>
    <n v="0"/>
  </r>
  <r>
    <x v="293"/>
    <s v="BR006"/>
    <n v="66"/>
    <s v="F"/>
    <s v="3-6L"/>
    <s v="branch"/>
    <x v="0"/>
    <s v="complete"/>
    <d v="2024-05-29T00:00:00"/>
    <n v="25361"/>
    <d v="2025-07-28T00:00:00"/>
    <n v="-5670"/>
    <n v="19691"/>
    <n v="0"/>
  </r>
  <r>
    <x v="294"/>
    <s v="BR003"/>
    <n v="19"/>
    <s v="M"/>
    <s v="&gt;10L"/>
    <s v="online"/>
    <x v="0"/>
    <s v="complete"/>
    <d v="2022-07-22T00:00:00"/>
    <n v="5658"/>
    <d v="2025-06-14T00:00:00"/>
    <n v="11672"/>
    <n v="17330"/>
    <n v="0"/>
  </r>
  <r>
    <x v="295"/>
    <s v="BR018"/>
    <n v="18"/>
    <s v="M"/>
    <s v="&lt;3L"/>
    <s v="branch"/>
    <x v="1"/>
    <s v="complete"/>
    <d v="2023-01-27T00:00:00"/>
    <n v="6457"/>
    <d v="2025-03-03T00:00:00"/>
    <n v="2870"/>
    <n v="9327"/>
    <n v="0"/>
  </r>
  <r>
    <x v="296"/>
    <s v="BR018"/>
    <n v="65"/>
    <s v="F"/>
    <s v="6-10L"/>
    <s v="online"/>
    <x v="0"/>
    <s v="complete"/>
    <d v="2021-06-20T00:00:00"/>
    <n v="6641"/>
    <d v="2025-06-14T00:00:00"/>
    <n v="6849"/>
    <n v="13490"/>
    <n v="0"/>
  </r>
  <r>
    <x v="297"/>
    <s v="BR006"/>
    <n v="29"/>
    <s v="M"/>
    <s v="6-10L"/>
    <s v="online"/>
    <x v="0"/>
    <s v="complete"/>
    <d v="2021-05-03T00:00:00"/>
    <n v="18170"/>
    <d v="2025-06-21T00:00:00"/>
    <n v="9609"/>
    <n v="27779"/>
    <n v="0"/>
  </r>
  <r>
    <x v="298"/>
    <s v="BR011"/>
    <n v="22"/>
    <s v="F"/>
    <s v="&lt;3L"/>
    <s v="branch"/>
    <x v="0"/>
    <s v="complete"/>
    <d v="2023-02-13T00:00:00"/>
    <n v="8268"/>
    <d v="2025-07-18T00:00:00"/>
    <n v="30157"/>
    <n v="38425"/>
    <n v="0"/>
  </r>
  <r>
    <x v="299"/>
    <s v="BR003"/>
    <n v="54"/>
    <s v="M"/>
    <s v="&gt;10L"/>
    <s v="branch"/>
    <x v="1"/>
    <s v="complete"/>
    <d v="2022-05-20T00:00:00"/>
    <n v="636"/>
    <d v="2025-07-05T00:00:00"/>
    <n v="16595"/>
    <n v="17231"/>
    <n v="0"/>
  </r>
  <r>
    <x v="300"/>
    <s v="BR016"/>
    <n v="49"/>
    <s v="M"/>
    <s v="3-6L"/>
    <s v="online"/>
    <x v="0"/>
    <s v="complete"/>
    <d v="2023-10-23T00:00:00"/>
    <n v="4112"/>
    <d v="2025-07-19T00:00:00"/>
    <n v="5143"/>
    <n v="9255"/>
    <n v="0"/>
  </r>
  <r>
    <x v="301"/>
    <s v="BR005"/>
    <n v="26"/>
    <s v="F"/>
    <s v="&lt;3L"/>
    <s v="branch"/>
    <x v="0"/>
    <s v="complete"/>
    <d v="2021-03-13T00:00:00"/>
    <n v="8568"/>
    <d v="2025-07-22T00:00:00"/>
    <n v="45248"/>
    <n v="53816"/>
    <n v="0"/>
  </r>
  <r>
    <x v="302"/>
    <s v="BR002"/>
    <n v="58"/>
    <s v="M"/>
    <s v="6-10L"/>
    <s v="online"/>
    <x v="1"/>
    <s v="complete"/>
    <d v="2021-07-23T00:00:00"/>
    <n v="3420"/>
    <d v="2025-03-27T00:00:00"/>
    <n v="5923"/>
    <n v="9343"/>
    <n v="0"/>
  </r>
  <r>
    <x v="303"/>
    <s v="BR015"/>
    <n v="52"/>
    <s v="F"/>
    <s v="6-10L"/>
    <s v="online"/>
    <x v="0"/>
    <s v="complete"/>
    <d v="2024-12-18T00:00:00"/>
    <n v="3970"/>
    <d v="2025-07-28T00:00:00"/>
    <n v="-3677"/>
    <n v="293"/>
    <n v="0"/>
  </r>
  <r>
    <x v="304"/>
    <s v="BR016"/>
    <n v="36"/>
    <s v="M"/>
    <s v="3-6L"/>
    <s v="branch"/>
    <x v="0"/>
    <s v="complete"/>
    <d v="2023-08-06T00:00:00"/>
    <n v="103878"/>
    <d v="2025-06-27T00:00:00"/>
    <n v="14491"/>
    <n v="118369"/>
    <n v="0"/>
  </r>
  <r>
    <x v="305"/>
    <s v="BR007"/>
    <n v="65"/>
    <s v="M"/>
    <s v="&lt;3L"/>
    <s v="online"/>
    <x v="0"/>
    <s v="complete"/>
    <d v="2024-04-06T00:00:00"/>
    <n v="13245"/>
    <d v="2025-07-21T00:00:00"/>
    <n v="-25046"/>
    <n v="-11801"/>
    <n v="0"/>
  </r>
  <r>
    <x v="306"/>
    <s v="BR016"/>
    <n v="33"/>
    <s v="F"/>
    <s v="3-6L"/>
    <s v="online"/>
    <x v="0"/>
    <s v="complete"/>
    <d v="2024-11-09T00:00:00"/>
    <n v="9081"/>
    <d v="2025-07-15T00:00:00"/>
    <n v="9732"/>
    <n v="18813"/>
    <n v="0"/>
  </r>
  <r>
    <x v="307"/>
    <s v="BR004"/>
    <n v="20"/>
    <s v="F"/>
    <s v="6-10L"/>
    <s v="branch"/>
    <x v="1"/>
    <s v="complete"/>
    <d v="2023-02-15T00:00:00"/>
    <n v="26039"/>
    <d v="2025-07-17T00:00:00"/>
    <n v="10782"/>
    <n v="36821"/>
    <n v="0"/>
  </r>
  <r>
    <x v="308"/>
    <s v="BR016"/>
    <n v="37"/>
    <s v="F"/>
    <s v="3-6L"/>
    <s v="branch"/>
    <x v="0"/>
    <s v="complete"/>
    <d v="2024-06-27T00:00:00"/>
    <n v="42027"/>
    <d v="2025-06-26T00:00:00"/>
    <n v="3091"/>
    <n v="45118"/>
    <n v="0"/>
  </r>
  <r>
    <x v="309"/>
    <s v="BR017"/>
    <n v="41"/>
    <s v="F"/>
    <s v="3-6L"/>
    <s v="online"/>
    <x v="0"/>
    <s v="complete"/>
    <d v="2023-05-28T00:00:00"/>
    <n v="125570"/>
    <d v="2025-06-15T00:00:00"/>
    <n v="36070"/>
    <n v="161640"/>
    <n v="0"/>
  </r>
  <r>
    <x v="310"/>
    <s v="BR002"/>
    <n v="50"/>
    <s v="F"/>
    <s v="&lt;3L"/>
    <s v="online"/>
    <x v="0"/>
    <s v="complete"/>
    <d v="2022-01-08T00:00:00"/>
    <n v="73524"/>
    <d v="2025-07-19T00:00:00"/>
    <n v="774"/>
    <n v="74298"/>
    <n v="0"/>
  </r>
  <r>
    <x v="311"/>
    <s v="BR016"/>
    <n v="41"/>
    <s v="M"/>
    <s v="&lt;3L"/>
    <s v="online"/>
    <x v="0"/>
    <s v="complete"/>
    <d v="2022-07-19T00:00:00"/>
    <n v="20636"/>
    <d v="2025-07-27T00:00:00"/>
    <n v="27106"/>
    <n v="47742"/>
    <n v="0"/>
  </r>
  <r>
    <x v="312"/>
    <s v="BR004"/>
    <n v="69"/>
    <s v="M"/>
    <s v="6-10L"/>
    <s v="branch"/>
    <x v="0"/>
    <s v="complete"/>
    <d v="2023-04-01T00:00:00"/>
    <n v="2885"/>
    <d v="2025-06-11T00:00:00"/>
    <n v="-1372"/>
    <n v="1513"/>
    <n v="0"/>
  </r>
  <r>
    <x v="313"/>
    <s v="BR007"/>
    <n v="28"/>
    <s v="F"/>
    <s v="3-6L"/>
    <s v="branch"/>
    <x v="0"/>
    <s v="complete"/>
    <d v="2022-06-15T00:00:00"/>
    <n v="4903"/>
    <d v="2025-07-23T00:00:00"/>
    <n v="33925"/>
    <n v="38828"/>
    <n v="0"/>
  </r>
  <r>
    <x v="314"/>
    <s v="BR018"/>
    <n v="66"/>
    <s v="F"/>
    <s v="&gt;10L"/>
    <s v="online"/>
    <x v="0"/>
    <s v="complete"/>
    <d v="2022-07-16T00:00:00"/>
    <n v="8939"/>
    <d v="2025-07-02T00:00:00"/>
    <n v="-2818"/>
    <n v="6121"/>
    <n v="0"/>
  </r>
  <r>
    <x v="315"/>
    <s v="BR006"/>
    <n v="25"/>
    <s v="F"/>
    <s v="3-6L"/>
    <s v="online"/>
    <x v="0"/>
    <s v="complete"/>
    <d v="2022-07-19T00:00:00"/>
    <n v="22172"/>
    <d v="2025-06-08T00:00:00"/>
    <n v="17538"/>
    <n v="39710"/>
    <n v="0"/>
  </r>
  <r>
    <x v="316"/>
    <s v="BR018"/>
    <n v="53"/>
    <s v="M"/>
    <s v="6-10L"/>
    <s v="online"/>
    <x v="0"/>
    <s v="complete"/>
    <d v="2021-07-25T00:00:00"/>
    <n v="14681"/>
    <d v="2025-07-27T00:00:00"/>
    <n v="28357"/>
    <n v="43038"/>
    <n v="0"/>
  </r>
  <r>
    <x v="317"/>
    <s v="BR007"/>
    <n v="55"/>
    <s v="M"/>
    <s v="3-6L"/>
    <s v="branch"/>
    <x v="0"/>
    <s v="complete"/>
    <d v="2021-05-22T00:00:00"/>
    <n v="3062"/>
    <d v="2025-06-17T00:00:00"/>
    <n v="6626"/>
    <n v="9688"/>
    <n v="0"/>
  </r>
  <r>
    <x v="318"/>
    <s v="BR002"/>
    <n v="57"/>
    <s v="F"/>
    <s v="3-6L"/>
    <s v="branch"/>
    <x v="0"/>
    <s v="complete"/>
    <d v="2021-03-19T00:00:00"/>
    <n v="2561"/>
    <d v="2025-07-06T00:00:00"/>
    <n v="12647"/>
    <n v="15208"/>
    <n v="0"/>
  </r>
  <r>
    <x v="319"/>
    <s v="BR019"/>
    <n v="37"/>
    <s v="F"/>
    <s v="&lt;3L"/>
    <s v="branch"/>
    <x v="0"/>
    <s v="complete"/>
    <d v="2021-07-05T00:00:00"/>
    <n v="17309"/>
    <d v="2025-06-29T00:00:00"/>
    <n v="14017"/>
    <n v="31326"/>
    <n v="0"/>
  </r>
  <r>
    <x v="320"/>
    <s v="BR009"/>
    <n v="52"/>
    <s v="F"/>
    <s v="3-6L"/>
    <s v="branch"/>
    <x v="0"/>
    <s v="complete"/>
    <d v="2022-07-30T00:00:00"/>
    <n v="15064"/>
    <d v="2025-07-20T00:00:00"/>
    <n v="-3498"/>
    <n v="11566"/>
    <n v="0"/>
  </r>
  <r>
    <x v="321"/>
    <s v="BR004"/>
    <n v="65"/>
    <s v="F"/>
    <s v="3-6L"/>
    <s v="online"/>
    <x v="0"/>
    <s v="complete"/>
    <d v="2023-09-21T00:00:00"/>
    <n v="10831"/>
    <d v="2025-07-14T00:00:00"/>
    <n v="3202"/>
    <n v="14033"/>
    <n v="0"/>
  </r>
  <r>
    <x v="322"/>
    <s v="BR014"/>
    <n v="42"/>
    <s v="F"/>
    <s v="&gt;10L"/>
    <s v="online"/>
    <x v="0"/>
    <s v="complete"/>
    <d v="2021-11-11T00:00:00"/>
    <n v="21654"/>
    <d v="2025-05-29T00:00:00"/>
    <n v="9151"/>
    <n v="30805"/>
    <n v="0"/>
  </r>
  <r>
    <x v="323"/>
    <s v="BR005"/>
    <n v="52"/>
    <s v="M"/>
    <s v="6-10L"/>
    <s v="online"/>
    <x v="0"/>
    <s v="complete"/>
    <d v="2025-01-25T00:00:00"/>
    <n v="46482"/>
    <d v="2025-07-11T00:00:00"/>
    <n v="-1299"/>
    <n v="45183"/>
    <n v="0"/>
  </r>
  <r>
    <x v="324"/>
    <s v="BR007"/>
    <n v="42"/>
    <s v="M"/>
    <s v="&lt;3L"/>
    <s v="online"/>
    <x v="0"/>
    <s v="complete"/>
    <d v="2024-09-14T00:00:00"/>
    <n v="18216"/>
    <d v="2025-07-30T00:00:00"/>
    <n v="15215"/>
    <n v="33431"/>
    <n v="0"/>
  </r>
  <r>
    <x v="325"/>
    <s v="BR008"/>
    <n v="46"/>
    <s v="M"/>
    <s v="&lt;3L"/>
    <s v="online"/>
    <x v="1"/>
    <s v="complete"/>
    <d v="2023-05-21T00:00:00"/>
    <n v="5210"/>
    <d v="2025-07-21T00:00:00"/>
    <n v="5833"/>
    <n v="11043"/>
    <n v="0"/>
  </r>
  <r>
    <x v="326"/>
    <s v="BR015"/>
    <n v="35"/>
    <s v="M"/>
    <s v="&lt;3L"/>
    <s v="online"/>
    <x v="0"/>
    <s v="complete"/>
    <d v="2024-04-26T00:00:00"/>
    <n v="90692"/>
    <d v="2025-07-03T00:00:00"/>
    <n v="-9241"/>
    <n v="81451"/>
    <n v="0"/>
  </r>
  <r>
    <x v="327"/>
    <s v="BR019"/>
    <n v="63"/>
    <s v="F"/>
    <s v="3-6L"/>
    <s v="branch"/>
    <x v="0"/>
    <s v="complete"/>
    <d v="2022-09-05T00:00:00"/>
    <n v="11200"/>
    <d v="2025-05-29T00:00:00"/>
    <n v="21088"/>
    <n v="32288"/>
    <n v="0"/>
  </r>
  <r>
    <x v="328"/>
    <s v="BR011"/>
    <n v="35"/>
    <s v="F"/>
    <s v="6-10L"/>
    <s v="branch"/>
    <x v="0"/>
    <s v="complete"/>
    <d v="2021-03-03T00:00:00"/>
    <n v="14045"/>
    <d v="2025-06-15T00:00:00"/>
    <n v="18957"/>
    <n v="33002"/>
    <n v="0"/>
  </r>
  <r>
    <x v="329"/>
    <s v="BR020"/>
    <n v="19"/>
    <s v="F"/>
    <s v="&gt;10L"/>
    <s v="online"/>
    <x v="0"/>
    <s v="complete"/>
    <d v="2025-02-21T00:00:00"/>
    <n v="6949"/>
    <d v="2025-07-30T00:00:00"/>
    <n v="-9543"/>
    <n v="-2594"/>
    <n v="0"/>
  </r>
  <r>
    <x v="330"/>
    <s v="BR004"/>
    <n v="52"/>
    <s v="M"/>
    <s v="&lt;3L"/>
    <s v="online"/>
    <x v="0"/>
    <s v="complete"/>
    <d v="2021-08-02T00:00:00"/>
    <n v="4562"/>
    <d v="2025-07-02T00:00:00"/>
    <n v="21689"/>
    <n v="26251"/>
    <n v="0"/>
  </r>
  <r>
    <x v="331"/>
    <s v="BR018"/>
    <n v="33"/>
    <s v="M"/>
    <s v="3-6L"/>
    <s v="online"/>
    <x v="1"/>
    <s v="complete"/>
    <d v="2025-05-05T00:00:00"/>
    <n v="4949"/>
    <d v="2025-07-31T00:00:00"/>
    <n v="18841"/>
    <n v="23790"/>
    <n v="0"/>
  </r>
  <r>
    <x v="332"/>
    <s v="BR014"/>
    <n v="58"/>
    <s v="M"/>
    <s v="3-6L"/>
    <s v="branch"/>
    <x v="0"/>
    <s v="complete"/>
    <d v="2023-08-15T00:00:00"/>
    <n v="3973"/>
    <d v="2025-07-09T00:00:00"/>
    <n v="5074"/>
    <n v="9047"/>
    <n v="0"/>
  </r>
  <r>
    <x v="333"/>
    <s v="BR006"/>
    <n v="53"/>
    <s v="M"/>
    <s v="6-10L"/>
    <s v="branch"/>
    <x v="0"/>
    <s v="complete"/>
    <d v="2022-05-27T00:00:00"/>
    <n v="659"/>
    <d v="2025-07-30T00:00:00"/>
    <n v="6479"/>
    <n v="7138"/>
    <n v="0"/>
  </r>
  <r>
    <x v="334"/>
    <s v="BR016"/>
    <n v="50"/>
    <s v="F"/>
    <s v="3-6L"/>
    <s v="online"/>
    <x v="0"/>
    <s v="pending"/>
    <d v="2023-04-10T00:00:00"/>
    <n v="11427"/>
    <d v="2025-07-18T00:00:00"/>
    <n v="-18430"/>
    <n v="-7003"/>
    <n v="0"/>
  </r>
  <r>
    <x v="335"/>
    <s v="BR018"/>
    <n v="21"/>
    <s v="M"/>
    <s v="6-10L"/>
    <s v="online"/>
    <x v="0"/>
    <s v="complete"/>
    <d v="2023-04-20T00:00:00"/>
    <n v="40229"/>
    <d v="2025-07-18T00:00:00"/>
    <n v="10435"/>
    <n v="50664"/>
    <n v="0"/>
  </r>
  <r>
    <x v="336"/>
    <s v="BR001"/>
    <n v="50"/>
    <s v="F"/>
    <s v="6-10L"/>
    <s v="online"/>
    <x v="0"/>
    <s v="complete"/>
    <d v="2021-02-08T00:00:00"/>
    <n v="4992"/>
    <d v="2025-07-16T00:00:00"/>
    <n v="-8967"/>
    <n v="-3975"/>
    <n v="0"/>
  </r>
  <r>
    <x v="337"/>
    <s v="BR008"/>
    <n v="31"/>
    <s v="M"/>
    <s v="&lt;3L"/>
    <s v="online"/>
    <x v="0"/>
    <s v="complete"/>
    <d v="2022-08-18T00:00:00"/>
    <n v="172731"/>
    <d v="2025-05-10T00:00:00"/>
    <n v="12680"/>
    <n v="185411"/>
    <n v="0"/>
  </r>
  <r>
    <x v="338"/>
    <s v="BR001"/>
    <n v="38"/>
    <s v="M"/>
    <s v="6-10L"/>
    <s v="online"/>
    <x v="0"/>
    <s v="complete"/>
    <d v="2024-05-22T00:00:00"/>
    <n v="53443"/>
    <d v="2025-07-25T00:00:00"/>
    <n v="5135"/>
    <n v="58578"/>
    <n v="0"/>
  </r>
  <r>
    <x v="339"/>
    <s v="BR001"/>
    <n v="65"/>
    <s v="M"/>
    <s v="&lt;3L"/>
    <s v="branch"/>
    <x v="0"/>
    <s v="complete"/>
    <d v="2023-05-04T00:00:00"/>
    <n v="13118"/>
    <d v="2025-07-25T00:00:00"/>
    <n v="-8061"/>
    <n v="5057"/>
    <n v="0"/>
  </r>
  <r>
    <x v="340"/>
    <s v="BR019"/>
    <n v="37"/>
    <s v="F"/>
    <s v="6-10L"/>
    <s v="branch"/>
    <x v="0"/>
    <s v="complete"/>
    <d v="2022-02-13T00:00:00"/>
    <n v="4398"/>
    <d v="2025-07-17T00:00:00"/>
    <n v="12191"/>
    <n v="16589"/>
    <n v="0"/>
  </r>
  <r>
    <x v="341"/>
    <s v="BR010"/>
    <n v="25"/>
    <s v="F"/>
    <s v="3-6L"/>
    <s v="online"/>
    <x v="0"/>
    <s v="complete"/>
    <d v="2022-07-15T00:00:00"/>
    <n v="2705"/>
    <d v="2025-07-24T00:00:00"/>
    <n v="41627"/>
    <n v="44332"/>
    <n v="0"/>
  </r>
  <r>
    <x v="342"/>
    <s v="BR018"/>
    <n v="24"/>
    <s v="M"/>
    <s v="3-6L"/>
    <s v="branch"/>
    <x v="0"/>
    <s v="complete"/>
    <d v="2024-12-14T00:00:00"/>
    <n v="11924"/>
    <d v="2025-07-28T00:00:00"/>
    <n v="-386"/>
    <n v="11538"/>
    <n v="0"/>
  </r>
  <r>
    <x v="343"/>
    <s v="BR012"/>
    <n v="20"/>
    <s v="M"/>
    <s v="&gt;10L"/>
    <s v="branch"/>
    <x v="0"/>
    <s v="complete"/>
    <d v="2023-05-30T00:00:00"/>
    <n v="14302"/>
    <d v="2025-07-29T00:00:00"/>
    <n v="3304"/>
    <n v="17606"/>
    <n v="0"/>
  </r>
  <r>
    <x v="344"/>
    <s v="BR017"/>
    <n v="34"/>
    <s v="F"/>
    <s v="6-10L"/>
    <s v="online"/>
    <x v="0"/>
    <s v="complete"/>
    <d v="2023-06-03T00:00:00"/>
    <n v="10890"/>
    <d v="2025-07-19T00:00:00"/>
    <n v="9516"/>
    <n v="20406"/>
    <n v="0"/>
  </r>
  <r>
    <x v="345"/>
    <s v="BR001"/>
    <n v="50"/>
    <s v="M"/>
    <s v="6-10L"/>
    <s v="online"/>
    <x v="1"/>
    <s v="complete"/>
    <d v="2025-05-28T00:00:00"/>
    <n v="38922"/>
    <d v="2025-07-24T00:00:00"/>
    <n v="8964"/>
    <n v="47886"/>
    <n v="0"/>
  </r>
  <r>
    <x v="346"/>
    <s v="BR008"/>
    <n v="65"/>
    <s v="M"/>
    <s v="3-6L"/>
    <s v="branch"/>
    <x v="0"/>
    <s v="complete"/>
    <d v="2022-06-21T00:00:00"/>
    <n v="59700"/>
    <d v="2025-07-22T00:00:00"/>
    <n v="-10545"/>
    <n v="49155"/>
    <n v="0"/>
  </r>
  <r>
    <x v="347"/>
    <s v="BR010"/>
    <n v="29"/>
    <s v="F"/>
    <s v="6-10L"/>
    <s v="online"/>
    <x v="1"/>
    <s v="complete"/>
    <d v="2023-03-14T00:00:00"/>
    <n v="21433"/>
    <d v="2025-07-02T00:00:00"/>
    <n v="-5141"/>
    <n v="16292"/>
    <n v="0"/>
  </r>
  <r>
    <x v="348"/>
    <s v="BR010"/>
    <n v="68"/>
    <s v="F"/>
    <s v="3-6L"/>
    <s v="branch"/>
    <x v="1"/>
    <s v="complete"/>
    <d v="2024-09-19T00:00:00"/>
    <n v="22617"/>
    <d v="2025-07-29T00:00:00"/>
    <n v="-834"/>
    <n v="21783"/>
    <n v="0"/>
  </r>
  <r>
    <x v="349"/>
    <s v="BR018"/>
    <n v="39"/>
    <s v="M"/>
    <s v="6-10L"/>
    <s v="branch"/>
    <x v="1"/>
    <s v="complete"/>
    <d v="2024-06-23T00:00:00"/>
    <n v="9744"/>
    <d v="2025-07-30T00:00:00"/>
    <n v="17102"/>
    <n v="26846"/>
    <n v="0"/>
  </r>
  <r>
    <x v="350"/>
    <s v="BR009"/>
    <n v="39"/>
    <s v="F"/>
    <s v="3-6L"/>
    <s v="branch"/>
    <x v="0"/>
    <s v="complete"/>
    <d v="2022-03-21T00:00:00"/>
    <n v="13294"/>
    <d v="2025-06-10T00:00:00"/>
    <n v="4576"/>
    <n v="17870"/>
    <n v="0"/>
  </r>
  <r>
    <x v="351"/>
    <s v="BR002"/>
    <n v="63"/>
    <s v="F"/>
    <s v="&gt;10L"/>
    <s v="branch"/>
    <x v="0"/>
    <s v="complete"/>
    <d v="2021-09-10T00:00:00"/>
    <n v="20164"/>
    <d v="2025-07-14T00:00:00"/>
    <n v="-1891"/>
    <n v="18273"/>
    <n v="0"/>
  </r>
  <r>
    <x v="352"/>
    <s v="BR003"/>
    <n v="47"/>
    <s v="M"/>
    <s v="&gt;10L"/>
    <s v="branch"/>
    <x v="0"/>
    <s v="complete"/>
    <d v="2024-03-18T00:00:00"/>
    <n v="9733"/>
    <d v="2025-07-15T00:00:00"/>
    <n v="331"/>
    <n v="10064"/>
    <n v="0"/>
  </r>
  <r>
    <x v="353"/>
    <s v="BR002"/>
    <n v="55"/>
    <s v="F"/>
    <s v="6-10L"/>
    <s v="branch"/>
    <x v="0"/>
    <s v="complete"/>
    <d v="2022-03-08T00:00:00"/>
    <n v="25870"/>
    <d v="2025-07-28T00:00:00"/>
    <n v="3980"/>
    <n v="29850"/>
    <n v="0"/>
  </r>
  <r>
    <x v="354"/>
    <s v="BR006"/>
    <n v="55"/>
    <s v="F"/>
    <s v="3-6L"/>
    <s v="online"/>
    <x v="0"/>
    <s v="complete"/>
    <d v="2025-03-24T00:00:00"/>
    <n v="4646"/>
    <d v="2025-07-30T00:00:00"/>
    <n v="23398"/>
    <n v="28044"/>
    <n v="0"/>
  </r>
  <r>
    <x v="355"/>
    <s v="BR012"/>
    <n v="62"/>
    <s v="M"/>
    <s v="&lt;3L"/>
    <s v="online"/>
    <x v="0"/>
    <s v="complete"/>
    <d v="2021-08-05T00:00:00"/>
    <n v="6424"/>
    <d v="2025-06-18T00:00:00"/>
    <n v="21025"/>
    <n v="27449"/>
    <n v="0"/>
  </r>
  <r>
    <x v="356"/>
    <s v="BR019"/>
    <n v="68"/>
    <s v="M"/>
    <s v="6-10L"/>
    <s v="online"/>
    <x v="0"/>
    <s v="complete"/>
    <d v="2022-06-17T00:00:00"/>
    <n v="4690"/>
    <d v="2025-06-13T00:00:00"/>
    <n v="58726"/>
    <n v="63416"/>
    <n v="0"/>
  </r>
  <r>
    <x v="357"/>
    <s v="BR015"/>
    <n v="25"/>
    <s v="M"/>
    <s v="&lt;3L"/>
    <s v="branch"/>
    <x v="0"/>
    <s v="complete"/>
    <d v="2021-04-02T00:00:00"/>
    <n v="6846"/>
    <d v="2025-05-25T00:00:00"/>
    <n v="8335"/>
    <n v="15181"/>
    <n v="0"/>
  </r>
  <r>
    <x v="358"/>
    <s v="BR019"/>
    <n v="44"/>
    <s v="F"/>
    <s v="6-10L"/>
    <s v="online"/>
    <x v="1"/>
    <s v="complete"/>
    <d v="2024-03-22T00:00:00"/>
    <n v="10024"/>
    <d v="2025-04-18T00:00:00"/>
    <n v="24643"/>
    <n v="34667"/>
    <n v="0"/>
  </r>
  <r>
    <x v="359"/>
    <s v="BR012"/>
    <n v="44"/>
    <s v="M"/>
    <s v="3-6L"/>
    <s v="online"/>
    <x v="0"/>
    <s v="complete"/>
    <d v="2025-01-31T00:00:00"/>
    <n v="37387"/>
    <d v="2025-07-24T00:00:00"/>
    <n v="4654"/>
    <n v="42041"/>
    <n v="0"/>
  </r>
  <r>
    <x v="360"/>
    <s v="BR018"/>
    <n v="51"/>
    <s v="F"/>
    <s v="3-6L"/>
    <s v="online"/>
    <x v="0"/>
    <s v="complete"/>
    <d v="2023-11-30T00:00:00"/>
    <n v="13925"/>
    <d v="2025-07-21T00:00:00"/>
    <n v="-15082"/>
    <n v="-1157"/>
    <n v="0"/>
  </r>
  <r>
    <x v="361"/>
    <s v="BR016"/>
    <n v="38"/>
    <s v="F"/>
    <s v="&gt;10L"/>
    <s v="branch"/>
    <x v="0"/>
    <s v="complete"/>
    <d v="2025-04-18T00:00:00"/>
    <n v="3699"/>
    <d v="2025-07-31T00:00:00"/>
    <n v="13051"/>
    <n v="16750"/>
    <n v="0"/>
  </r>
  <r>
    <x v="362"/>
    <s v="BR002"/>
    <n v="47"/>
    <s v="M"/>
    <s v="3-6L"/>
    <s v="branch"/>
    <x v="1"/>
    <s v="complete"/>
    <d v="2021-08-03T00:00:00"/>
    <n v="3288"/>
    <d v="2025-03-04T00:00:00"/>
    <n v="9079"/>
    <n v="12367"/>
    <n v="0"/>
  </r>
  <r>
    <x v="363"/>
    <s v="BR011"/>
    <n v="50"/>
    <s v="F"/>
    <s v="3-6L"/>
    <s v="branch"/>
    <x v="0"/>
    <s v="complete"/>
    <d v="2021-05-27T00:00:00"/>
    <n v="8813"/>
    <d v="2025-07-26T00:00:00"/>
    <n v="22371"/>
    <n v="31184"/>
    <n v="0"/>
  </r>
  <r>
    <x v="364"/>
    <s v="BR012"/>
    <n v="45"/>
    <s v="M"/>
    <s v="3-6L"/>
    <s v="online"/>
    <x v="0"/>
    <s v="complete"/>
    <d v="2024-11-03T00:00:00"/>
    <n v="30773"/>
    <d v="2025-07-28T00:00:00"/>
    <n v="14988"/>
    <n v="45761"/>
    <n v="0"/>
  </r>
  <r>
    <x v="365"/>
    <s v="BR005"/>
    <n v="64"/>
    <s v="F"/>
    <s v="3-6L"/>
    <s v="branch"/>
    <x v="0"/>
    <s v="complete"/>
    <d v="2024-12-02T00:00:00"/>
    <n v="54338"/>
    <d v="2025-07-12T00:00:00"/>
    <n v="27869"/>
    <n v="82207"/>
    <n v="0"/>
  </r>
  <r>
    <x v="366"/>
    <s v="BR006"/>
    <n v="50"/>
    <s v="F"/>
    <s v="6-10L"/>
    <s v="branch"/>
    <x v="1"/>
    <s v="complete"/>
    <d v="2024-10-22T00:00:00"/>
    <n v="2722"/>
    <d v="2025-07-26T00:00:00"/>
    <n v="16699"/>
    <n v="19421"/>
    <n v="0"/>
  </r>
  <r>
    <x v="367"/>
    <s v="BR011"/>
    <n v="22"/>
    <s v="M"/>
    <s v="3-6L"/>
    <s v="online"/>
    <x v="0"/>
    <s v="complete"/>
    <d v="2024-08-29T00:00:00"/>
    <n v="19387"/>
    <d v="2025-07-17T00:00:00"/>
    <n v="-7239"/>
    <n v="12148"/>
    <n v="0"/>
  </r>
  <r>
    <x v="368"/>
    <s v="BR010"/>
    <n v="65"/>
    <s v="F"/>
    <s v="&gt;10L"/>
    <s v="online"/>
    <x v="0"/>
    <s v="pending"/>
    <d v="2022-08-30T00:00:00"/>
    <n v="8939"/>
    <d v="2025-07-09T00:00:00"/>
    <n v="4110"/>
    <n v="13049"/>
    <n v="0"/>
  </r>
  <r>
    <x v="369"/>
    <s v="BR004"/>
    <n v="36"/>
    <s v="M"/>
    <s v="6-10L"/>
    <s v="online"/>
    <x v="0"/>
    <s v="complete"/>
    <d v="2021-12-30T00:00:00"/>
    <n v="9660"/>
    <d v="2025-07-08T00:00:00"/>
    <n v="-9703"/>
    <n v="-43"/>
    <n v="0"/>
  </r>
  <r>
    <x v="370"/>
    <s v="BR009"/>
    <n v="21"/>
    <s v="M"/>
    <s v="3-6L"/>
    <s v="branch"/>
    <x v="0"/>
    <s v="complete"/>
    <d v="2025-04-03T00:00:00"/>
    <n v="4609"/>
    <d v="2025-07-22T00:00:00"/>
    <n v="25230"/>
    <n v="29839"/>
    <n v="0"/>
  </r>
  <r>
    <x v="371"/>
    <s v="BR012"/>
    <n v="52"/>
    <s v="M"/>
    <s v="6-10L"/>
    <s v="online"/>
    <x v="0"/>
    <s v="complete"/>
    <d v="2022-05-29T00:00:00"/>
    <n v="10721"/>
    <d v="2025-06-27T00:00:00"/>
    <n v="-9007"/>
    <n v="1714"/>
    <n v="0"/>
  </r>
  <r>
    <x v="372"/>
    <s v="BR010"/>
    <n v="66"/>
    <s v="M"/>
    <s v="3-6L"/>
    <s v="online"/>
    <x v="1"/>
    <s v="complete"/>
    <d v="2022-10-29T00:00:00"/>
    <n v="4406"/>
    <d v="2025-07-27T00:00:00"/>
    <n v="-23099"/>
    <n v="-18693"/>
    <n v="0"/>
  </r>
  <r>
    <x v="373"/>
    <s v="BR014"/>
    <n v="34"/>
    <s v="O"/>
    <s v="3-6L"/>
    <s v="branch"/>
    <x v="1"/>
    <s v="complete"/>
    <d v="2024-03-16T00:00:00"/>
    <n v="10241"/>
    <d v="2025-07-25T00:00:00"/>
    <n v="10062"/>
    <n v="20303"/>
    <n v="0"/>
  </r>
  <r>
    <x v="374"/>
    <s v="BR005"/>
    <n v="61"/>
    <s v="M"/>
    <s v="&gt;10L"/>
    <s v="online"/>
    <x v="0"/>
    <s v="complete"/>
    <d v="2022-05-06T00:00:00"/>
    <n v="42119"/>
    <d v="2025-07-26T00:00:00"/>
    <n v="33322"/>
    <n v="75441"/>
    <n v="0"/>
  </r>
  <r>
    <x v="375"/>
    <s v="BR001"/>
    <n v="45"/>
    <s v="M"/>
    <s v="&lt;3L"/>
    <s v="online"/>
    <x v="0"/>
    <s v="complete"/>
    <d v="2024-10-02T00:00:00"/>
    <n v="25115"/>
    <d v="2025-07-31T00:00:00"/>
    <n v="-10458"/>
    <n v="14657"/>
    <n v="0"/>
  </r>
  <r>
    <x v="376"/>
    <s v="BR005"/>
    <n v="47"/>
    <s v="F"/>
    <s v="3-6L"/>
    <s v="branch"/>
    <x v="0"/>
    <s v="complete"/>
    <d v="2021-04-28T00:00:00"/>
    <n v="90559"/>
    <d v="2025-07-21T00:00:00"/>
    <n v="10890"/>
    <n v="101449"/>
    <n v="0"/>
  </r>
  <r>
    <x v="377"/>
    <s v="BR016"/>
    <n v="46"/>
    <s v="M"/>
    <s v="3-6L"/>
    <s v="online"/>
    <x v="0"/>
    <s v="complete"/>
    <d v="2024-08-16T00:00:00"/>
    <n v="22615"/>
    <d v="2025-07-06T00:00:00"/>
    <n v="10551"/>
    <n v="33166"/>
    <n v="0"/>
  </r>
  <r>
    <x v="378"/>
    <s v="BR005"/>
    <n v="63"/>
    <s v="O"/>
    <s v="3-6L"/>
    <s v="branch"/>
    <x v="0"/>
    <s v="complete"/>
    <d v="2023-10-04T00:00:00"/>
    <n v="15907"/>
    <d v="2025-07-22T00:00:00"/>
    <n v="-11574"/>
    <n v="4333"/>
    <n v="0"/>
  </r>
  <r>
    <x v="379"/>
    <s v="BR005"/>
    <n v="23"/>
    <s v="F"/>
    <s v="3-6L"/>
    <s v="online"/>
    <x v="0"/>
    <s v="complete"/>
    <d v="2023-08-17T00:00:00"/>
    <n v="23223"/>
    <d v="2025-07-22T00:00:00"/>
    <n v="8901"/>
    <n v="32124"/>
    <n v="0"/>
  </r>
  <r>
    <x v="380"/>
    <s v="BR018"/>
    <n v="52"/>
    <s v="F"/>
    <s v="6-10L"/>
    <s v="branch"/>
    <x v="0"/>
    <s v="complete"/>
    <d v="2023-02-06T00:00:00"/>
    <n v="6150"/>
    <d v="2025-07-28T00:00:00"/>
    <n v="973"/>
    <n v="7123"/>
    <n v="0"/>
  </r>
  <r>
    <x v="381"/>
    <s v="BR006"/>
    <n v="58"/>
    <s v="M"/>
    <s v="3-6L"/>
    <s v="branch"/>
    <x v="0"/>
    <s v="complete"/>
    <d v="2022-04-09T00:00:00"/>
    <n v="1659"/>
    <d v="2025-07-20T00:00:00"/>
    <n v="-16650"/>
    <n v="-14991"/>
    <n v="0"/>
  </r>
  <r>
    <x v="382"/>
    <s v="BR018"/>
    <n v="54"/>
    <s v="M"/>
    <s v="3-6L"/>
    <s v="online"/>
    <x v="0"/>
    <s v="complete"/>
    <d v="2023-02-16T00:00:00"/>
    <n v="29619"/>
    <d v="2025-05-12T00:00:00"/>
    <n v="6453"/>
    <n v="36072"/>
    <n v="0"/>
  </r>
  <r>
    <x v="383"/>
    <s v="BR010"/>
    <n v="41"/>
    <s v="M"/>
    <s v="&lt;3L"/>
    <s v="online"/>
    <x v="0"/>
    <s v="pending"/>
    <d v="2023-01-23T00:00:00"/>
    <n v="2219"/>
    <d v="2025-07-22T00:00:00"/>
    <n v="10614"/>
    <n v="12833"/>
    <n v="0"/>
  </r>
  <r>
    <x v="384"/>
    <s v="BR015"/>
    <n v="46"/>
    <s v="F"/>
    <s v="3-6L"/>
    <s v="branch"/>
    <x v="0"/>
    <s v="pending"/>
    <d v="2023-09-04T00:00:00"/>
    <n v="41011"/>
    <d v="2025-07-20T00:00:00"/>
    <n v="29186"/>
    <n v="70197"/>
    <n v="0"/>
  </r>
  <r>
    <x v="385"/>
    <s v="BR011"/>
    <n v="66"/>
    <s v="M"/>
    <s v="&lt;3L"/>
    <s v="branch"/>
    <x v="0"/>
    <s v="complete"/>
    <d v="2022-04-17T00:00:00"/>
    <n v="28306"/>
    <d v="2025-07-11T00:00:00"/>
    <n v="29350"/>
    <n v="57656"/>
    <n v="0"/>
  </r>
  <r>
    <x v="386"/>
    <s v="BR019"/>
    <n v="63"/>
    <s v="M"/>
    <s v="3-6L"/>
    <s v="branch"/>
    <x v="0"/>
    <s v="complete"/>
    <d v="2021-05-10T00:00:00"/>
    <n v="5713"/>
    <d v="2025-07-28T00:00:00"/>
    <n v="12597"/>
    <n v="18310"/>
    <n v="0"/>
  </r>
  <r>
    <x v="387"/>
    <s v="BR013"/>
    <n v="48"/>
    <s v="O"/>
    <s v="3-6L"/>
    <s v="branch"/>
    <x v="1"/>
    <s v="complete"/>
    <d v="2021-08-31T00:00:00"/>
    <n v="8638"/>
    <d v="2025-07-12T00:00:00"/>
    <n v="11086"/>
    <n v="19724"/>
    <n v="0"/>
  </r>
  <r>
    <x v="388"/>
    <s v="BR020"/>
    <n v="52"/>
    <s v="F"/>
    <s v="&lt;3L"/>
    <s v="online"/>
    <x v="0"/>
    <s v="complete"/>
    <d v="2024-03-15T00:00:00"/>
    <n v="13206"/>
    <d v="2025-06-29T00:00:00"/>
    <n v="13161"/>
    <n v="26367"/>
    <n v="0"/>
  </r>
  <r>
    <x v="389"/>
    <s v="BR003"/>
    <n v="50"/>
    <s v="M"/>
    <s v="3-6L"/>
    <s v="online"/>
    <x v="1"/>
    <s v="complete"/>
    <d v="2021-02-07T00:00:00"/>
    <n v="5313"/>
    <d v="2025-07-25T00:00:00"/>
    <n v="2128"/>
    <n v="7441"/>
    <n v="0"/>
  </r>
  <r>
    <x v="390"/>
    <s v="BR016"/>
    <n v="69"/>
    <s v="M"/>
    <s v="&lt;3L"/>
    <s v="branch"/>
    <x v="1"/>
    <s v="complete"/>
    <d v="2024-12-03T00:00:00"/>
    <n v="22937"/>
    <d v="2025-07-26T00:00:00"/>
    <n v="1701"/>
    <n v="24638"/>
    <n v="0"/>
  </r>
  <r>
    <x v="391"/>
    <s v="BR007"/>
    <n v="38"/>
    <s v="O"/>
    <s v="&gt;10L"/>
    <s v="online"/>
    <x v="0"/>
    <s v="complete"/>
    <d v="2024-03-07T00:00:00"/>
    <n v="25051"/>
    <d v="2025-07-18T00:00:00"/>
    <n v="17450"/>
    <n v="42501"/>
    <n v="0"/>
  </r>
  <r>
    <x v="392"/>
    <s v="BR012"/>
    <n v="49"/>
    <s v="M"/>
    <s v="&gt;10L"/>
    <s v="online"/>
    <x v="0"/>
    <s v="complete"/>
    <d v="2024-07-09T00:00:00"/>
    <n v="3156"/>
    <d v="2025-07-18T00:00:00"/>
    <n v="21474"/>
    <n v="24630"/>
    <n v="0"/>
  </r>
  <r>
    <x v="393"/>
    <s v="BR015"/>
    <n v="40"/>
    <s v="F"/>
    <s v="3-6L"/>
    <s v="online"/>
    <x v="0"/>
    <s v="complete"/>
    <d v="2024-10-30T00:00:00"/>
    <n v="5866"/>
    <d v="2025-07-20T00:00:00"/>
    <n v="5789"/>
    <n v="11655"/>
    <n v="0"/>
  </r>
  <r>
    <x v="394"/>
    <s v="BR008"/>
    <n v="50"/>
    <s v="F"/>
    <s v="&gt;10L"/>
    <s v="online"/>
    <x v="1"/>
    <s v="complete"/>
    <d v="2021-07-25T00:00:00"/>
    <n v="12877"/>
    <d v="2025-07-29T00:00:00"/>
    <n v="6296"/>
    <n v="19173"/>
    <n v="0"/>
  </r>
  <r>
    <x v="395"/>
    <s v="BR017"/>
    <n v="20"/>
    <s v="M"/>
    <s v="6-10L"/>
    <s v="online"/>
    <x v="1"/>
    <s v="complete"/>
    <d v="2024-10-07T00:00:00"/>
    <n v="41797"/>
    <d v="2025-07-25T00:00:00"/>
    <n v="274"/>
    <n v="42071"/>
    <n v="0"/>
  </r>
  <r>
    <x v="396"/>
    <s v="BR001"/>
    <n v="35"/>
    <s v="F"/>
    <s v="3-6L"/>
    <s v="branch"/>
    <x v="0"/>
    <s v="complete"/>
    <d v="2023-04-25T00:00:00"/>
    <n v="25650"/>
    <d v="2025-07-31T00:00:00"/>
    <n v="17620"/>
    <n v="43270"/>
    <n v="0"/>
  </r>
  <r>
    <x v="397"/>
    <s v="BR008"/>
    <n v="42"/>
    <s v="M"/>
    <s v="&lt;3L"/>
    <s v="online"/>
    <x v="0"/>
    <s v="complete"/>
    <d v="2025-01-21T00:00:00"/>
    <n v="1299"/>
    <d v="2025-06-13T00:00:00"/>
    <n v="13041"/>
    <n v="14340"/>
    <n v="0"/>
  </r>
  <r>
    <x v="398"/>
    <s v="BR014"/>
    <n v="59"/>
    <s v="M"/>
    <s v="6-10L"/>
    <s v="online"/>
    <x v="0"/>
    <s v="complete"/>
    <d v="2025-01-23T00:00:00"/>
    <n v="9977"/>
    <d v="2025-07-28T00:00:00"/>
    <n v="6692"/>
    <n v="16669"/>
    <n v="0"/>
  </r>
  <r>
    <x v="399"/>
    <s v="BR010"/>
    <n v="48"/>
    <s v="F"/>
    <s v="6-10L"/>
    <s v="branch"/>
    <x v="0"/>
    <s v="complete"/>
    <d v="2021-02-10T00:00:00"/>
    <n v="21433"/>
    <d v="2025-06-04T00:00:00"/>
    <n v="5316"/>
    <n v="26749"/>
    <n v="0"/>
  </r>
  <r>
    <x v="400"/>
    <s v="BR019"/>
    <n v="20"/>
    <s v="F"/>
    <s v="3-6L"/>
    <s v="branch"/>
    <x v="0"/>
    <s v="complete"/>
    <d v="2022-10-03T00:00:00"/>
    <n v="6003"/>
    <d v="2025-07-23T00:00:00"/>
    <n v="4387"/>
    <n v="10390"/>
    <n v="0"/>
  </r>
  <r>
    <x v="401"/>
    <s v="BR008"/>
    <n v="57"/>
    <s v="F"/>
    <s v="6-10L"/>
    <s v="online"/>
    <x v="0"/>
    <s v="complete"/>
    <d v="2023-05-31T00:00:00"/>
    <n v="5556"/>
    <d v="2025-07-22T00:00:00"/>
    <n v="-7166"/>
    <n v="-1610"/>
    <n v="0"/>
  </r>
  <r>
    <x v="402"/>
    <s v="BR019"/>
    <n v="63"/>
    <s v="F"/>
    <s v="3-6L"/>
    <s v="online"/>
    <x v="0"/>
    <s v="pending"/>
    <d v="2024-02-09T00:00:00"/>
    <n v="6330"/>
    <d v="2025-07-25T00:00:00"/>
    <n v="17677"/>
    <n v="24007"/>
    <n v="0"/>
  </r>
  <r>
    <x v="403"/>
    <s v="BR004"/>
    <n v="41"/>
    <s v="M"/>
    <s v="6-10L"/>
    <s v="branch"/>
    <x v="0"/>
    <s v="complete"/>
    <d v="2022-04-24T00:00:00"/>
    <n v="9818"/>
    <d v="2025-07-31T00:00:00"/>
    <n v="6449"/>
    <n v="16267"/>
    <n v="0"/>
  </r>
  <r>
    <x v="404"/>
    <s v="BR010"/>
    <n v="67"/>
    <s v="M"/>
    <s v="&gt;10L"/>
    <s v="branch"/>
    <x v="0"/>
    <s v="complete"/>
    <d v="2022-02-26T00:00:00"/>
    <n v="5019"/>
    <d v="2025-07-18T00:00:00"/>
    <n v="15282"/>
    <n v="20301"/>
    <n v="0"/>
  </r>
  <r>
    <x v="405"/>
    <s v="BR003"/>
    <n v="49"/>
    <s v="M"/>
    <s v="3-6L"/>
    <s v="branch"/>
    <x v="0"/>
    <s v="complete"/>
    <d v="2022-09-30T00:00:00"/>
    <n v="25846"/>
    <d v="2025-07-17T00:00:00"/>
    <n v="-15360"/>
    <n v="10486"/>
    <n v="0"/>
  </r>
  <r>
    <x v="406"/>
    <s v="BR004"/>
    <n v="64"/>
    <s v="M"/>
    <s v="6-10L"/>
    <s v="branch"/>
    <x v="1"/>
    <s v="pending"/>
    <d v="2023-04-19T00:00:00"/>
    <n v="5649"/>
    <d v="2025-07-30T00:00:00"/>
    <n v="23908"/>
    <n v="29557"/>
    <n v="0"/>
  </r>
  <r>
    <x v="407"/>
    <s v="BR016"/>
    <n v="39"/>
    <s v="M"/>
    <s v="3-6L"/>
    <s v="branch"/>
    <x v="0"/>
    <s v="complete"/>
    <d v="2025-05-11T00:00:00"/>
    <n v="4740"/>
    <d v="2025-07-30T00:00:00"/>
    <n v="26611"/>
    <n v="31351"/>
    <n v="0"/>
  </r>
  <r>
    <x v="408"/>
    <s v="BR004"/>
    <n v="40"/>
    <s v="M"/>
    <s v="6-10L"/>
    <s v="online"/>
    <x v="0"/>
    <s v="complete"/>
    <d v="2024-06-29T00:00:00"/>
    <n v="8967"/>
    <d v="2025-07-17T00:00:00"/>
    <n v="38747"/>
    <n v="47714"/>
    <n v="0"/>
  </r>
  <r>
    <x v="409"/>
    <s v="BR020"/>
    <n v="19"/>
    <s v="M"/>
    <s v="6-10L"/>
    <s v="branch"/>
    <x v="0"/>
    <s v="complete"/>
    <d v="2022-12-20T00:00:00"/>
    <n v="58625"/>
    <d v="2025-06-23T00:00:00"/>
    <n v="528"/>
    <n v="59153"/>
    <n v="0"/>
  </r>
  <r>
    <x v="410"/>
    <s v="BR020"/>
    <n v="44"/>
    <s v="M"/>
    <s v="&lt;3L"/>
    <s v="online"/>
    <x v="0"/>
    <s v="complete"/>
    <d v="2021-04-01T00:00:00"/>
    <n v="22590"/>
    <d v="2024-12-01T00:00:00"/>
    <n v="12886"/>
    <n v="35476"/>
    <n v="1"/>
  </r>
  <r>
    <x v="411"/>
    <s v="BR013"/>
    <n v="59"/>
    <s v="F"/>
    <s v="3-6L"/>
    <s v="branch"/>
    <x v="0"/>
    <s v="complete"/>
    <d v="2021-10-09T00:00:00"/>
    <n v="24073"/>
    <d v="2025-05-12T00:00:00"/>
    <n v="-680"/>
    <n v="23393"/>
    <n v="0"/>
  </r>
  <r>
    <x v="412"/>
    <s v="BR017"/>
    <n v="19"/>
    <s v="F"/>
    <s v="&lt;3L"/>
    <s v="branch"/>
    <x v="0"/>
    <s v="complete"/>
    <d v="2023-02-02T00:00:00"/>
    <n v="17788"/>
    <d v="2025-07-29T00:00:00"/>
    <n v="23783"/>
    <n v="41571"/>
    <n v="0"/>
  </r>
  <r>
    <x v="413"/>
    <s v="BR016"/>
    <n v="43"/>
    <s v="M"/>
    <s v="6-10L"/>
    <s v="online"/>
    <x v="0"/>
    <s v="complete"/>
    <d v="2024-09-23T00:00:00"/>
    <n v="5182"/>
    <d v="2025-07-23T00:00:00"/>
    <n v="4230"/>
    <n v="9412"/>
    <n v="0"/>
  </r>
  <r>
    <x v="414"/>
    <s v="BR017"/>
    <n v="34"/>
    <s v="F"/>
    <s v="3-6L"/>
    <s v="online"/>
    <x v="0"/>
    <s v="complete"/>
    <d v="2022-09-29T00:00:00"/>
    <n v="7044"/>
    <d v="2025-07-06T00:00:00"/>
    <n v="-17010"/>
    <n v="-9966"/>
    <n v="0"/>
  </r>
  <r>
    <x v="415"/>
    <s v="BR006"/>
    <n v="57"/>
    <s v="F"/>
    <s v="6-10L"/>
    <s v="online"/>
    <x v="0"/>
    <s v="complete"/>
    <d v="2023-06-20T00:00:00"/>
    <n v="5943"/>
    <d v="2025-07-21T00:00:00"/>
    <n v="28120"/>
    <n v="34063"/>
    <n v="0"/>
  </r>
  <r>
    <x v="416"/>
    <s v="BR003"/>
    <n v="50"/>
    <s v="M"/>
    <s v="&lt;3L"/>
    <s v="online"/>
    <x v="0"/>
    <s v="complete"/>
    <d v="2025-01-31T00:00:00"/>
    <n v="39798"/>
    <d v="2025-07-28T00:00:00"/>
    <n v="11064"/>
    <n v="50862"/>
    <n v="0"/>
  </r>
  <r>
    <x v="417"/>
    <s v="BR020"/>
    <n v="26"/>
    <s v="F"/>
    <s v="3-6L"/>
    <s v="branch"/>
    <x v="0"/>
    <s v="complete"/>
    <d v="2025-03-09T00:00:00"/>
    <n v="17950"/>
    <d v="2025-07-26T00:00:00"/>
    <n v="20503"/>
    <n v="38453"/>
    <n v="0"/>
  </r>
  <r>
    <x v="418"/>
    <s v="BR004"/>
    <n v="60"/>
    <s v="F"/>
    <s v="3-6L"/>
    <s v="online"/>
    <x v="0"/>
    <s v="complete"/>
    <d v="2021-12-27T00:00:00"/>
    <n v="2522"/>
    <d v="2025-03-14T00:00:00"/>
    <n v="19943"/>
    <n v="22465"/>
    <n v="0"/>
  </r>
  <r>
    <x v="419"/>
    <s v="BR008"/>
    <n v="65"/>
    <s v="F"/>
    <s v="6-10L"/>
    <s v="branch"/>
    <x v="0"/>
    <s v="complete"/>
    <d v="2021-03-14T00:00:00"/>
    <n v="57105"/>
    <d v="2025-04-02T00:00:00"/>
    <n v="-8950"/>
    <n v="48155"/>
    <n v="0"/>
  </r>
  <r>
    <x v="420"/>
    <s v="BR020"/>
    <n v="56"/>
    <s v="M"/>
    <s v="&gt;10L"/>
    <s v="online"/>
    <x v="0"/>
    <s v="complete"/>
    <d v="2022-05-26T00:00:00"/>
    <n v="9586"/>
    <d v="2025-06-29T00:00:00"/>
    <n v="9446"/>
    <n v="19032"/>
    <n v="0"/>
  </r>
  <r>
    <x v="421"/>
    <s v="BR009"/>
    <n v="46"/>
    <s v="F"/>
    <s v="&gt;10L"/>
    <s v="branch"/>
    <x v="0"/>
    <s v="complete"/>
    <d v="2024-03-10T00:00:00"/>
    <n v="25678"/>
    <d v="2025-07-27T00:00:00"/>
    <n v="13888"/>
    <n v="39566"/>
    <n v="0"/>
  </r>
  <r>
    <x v="422"/>
    <s v="BR001"/>
    <n v="59"/>
    <s v="M"/>
    <s v="6-10L"/>
    <s v="branch"/>
    <x v="0"/>
    <s v="complete"/>
    <d v="2025-05-11T00:00:00"/>
    <n v="38267"/>
    <d v="2025-07-24T00:00:00"/>
    <n v="24488"/>
    <n v="62755"/>
    <n v="0"/>
  </r>
  <r>
    <x v="423"/>
    <s v="BR013"/>
    <n v="43"/>
    <s v="F"/>
    <s v="6-10L"/>
    <s v="branch"/>
    <x v="0"/>
    <s v="complete"/>
    <d v="2021-05-09T00:00:00"/>
    <n v="1031"/>
    <d v="2025-06-21T00:00:00"/>
    <n v="24406"/>
    <n v="25437"/>
    <n v="0"/>
  </r>
  <r>
    <x v="424"/>
    <s v="BR002"/>
    <n v="52"/>
    <s v="F"/>
    <s v="&lt;3L"/>
    <s v="online"/>
    <x v="0"/>
    <s v="complete"/>
    <d v="2021-02-17T00:00:00"/>
    <n v="21049"/>
    <d v="2025-05-20T00:00:00"/>
    <n v="941"/>
    <n v="21990"/>
    <n v="0"/>
  </r>
  <r>
    <x v="425"/>
    <s v="BR010"/>
    <n v="67"/>
    <s v="F"/>
    <s v="3-6L"/>
    <s v="branch"/>
    <x v="0"/>
    <s v="complete"/>
    <d v="2025-01-19T00:00:00"/>
    <n v="10378"/>
    <d v="2025-07-16T00:00:00"/>
    <n v="30300"/>
    <n v="40678"/>
    <n v="0"/>
  </r>
  <r>
    <x v="426"/>
    <s v="BR019"/>
    <n v="42"/>
    <s v="F"/>
    <s v="3-6L"/>
    <s v="online"/>
    <x v="0"/>
    <s v="complete"/>
    <d v="2024-06-05T00:00:00"/>
    <n v="1186"/>
    <d v="2025-07-28T00:00:00"/>
    <n v="15006"/>
    <n v="16192"/>
    <n v="0"/>
  </r>
  <r>
    <x v="427"/>
    <s v="BR017"/>
    <n v="41"/>
    <s v="F"/>
    <s v="6-10L"/>
    <s v="online"/>
    <x v="1"/>
    <s v="complete"/>
    <d v="2025-07-19T00:00:00"/>
    <n v="4305"/>
    <d v="2025-07-31T00:00:00"/>
    <n v="24885"/>
    <n v="29190"/>
    <n v="0"/>
  </r>
  <r>
    <x v="428"/>
    <s v="BR013"/>
    <n v="30"/>
    <s v="M"/>
    <s v="&gt;10L"/>
    <s v="online"/>
    <x v="1"/>
    <s v="complete"/>
    <d v="2022-10-26T00:00:00"/>
    <n v="8479"/>
    <d v="2025-06-29T00:00:00"/>
    <n v="25506"/>
    <n v="33985"/>
    <n v="0"/>
  </r>
  <r>
    <x v="429"/>
    <s v="BR014"/>
    <n v="24"/>
    <s v="M"/>
    <s v="&lt;3L"/>
    <s v="online"/>
    <x v="0"/>
    <s v="complete"/>
    <d v="2022-11-28T00:00:00"/>
    <n v="31121"/>
    <d v="2025-06-19T00:00:00"/>
    <n v="1017"/>
    <n v="32138"/>
    <n v="0"/>
  </r>
  <r>
    <x v="430"/>
    <s v="BR011"/>
    <n v="53"/>
    <s v="F"/>
    <s v="&gt;10L"/>
    <s v="branch"/>
    <x v="1"/>
    <s v="complete"/>
    <d v="2021-10-16T00:00:00"/>
    <n v="11201"/>
    <d v="2025-07-31T00:00:00"/>
    <n v="-738"/>
    <n v="10463"/>
    <n v="0"/>
  </r>
  <r>
    <x v="431"/>
    <s v="BR010"/>
    <n v="62"/>
    <s v="M"/>
    <s v="6-10L"/>
    <s v="online"/>
    <x v="0"/>
    <s v="complete"/>
    <d v="2021-07-13T00:00:00"/>
    <n v="15493"/>
    <d v="2025-04-09T00:00:00"/>
    <n v="4067"/>
    <n v="19560"/>
    <n v="0"/>
  </r>
  <r>
    <x v="432"/>
    <s v="BR007"/>
    <n v="37"/>
    <s v="M"/>
    <s v="3-6L"/>
    <s v="branch"/>
    <x v="0"/>
    <s v="complete"/>
    <d v="2023-08-27T00:00:00"/>
    <n v="9357"/>
    <d v="2025-06-15T00:00:00"/>
    <n v="-3922"/>
    <n v="5435"/>
    <n v="0"/>
  </r>
  <r>
    <x v="433"/>
    <s v="BR010"/>
    <n v="18"/>
    <s v="M"/>
    <s v="&lt;3L"/>
    <s v="branch"/>
    <x v="0"/>
    <s v="complete"/>
    <d v="2022-09-02T00:00:00"/>
    <n v="39652"/>
    <d v="2025-06-28T00:00:00"/>
    <n v="-3077"/>
    <n v="36575"/>
    <n v="0"/>
  </r>
  <r>
    <x v="434"/>
    <s v="BR001"/>
    <n v="25"/>
    <s v="M"/>
    <s v="&lt;3L"/>
    <s v="online"/>
    <x v="1"/>
    <s v="complete"/>
    <d v="2021-05-15T00:00:00"/>
    <n v="22495"/>
    <d v="2025-07-01T00:00:00"/>
    <n v="2432"/>
    <n v="24927"/>
    <n v="0"/>
  </r>
  <r>
    <x v="435"/>
    <s v="BR014"/>
    <n v="63"/>
    <s v="O"/>
    <s v="3-6L"/>
    <s v="branch"/>
    <x v="0"/>
    <s v="complete"/>
    <d v="2025-01-23T00:00:00"/>
    <n v="15723"/>
    <d v="2025-07-30T00:00:00"/>
    <n v="1807"/>
    <n v="17530"/>
    <n v="0"/>
  </r>
  <r>
    <x v="436"/>
    <s v="BR003"/>
    <n v="33"/>
    <s v="F"/>
    <s v="6-10L"/>
    <s v="online"/>
    <x v="0"/>
    <s v="complete"/>
    <d v="2021-11-28T00:00:00"/>
    <n v="4259"/>
    <d v="2025-07-22T00:00:00"/>
    <n v="4357"/>
    <n v="8616"/>
    <n v="0"/>
  </r>
  <r>
    <x v="437"/>
    <s v="BR013"/>
    <n v="31"/>
    <s v="F"/>
    <s v="&lt;3L"/>
    <s v="online"/>
    <x v="0"/>
    <s v="complete"/>
    <d v="2024-06-06T00:00:00"/>
    <n v="15061"/>
    <d v="2025-07-20T00:00:00"/>
    <n v="-3045"/>
    <n v="12016"/>
    <n v="0"/>
  </r>
  <r>
    <x v="438"/>
    <s v="BR002"/>
    <n v="29"/>
    <s v="F"/>
    <s v="3-6L"/>
    <s v="online"/>
    <x v="0"/>
    <s v="complete"/>
    <d v="2022-04-18T00:00:00"/>
    <n v="215749"/>
    <d v="2025-06-21T00:00:00"/>
    <n v="5010"/>
    <n v="220759"/>
    <n v="0"/>
  </r>
  <r>
    <x v="439"/>
    <s v="BR017"/>
    <n v="68"/>
    <s v="F"/>
    <s v="6-10L"/>
    <s v="branch"/>
    <x v="0"/>
    <s v="pending"/>
    <d v="2024-09-21T00:00:00"/>
    <n v="29592"/>
    <d v="2025-06-14T00:00:00"/>
    <n v="1311"/>
    <n v="30903"/>
    <n v="0"/>
  </r>
  <r>
    <x v="440"/>
    <s v="BR003"/>
    <n v="40"/>
    <s v="M"/>
    <s v="6-10L"/>
    <s v="branch"/>
    <x v="0"/>
    <s v="complete"/>
    <d v="2021-07-18T00:00:00"/>
    <n v="6378"/>
    <d v="2024-12-15T00:00:00"/>
    <n v="-1369"/>
    <n v="5009"/>
    <n v="1"/>
  </r>
  <r>
    <x v="441"/>
    <s v="BR015"/>
    <n v="32"/>
    <s v="F"/>
    <s v="&gt;10L"/>
    <s v="online"/>
    <x v="0"/>
    <s v="complete"/>
    <d v="2024-06-18T00:00:00"/>
    <n v="85175"/>
    <d v="2025-07-01T00:00:00"/>
    <n v="2676"/>
    <n v="87851"/>
    <n v="0"/>
  </r>
  <r>
    <x v="442"/>
    <s v="BR008"/>
    <n v="45"/>
    <s v="M"/>
    <s v="3-6L"/>
    <s v="online"/>
    <x v="0"/>
    <s v="complete"/>
    <d v="2021-06-14T00:00:00"/>
    <n v="6103"/>
    <d v="2025-07-20T00:00:00"/>
    <n v="-1867"/>
    <n v="4236"/>
    <n v="0"/>
  </r>
  <r>
    <x v="443"/>
    <s v="BR006"/>
    <n v="51"/>
    <s v="F"/>
    <s v="3-6L"/>
    <s v="branch"/>
    <x v="0"/>
    <s v="complete"/>
    <d v="2023-01-18T00:00:00"/>
    <n v="27291"/>
    <d v="2025-04-30T00:00:00"/>
    <n v="1700"/>
    <n v="28991"/>
    <n v="0"/>
  </r>
  <r>
    <x v="444"/>
    <s v="BR009"/>
    <n v="19"/>
    <s v="F"/>
    <s v="6-10L"/>
    <s v="online"/>
    <x v="0"/>
    <s v="complete"/>
    <d v="2024-05-12T00:00:00"/>
    <n v="12757"/>
    <d v="2025-06-08T00:00:00"/>
    <n v="10115"/>
    <n v="22872"/>
    <n v="0"/>
  </r>
  <r>
    <x v="445"/>
    <s v="BR011"/>
    <n v="49"/>
    <s v="M"/>
    <s v="3-6L"/>
    <s v="branch"/>
    <x v="0"/>
    <s v="complete"/>
    <d v="2021-10-17T00:00:00"/>
    <n v="16029"/>
    <d v="2025-03-18T00:00:00"/>
    <n v="15242"/>
    <n v="31271"/>
    <n v="0"/>
  </r>
  <r>
    <x v="446"/>
    <s v="BR002"/>
    <n v="40"/>
    <s v="O"/>
    <s v="&lt;3L"/>
    <s v="online"/>
    <x v="0"/>
    <s v="complete"/>
    <d v="2022-04-23T00:00:00"/>
    <n v="16628"/>
    <d v="2025-04-24T00:00:00"/>
    <n v="10900"/>
    <n v="27528"/>
    <n v="0"/>
  </r>
  <r>
    <x v="447"/>
    <s v="BR009"/>
    <n v="39"/>
    <s v="F"/>
    <s v="3-6L"/>
    <s v="online"/>
    <x v="1"/>
    <s v="complete"/>
    <d v="2024-12-17T00:00:00"/>
    <n v="10430"/>
    <d v="2025-07-24T00:00:00"/>
    <n v="7881"/>
    <n v="18311"/>
    <n v="0"/>
  </r>
  <r>
    <x v="448"/>
    <s v="BR018"/>
    <n v="68"/>
    <s v="F"/>
    <s v="3-6L"/>
    <s v="branch"/>
    <x v="0"/>
    <s v="complete"/>
    <d v="2025-01-20T00:00:00"/>
    <n v="9051"/>
    <d v="2025-06-29T00:00:00"/>
    <n v="883"/>
    <n v="9934"/>
    <n v="0"/>
  </r>
  <r>
    <x v="449"/>
    <s v="BR019"/>
    <n v="42"/>
    <s v="M"/>
    <s v="3-6L"/>
    <s v="online"/>
    <x v="0"/>
    <s v="complete"/>
    <d v="2021-03-17T00:00:00"/>
    <n v="3580"/>
    <d v="2025-05-05T00:00:00"/>
    <n v="22328"/>
    <n v="25908"/>
    <n v="0"/>
  </r>
  <r>
    <x v="450"/>
    <s v="BR018"/>
    <n v="39"/>
    <s v="F"/>
    <s v="3-6L"/>
    <s v="branch"/>
    <x v="0"/>
    <s v="complete"/>
    <d v="2021-10-09T00:00:00"/>
    <n v="4337"/>
    <d v="2025-05-19T00:00:00"/>
    <n v="15227"/>
    <n v="19564"/>
    <n v="0"/>
  </r>
  <r>
    <x v="451"/>
    <s v="BR005"/>
    <n v="39"/>
    <s v="F"/>
    <s v="3-6L"/>
    <s v="branch"/>
    <x v="0"/>
    <s v="complete"/>
    <d v="2021-07-16T00:00:00"/>
    <n v="18657"/>
    <d v="2025-05-07T00:00:00"/>
    <n v="22173"/>
    <n v="40830"/>
    <n v="0"/>
  </r>
  <r>
    <x v="452"/>
    <s v="BR018"/>
    <n v="66"/>
    <s v="M"/>
    <s v="&lt;3L"/>
    <s v="online"/>
    <x v="1"/>
    <s v="complete"/>
    <d v="2021-10-28T00:00:00"/>
    <n v="6750"/>
    <d v="2025-07-28T00:00:00"/>
    <n v="9892"/>
    <n v="16642"/>
    <n v="0"/>
  </r>
  <r>
    <x v="453"/>
    <s v="BR012"/>
    <n v="69"/>
    <s v="M"/>
    <s v="3-6L"/>
    <s v="online"/>
    <x v="0"/>
    <s v="complete"/>
    <d v="2025-06-12T00:00:00"/>
    <n v="5378"/>
    <d v="2025-07-30T00:00:00"/>
    <n v="26225"/>
    <n v="31603"/>
    <n v="0"/>
  </r>
  <r>
    <x v="454"/>
    <s v="BR004"/>
    <n v="59"/>
    <s v="F"/>
    <s v="3-6L"/>
    <s v="branch"/>
    <x v="0"/>
    <s v="complete"/>
    <d v="2023-07-12T00:00:00"/>
    <n v="225782"/>
    <d v="2025-06-18T00:00:00"/>
    <n v="-5615"/>
    <n v="220167"/>
    <n v="0"/>
  </r>
  <r>
    <x v="455"/>
    <s v="BR015"/>
    <n v="23"/>
    <s v="M"/>
    <s v="6-10L"/>
    <s v="branch"/>
    <x v="0"/>
    <s v="complete"/>
    <d v="2023-02-23T00:00:00"/>
    <n v="161030"/>
    <d v="2025-06-17T00:00:00"/>
    <n v="8739"/>
    <n v="169769"/>
    <n v="0"/>
  </r>
  <r>
    <x v="456"/>
    <s v="BR011"/>
    <n v="32"/>
    <s v="F"/>
    <s v="&lt;3L"/>
    <s v="online"/>
    <x v="0"/>
    <s v="complete"/>
    <d v="2025-07-06T00:00:00"/>
    <n v="23881"/>
    <d v="2025-07-31T00:00:00"/>
    <n v="9380"/>
    <n v="33261"/>
    <n v="0"/>
  </r>
  <r>
    <x v="457"/>
    <s v="BR019"/>
    <n v="60"/>
    <s v="F"/>
    <s v="3-6L"/>
    <s v="branch"/>
    <x v="0"/>
    <s v="complete"/>
    <d v="2023-07-21T00:00:00"/>
    <n v="27488"/>
    <d v="2025-06-21T00:00:00"/>
    <n v="2853"/>
    <n v="30341"/>
    <n v="0"/>
  </r>
  <r>
    <x v="458"/>
    <s v="BR005"/>
    <n v="54"/>
    <s v="F"/>
    <s v="3-6L"/>
    <s v="online"/>
    <x v="0"/>
    <s v="complete"/>
    <d v="2024-01-12T00:00:00"/>
    <n v="5929"/>
    <d v="2025-06-28T00:00:00"/>
    <n v="-1558"/>
    <n v="4371"/>
    <n v="0"/>
  </r>
  <r>
    <x v="459"/>
    <s v="BR006"/>
    <n v="50"/>
    <s v="M"/>
    <s v="3-6L"/>
    <s v="online"/>
    <x v="0"/>
    <s v="complete"/>
    <d v="2022-07-11T00:00:00"/>
    <n v="4084"/>
    <d v="2025-06-08T00:00:00"/>
    <n v="-6347"/>
    <n v="-2263"/>
    <n v="0"/>
  </r>
  <r>
    <x v="460"/>
    <s v="BR013"/>
    <n v="25"/>
    <s v="F"/>
    <s v="3-6L"/>
    <s v="branch"/>
    <x v="0"/>
    <s v="pending"/>
    <d v="2022-10-02T00:00:00"/>
    <n v="9506"/>
    <d v="2025-05-29T00:00:00"/>
    <n v="-3786"/>
    <n v="5720"/>
    <n v="0"/>
  </r>
  <r>
    <x v="461"/>
    <s v="BR010"/>
    <n v="61"/>
    <s v="M"/>
    <s v="3-6L"/>
    <s v="online"/>
    <x v="0"/>
    <s v="complete"/>
    <d v="2023-09-22T00:00:00"/>
    <n v="13364"/>
    <d v="2025-07-23T00:00:00"/>
    <n v="11189"/>
    <n v="24553"/>
    <n v="0"/>
  </r>
  <r>
    <x v="462"/>
    <s v="BR014"/>
    <n v="61"/>
    <s v="M"/>
    <s v="&gt;10L"/>
    <s v="branch"/>
    <x v="0"/>
    <s v="complete"/>
    <d v="2021-04-27T00:00:00"/>
    <n v="27257"/>
    <d v="2025-05-08T00:00:00"/>
    <n v="13593"/>
    <n v="40850"/>
    <n v="0"/>
  </r>
  <r>
    <x v="463"/>
    <s v="BR004"/>
    <n v="22"/>
    <s v="F"/>
    <s v="3-6L"/>
    <s v="online"/>
    <x v="0"/>
    <s v="complete"/>
    <d v="2022-03-05T00:00:00"/>
    <n v="2142"/>
    <d v="2025-07-07T00:00:00"/>
    <n v="16830"/>
    <n v="18972"/>
    <n v="0"/>
  </r>
  <r>
    <x v="464"/>
    <s v="BR020"/>
    <n v="56"/>
    <s v="M"/>
    <s v="3-6L"/>
    <s v="branch"/>
    <x v="0"/>
    <s v="complete"/>
    <d v="2021-11-26T00:00:00"/>
    <n v="114376"/>
    <d v="2025-06-09T00:00:00"/>
    <n v="16808"/>
    <n v="131184"/>
    <n v="0"/>
  </r>
  <r>
    <x v="465"/>
    <s v="BR012"/>
    <n v="21"/>
    <s v="M"/>
    <s v="6-10L"/>
    <s v="online"/>
    <x v="0"/>
    <s v="complete"/>
    <d v="2021-01-27T00:00:00"/>
    <n v="17120"/>
    <d v="2025-07-29T00:00:00"/>
    <n v="11238"/>
    <n v="28358"/>
    <n v="0"/>
  </r>
  <r>
    <x v="466"/>
    <s v="BR015"/>
    <n v="23"/>
    <s v="F"/>
    <s v="3-6L"/>
    <s v="online"/>
    <x v="0"/>
    <s v="complete"/>
    <d v="2023-06-18T00:00:00"/>
    <n v="2834"/>
    <d v="2025-05-27T00:00:00"/>
    <n v="18255"/>
    <n v="21089"/>
    <n v="0"/>
  </r>
  <r>
    <x v="467"/>
    <s v="BR010"/>
    <n v="62"/>
    <s v="M"/>
    <s v="3-6L"/>
    <s v="branch"/>
    <x v="0"/>
    <s v="complete"/>
    <d v="2023-07-28T00:00:00"/>
    <n v="15638"/>
    <d v="2025-05-20T00:00:00"/>
    <n v="9932"/>
    <n v="25570"/>
    <n v="0"/>
  </r>
  <r>
    <x v="468"/>
    <s v="BR011"/>
    <n v="49"/>
    <s v="M"/>
    <s v="3-6L"/>
    <s v="online"/>
    <x v="0"/>
    <s v="complete"/>
    <d v="2022-10-05T00:00:00"/>
    <n v="5418"/>
    <d v="2025-07-23T00:00:00"/>
    <n v="-3391"/>
    <n v="2027"/>
    <n v="0"/>
  </r>
  <r>
    <x v="469"/>
    <s v="BR009"/>
    <n v="69"/>
    <s v="F"/>
    <s v="6-10L"/>
    <s v="online"/>
    <x v="0"/>
    <s v="complete"/>
    <d v="2022-03-26T00:00:00"/>
    <n v="5052"/>
    <d v="2025-07-27T00:00:00"/>
    <n v="13550"/>
    <n v="18602"/>
    <n v="0"/>
  </r>
  <r>
    <x v="470"/>
    <s v="BR011"/>
    <n v="47"/>
    <s v="F"/>
    <s v="3-6L"/>
    <s v="online"/>
    <x v="0"/>
    <s v="complete"/>
    <d v="2023-12-27T00:00:00"/>
    <n v="4617"/>
    <d v="2025-07-15T00:00:00"/>
    <n v="-2945"/>
    <n v="1672"/>
    <n v="0"/>
  </r>
  <r>
    <x v="471"/>
    <s v="BR002"/>
    <n v="64"/>
    <s v="F"/>
    <s v="&lt;3L"/>
    <s v="online"/>
    <x v="0"/>
    <s v="complete"/>
    <d v="2021-08-14T00:00:00"/>
    <n v="10337"/>
    <d v="2025-06-01T00:00:00"/>
    <n v="10362"/>
    <n v="20699"/>
    <n v="0"/>
  </r>
  <r>
    <x v="472"/>
    <s v="BR013"/>
    <n v="52"/>
    <s v="M"/>
    <s v="3-6L"/>
    <s v="branch"/>
    <x v="0"/>
    <s v="complete"/>
    <d v="2023-05-18T00:00:00"/>
    <n v="109394"/>
    <d v="2025-06-21T00:00:00"/>
    <n v="4000"/>
    <n v="113394"/>
    <n v="0"/>
  </r>
  <r>
    <x v="473"/>
    <s v="BR008"/>
    <n v="57"/>
    <s v="M"/>
    <s v="6-10L"/>
    <s v="online"/>
    <x v="0"/>
    <s v="complete"/>
    <d v="2024-07-08T00:00:00"/>
    <n v="14657"/>
    <d v="2025-07-27T00:00:00"/>
    <n v="8045"/>
    <n v="22702"/>
    <n v="0"/>
  </r>
  <r>
    <x v="474"/>
    <s v="BR008"/>
    <n v="69"/>
    <s v="M"/>
    <s v="&lt;3L"/>
    <s v="online"/>
    <x v="0"/>
    <s v="complete"/>
    <d v="2021-10-02T00:00:00"/>
    <n v="26739"/>
    <d v="2025-06-13T00:00:00"/>
    <n v="14695"/>
    <n v="41434"/>
    <n v="0"/>
  </r>
  <r>
    <x v="475"/>
    <s v="BR001"/>
    <n v="33"/>
    <s v="M"/>
    <s v="&gt;10L"/>
    <s v="online"/>
    <x v="0"/>
    <s v="complete"/>
    <d v="2024-06-14T00:00:00"/>
    <n v="34150"/>
    <d v="2025-07-31T00:00:00"/>
    <n v="2926"/>
    <n v="37076"/>
    <n v="0"/>
  </r>
  <r>
    <x v="476"/>
    <s v="BR006"/>
    <n v="30"/>
    <s v="F"/>
    <s v="3-6L"/>
    <s v="online"/>
    <x v="0"/>
    <s v="complete"/>
    <d v="2024-06-26T00:00:00"/>
    <n v="11559"/>
    <d v="2025-07-23T00:00:00"/>
    <n v="13717"/>
    <n v="25276"/>
    <n v="0"/>
  </r>
  <r>
    <x v="477"/>
    <s v="BR013"/>
    <n v="67"/>
    <s v="M"/>
    <s v="&gt;10L"/>
    <s v="online"/>
    <x v="0"/>
    <s v="complete"/>
    <d v="2021-04-11T00:00:00"/>
    <n v="4184"/>
    <d v="2025-07-20T00:00:00"/>
    <n v="-6319"/>
    <n v="-2135"/>
    <n v="0"/>
  </r>
  <r>
    <x v="478"/>
    <s v="BR009"/>
    <n v="59"/>
    <s v="M"/>
    <s v="&gt;10L"/>
    <s v="online"/>
    <x v="0"/>
    <s v="complete"/>
    <d v="2021-02-01T00:00:00"/>
    <n v="2701"/>
    <d v="2025-04-14T00:00:00"/>
    <n v="-5098"/>
    <n v="-2397"/>
    <n v="0"/>
  </r>
  <r>
    <x v="479"/>
    <s v="BR006"/>
    <n v="47"/>
    <s v="F"/>
    <s v="3-6L"/>
    <s v="online"/>
    <x v="1"/>
    <s v="complete"/>
    <d v="2025-06-18T00:00:00"/>
    <n v="9068"/>
    <d v="2025-07-29T00:00:00"/>
    <n v="888"/>
    <n v="9956"/>
    <n v="0"/>
  </r>
  <r>
    <x v="480"/>
    <s v="BR015"/>
    <n v="36"/>
    <s v="F"/>
    <s v="&lt;3L"/>
    <s v="branch"/>
    <x v="0"/>
    <s v="complete"/>
    <d v="2021-11-20T00:00:00"/>
    <n v="41938"/>
    <d v="2025-02-09T00:00:00"/>
    <n v="-6073"/>
    <n v="35865"/>
    <n v="0"/>
  </r>
  <r>
    <x v="481"/>
    <s v="BR016"/>
    <n v="34"/>
    <s v="F"/>
    <s v="&lt;3L"/>
    <s v="branch"/>
    <x v="0"/>
    <s v="complete"/>
    <d v="2024-10-07T00:00:00"/>
    <n v="34043"/>
    <d v="2025-07-18T00:00:00"/>
    <n v="-273"/>
    <n v="33770"/>
    <n v="0"/>
  </r>
  <r>
    <x v="482"/>
    <s v="BR004"/>
    <n v="36"/>
    <s v="M"/>
    <s v="&lt;3L"/>
    <s v="online"/>
    <x v="0"/>
    <s v="complete"/>
    <d v="2023-07-29T00:00:00"/>
    <n v="17264"/>
    <d v="2025-07-18T00:00:00"/>
    <n v="-4105"/>
    <n v="13159"/>
    <n v="0"/>
  </r>
  <r>
    <x v="483"/>
    <s v="BR017"/>
    <n v="45"/>
    <s v="M"/>
    <s v="6-10L"/>
    <s v="online"/>
    <x v="0"/>
    <s v="complete"/>
    <d v="2022-03-19T00:00:00"/>
    <n v="19710"/>
    <d v="2025-07-10T00:00:00"/>
    <n v="24575"/>
    <n v="44285"/>
    <n v="0"/>
  </r>
  <r>
    <x v="484"/>
    <s v="BR009"/>
    <n v="43"/>
    <s v="M"/>
    <s v="3-6L"/>
    <s v="online"/>
    <x v="0"/>
    <s v="complete"/>
    <d v="2021-08-06T00:00:00"/>
    <n v="11651"/>
    <d v="2025-03-31T00:00:00"/>
    <n v="20376"/>
    <n v="32027"/>
    <n v="0"/>
  </r>
  <r>
    <x v="485"/>
    <s v="BR012"/>
    <n v="54"/>
    <s v="M"/>
    <s v="3-6L"/>
    <s v="online"/>
    <x v="0"/>
    <s v="complete"/>
    <d v="2023-04-11T00:00:00"/>
    <n v="8255"/>
    <d v="2025-06-16T00:00:00"/>
    <n v="7217"/>
    <n v="15472"/>
    <n v="0"/>
  </r>
  <r>
    <x v="486"/>
    <s v="BR019"/>
    <n v="43"/>
    <s v="F"/>
    <s v="3-6L"/>
    <s v="online"/>
    <x v="1"/>
    <s v="complete"/>
    <d v="2022-11-13T00:00:00"/>
    <n v="6386"/>
    <d v="2025-07-05T00:00:00"/>
    <n v="-9367"/>
    <n v="-2981"/>
    <n v="0"/>
  </r>
  <r>
    <x v="487"/>
    <s v="BR020"/>
    <n v="40"/>
    <s v="F"/>
    <s v="&gt;10L"/>
    <s v="online"/>
    <x v="0"/>
    <s v="complete"/>
    <d v="2024-03-15T00:00:00"/>
    <n v="3067"/>
    <d v="2025-07-26T00:00:00"/>
    <n v="10064"/>
    <n v="13131"/>
    <n v="0"/>
  </r>
  <r>
    <x v="488"/>
    <s v="BR012"/>
    <n v="26"/>
    <s v="F"/>
    <s v="&lt;3L"/>
    <s v="online"/>
    <x v="0"/>
    <s v="complete"/>
    <d v="2025-02-21T00:00:00"/>
    <n v="80590"/>
    <d v="2025-07-29T00:00:00"/>
    <n v="5974"/>
    <n v="86564"/>
    <n v="0"/>
  </r>
  <r>
    <x v="489"/>
    <s v="BR006"/>
    <n v="29"/>
    <s v="F"/>
    <s v="&lt;3L"/>
    <s v="online"/>
    <x v="1"/>
    <s v="complete"/>
    <d v="2024-09-09T00:00:00"/>
    <n v="15853"/>
    <d v="2025-06-15T00:00:00"/>
    <n v="6965"/>
    <n v="22818"/>
    <n v="0"/>
  </r>
  <r>
    <x v="490"/>
    <s v="BR012"/>
    <n v="18"/>
    <s v="M"/>
    <s v="&lt;3L"/>
    <s v="online"/>
    <x v="0"/>
    <s v="complete"/>
    <d v="2022-04-05T00:00:00"/>
    <n v="8583"/>
    <d v="2025-05-17T00:00:00"/>
    <n v="-2891"/>
    <n v="5692"/>
    <n v="0"/>
  </r>
  <r>
    <x v="491"/>
    <s v="BR009"/>
    <n v="18"/>
    <s v="F"/>
    <s v="&gt;10L"/>
    <s v="online"/>
    <x v="0"/>
    <s v="complete"/>
    <d v="2025-01-10T00:00:00"/>
    <n v="82551"/>
    <d v="2025-07-28T00:00:00"/>
    <n v="10069"/>
    <n v="92620"/>
    <n v="0"/>
  </r>
  <r>
    <x v="492"/>
    <s v="BR020"/>
    <n v="64"/>
    <s v="M"/>
    <s v="3-6L"/>
    <s v="online"/>
    <x v="0"/>
    <s v="complete"/>
    <d v="2024-10-26T00:00:00"/>
    <n v="99906"/>
    <d v="2025-07-31T00:00:00"/>
    <n v="-883"/>
    <n v="99023"/>
    <n v="0"/>
  </r>
  <r>
    <x v="493"/>
    <s v="BR005"/>
    <n v="51"/>
    <s v="F"/>
    <s v="3-6L"/>
    <s v="online"/>
    <x v="0"/>
    <s v="complete"/>
    <d v="2025-04-04T00:00:00"/>
    <n v="207972"/>
    <d v="2025-06-30T00:00:00"/>
    <n v="6347"/>
    <n v="214319"/>
    <n v="0"/>
  </r>
  <r>
    <x v="494"/>
    <s v="BR003"/>
    <n v="49"/>
    <s v="F"/>
    <s v="&lt;3L"/>
    <s v="online"/>
    <x v="0"/>
    <s v="complete"/>
    <d v="2023-02-07T00:00:00"/>
    <n v="10422"/>
    <d v="2025-07-31T00:00:00"/>
    <n v="23833"/>
    <n v="34255"/>
    <n v="0"/>
  </r>
  <r>
    <x v="495"/>
    <s v="BR002"/>
    <n v="65"/>
    <s v="M"/>
    <s v="3-6L"/>
    <s v="online"/>
    <x v="0"/>
    <s v="complete"/>
    <d v="2024-07-09T00:00:00"/>
    <n v="14842"/>
    <d v="2025-06-26T00:00:00"/>
    <n v="5315"/>
    <n v="20157"/>
    <n v="0"/>
  </r>
  <r>
    <x v="496"/>
    <s v="BR008"/>
    <n v="42"/>
    <s v="M"/>
    <s v="&lt;3L"/>
    <s v="online"/>
    <x v="0"/>
    <s v="complete"/>
    <d v="2023-09-17T00:00:00"/>
    <n v="25616"/>
    <d v="2025-07-20T00:00:00"/>
    <n v="26330"/>
    <n v="51946"/>
    <n v="0"/>
  </r>
  <r>
    <x v="497"/>
    <s v="BR010"/>
    <n v="57"/>
    <s v="O"/>
    <s v="&gt;10L"/>
    <s v="online"/>
    <x v="0"/>
    <s v="complete"/>
    <d v="2022-06-04T00:00:00"/>
    <n v="70417"/>
    <d v="2025-05-09T00:00:00"/>
    <n v="15420"/>
    <n v="85837"/>
    <n v="0"/>
  </r>
  <r>
    <x v="498"/>
    <s v="BR015"/>
    <n v="62"/>
    <s v="M"/>
    <s v="6-10L"/>
    <s v="online"/>
    <x v="1"/>
    <s v="complete"/>
    <d v="2025-07-22T00:00:00"/>
    <n v="14215"/>
    <d v="2025-07-31T00:00:00"/>
    <n v="33618"/>
    <n v="47833"/>
    <n v="0"/>
  </r>
  <r>
    <x v="499"/>
    <s v="BR009"/>
    <n v="18"/>
    <s v="M"/>
    <s v="3-6L"/>
    <s v="online"/>
    <x v="0"/>
    <s v="complete"/>
    <d v="2021-03-06T00:00:00"/>
    <n v="4997"/>
    <d v="2025-04-13T00:00:00"/>
    <n v="3517"/>
    <n v="8514"/>
    <n v="0"/>
  </r>
  <r>
    <x v="500"/>
    <s v="BR010"/>
    <n v="33"/>
    <s v="M"/>
    <s v="6-10L"/>
    <s v="online"/>
    <x v="0"/>
    <s v="complete"/>
    <d v="2021-09-29T00:00:00"/>
    <n v="6289"/>
    <d v="2025-03-11T00:00:00"/>
    <n v="39687"/>
    <n v="45976"/>
    <n v="0"/>
  </r>
  <r>
    <x v="501"/>
    <s v="BR011"/>
    <n v="56"/>
    <s v="F"/>
    <s v="&lt;3L"/>
    <s v="online"/>
    <x v="0"/>
    <s v="complete"/>
    <d v="2025-02-02T00:00:00"/>
    <n v="43366"/>
    <d v="2025-07-21T00:00:00"/>
    <n v="4274"/>
    <n v="47640"/>
    <n v="0"/>
  </r>
  <r>
    <x v="502"/>
    <s v="BR009"/>
    <n v="22"/>
    <s v="F"/>
    <s v="6-10L"/>
    <s v="branch"/>
    <x v="0"/>
    <s v="complete"/>
    <d v="2021-04-12T00:00:00"/>
    <n v="24860"/>
    <d v="2025-07-18T00:00:00"/>
    <n v="7165"/>
    <n v="32025"/>
    <n v="0"/>
  </r>
  <r>
    <x v="503"/>
    <s v="BR014"/>
    <n v="39"/>
    <s v="F"/>
    <s v="6-10L"/>
    <s v="online"/>
    <x v="1"/>
    <s v="complete"/>
    <d v="2025-01-23T00:00:00"/>
    <n v="11238"/>
    <d v="2025-07-06T00:00:00"/>
    <n v="13138"/>
    <n v="24376"/>
    <n v="0"/>
  </r>
  <r>
    <x v="504"/>
    <s v="BR005"/>
    <n v="46"/>
    <s v="M"/>
    <s v="3-6L"/>
    <s v="online"/>
    <x v="0"/>
    <s v="complete"/>
    <d v="2024-04-11T00:00:00"/>
    <n v="10523"/>
    <d v="2025-06-29T00:00:00"/>
    <n v="35035"/>
    <n v="45558"/>
    <n v="0"/>
  </r>
  <r>
    <x v="505"/>
    <s v="BR009"/>
    <n v="20"/>
    <s v="F"/>
    <s v="6-10L"/>
    <s v="branch"/>
    <x v="0"/>
    <s v="complete"/>
    <d v="2021-03-03T00:00:00"/>
    <n v="11239"/>
    <d v="2025-07-17T00:00:00"/>
    <n v="-21584"/>
    <n v="-10345"/>
    <n v="0"/>
  </r>
  <r>
    <x v="506"/>
    <s v="BR004"/>
    <n v="29"/>
    <s v="M"/>
    <s v="3-6L"/>
    <s v="online"/>
    <x v="0"/>
    <s v="complete"/>
    <d v="2022-12-20T00:00:00"/>
    <n v="46122"/>
    <d v="2025-07-12T00:00:00"/>
    <n v="3895"/>
    <n v="50017"/>
    <n v="0"/>
  </r>
  <r>
    <x v="507"/>
    <s v="BR002"/>
    <n v="43"/>
    <s v="F"/>
    <s v="3-6L"/>
    <s v="online"/>
    <x v="1"/>
    <s v="complete"/>
    <d v="2024-06-16T00:00:00"/>
    <n v="6070"/>
    <d v="2025-07-22T00:00:00"/>
    <n v="14335"/>
    <n v="20405"/>
    <n v="0"/>
  </r>
  <r>
    <x v="508"/>
    <s v="BR019"/>
    <n v="33"/>
    <s v="F"/>
    <s v="&lt;3L"/>
    <s v="branch"/>
    <x v="0"/>
    <s v="complete"/>
    <d v="2023-09-03T00:00:00"/>
    <n v="3970"/>
    <d v="2025-07-19T00:00:00"/>
    <n v="6535"/>
    <n v="10505"/>
    <n v="0"/>
  </r>
  <r>
    <x v="509"/>
    <s v="BR001"/>
    <n v="68"/>
    <s v="M"/>
    <s v="3-6L"/>
    <s v="branch"/>
    <x v="0"/>
    <s v="pending"/>
    <d v="2025-04-15T00:00:00"/>
    <n v="82192"/>
    <d v="2025-07-17T00:00:00"/>
    <n v="9327"/>
    <n v="91519"/>
    <n v="0"/>
  </r>
  <r>
    <x v="510"/>
    <s v="BR001"/>
    <n v="54"/>
    <s v="M"/>
    <s v="6-10L"/>
    <s v="online"/>
    <x v="0"/>
    <s v="complete"/>
    <d v="2024-12-22T00:00:00"/>
    <n v="13699"/>
    <d v="2025-07-25T00:00:00"/>
    <n v="34462"/>
    <n v="48161"/>
    <n v="0"/>
  </r>
  <r>
    <x v="511"/>
    <s v="BR012"/>
    <n v="39"/>
    <s v="M"/>
    <s v="&gt;10L"/>
    <s v="online"/>
    <x v="1"/>
    <s v="complete"/>
    <d v="2022-07-11T00:00:00"/>
    <n v="12341"/>
    <d v="2025-07-12T00:00:00"/>
    <n v="28903"/>
    <n v="41244"/>
    <n v="0"/>
  </r>
  <r>
    <x v="512"/>
    <s v="BR011"/>
    <n v="46"/>
    <s v="M"/>
    <s v="3-6L"/>
    <s v="online"/>
    <x v="0"/>
    <s v="complete"/>
    <d v="2021-05-22T00:00:00"/>
    <n v="26134"/>
    <d v="2025-07-28T00:00:00"/>
    <n v="19306"/>
    <n v="45440"/>
    <n v="0"/>
  </r>
  <r>
    <x v="513"/>
    <s v="BR001"/>
    <n v="31"/>
    <s v="M"/>
    <s v="6-10L"/>
    <s v="online"/>
    <x v="0"/>
    <s v="complete"/>
    <d v="2025-04-29T00:00:00"/>
    <n v="4970"/>
    <d v="2025-07-26T00:00:00"/>
    <n v="-3769"/>
    <n v="1201"/>
    <n v="0"/>
  </r>
  <r>
    <x v="514"/>
    <s v="BR014"/>
    <n v="45"/>
    <s v="F"/>
    <s v="6-10L"/>
    <s v="online"/>
    <x v="0"/>
    <s v="complete"/>
    <d v="2023-05-16T00:00:00"/>
    <n v="28297"/>
    <d v="2025-07-04T00:00:00"/>
    <n v="-2675"/>
    <n v="25622"/>
    <n v="0"/>
  </r>
  <r>
    <x v="515"/>
    <s v="BR011"/>
    <n v="22"/>
    <s v="F"/>
    <s v="&lt;3L"/>
    <s v="online"/>
    <x v="0"/>
    <s v="complete"/>
    <d v="2021-05-05T00:00:00"/>
    <n v="9111"/>
    <d v="2025-06-17T00:00:00"/>
    <n v="1248"/>
    <n v="10359"/>
    <n v="0"/>
  </r>
  <r>
    <x v="516"/>
    <s v="BR007"/>
    <n v="64"/>
    <s v="M"/>
    <s v="3-6L"/>
    <s v="online"/>
    <x v="0"/>
    <s v="complete"/>
    <d v="2024-09-28T00:00:00"/>
    <n v="41179"/>
    <d v="2025-07-28T00:00:00"/>
    <n v="32205"/>
    <n v="73384"/>
    <n v="0"/>
  </r>
  <r>
    <x v="517"/>
    <s v="BR002"/>
    <n v="66"/>
    <s v="M"/>
    <s v="&lt;3L"/>
    <s v="branch"/>
    <x v="1"/>
    <s v="complete"/>
    <d v="2024-12-24T00:00:00"/>
    <n v="2882"/>
    <d v="2025-07-10T00:00:00"/>
    <n v="-2762"/>
    <n v="120"/>
    <n v="0"/>
  </r>
  <r>
    <x v="518"/>
    <s v="BR015"/>
    <n v="47"/>
    <s v="M"/>
    <s v="6-10L"/>
    <s v="branch"/>
    <x v="1"/>
    <s v="complete"/>
    <d v="2023-12-06T00:00:00"/>
    <n v="20966"/>
    <d v="2025-06-25T00:00:00"/>
    <n v="-12939"/>
    <n v="8027"/>
    <n v="0"/>
  </r>
  <r>
    <x v="519"/>
    <s v="BR008"/>
    <n v="63"/>
    <s v="F"/>
    <s v="&gt;10L"/>
    <s v="online"/>
    <x v="1"/>
    <s v="complete"/>
    <d v="2023-01-19T00:00:00"/>
    <n v="10602"/>
    <d v="2025-07-13T00:00:00"/>
    <n v="3499"/>
    <n v="14101"/>
    <n v="0"/>
  </r>
  <r>
    <x v="520"/>
    <s v="BR020"/>
    <n v="69"/>
    <s v="M"/>
    <s v="&lt;3L"/>
    <s v="branch"/>
    <x v="0"/>
    <s v="complete"/>
    <d v="2024-01-13T00:00:00"/>
    <n v="6604"/>
    <d v="2025-07-22T00:00:00"/>
    <n v="8691"/>
    <n v="15295"/>
    <n v="0"/>
  </r>
  <r>
    <x v="521"/>
    <s v="BR015"/>
    <n v="22"/>
    <s v="F"/>
    <s v="6-10L"/>
    <s v="online"/>
    <x v="0"/>
    <s v="complete"/>
    <d v="2024-03-28T00:00:00"/>
    <n v="28893"/>
    <d v="2025-07-19T00:00:00"/>
    <n v="20658"/>
    <n v="49551"/>
    <n v="0"/>
  </r>
  <r>
    <x v="522"/>
    <s v="BR008"/>
    <n v="29"/>
    <s v="F"/>
    <s v="3-6L"/>
    <s v="branch"/>
    <x v="0"/>
    <s v="complete"/>
    <d v="2025-02-03T00:00:00"/>
    <n v="11518"/>
    <d v="2025-07-23T00:00:00"/>
    <n v="10892"/>
    <n v="22410"/>
    <n v="0"/>
  </r>
  <r>
    <x v="523"/>
    <s v="BR010"/>
    <n v="33"/>
    <s v="F"/>
    <s v="3-6L"/>
    <s v="online"/>
    <x v="0"/>
    <s v="complete"/>
    <d v="2025-05-19T00:00:00"/>
    <n v="21290"/>
    <d v="2025-07-30T00:00:00"/>
    <n v="-7775"/>
    <n v="13515"/>
    <n v="0"/>
  </r>
  <r>
    <x v="524"/>
    <s v="BR019"/>
    <n v="43"/>
    <s v="F"/>
    <s v="3-6L"/>
    <s v="online"/>
    <x v="0"/>
    <s v="complete"/>
    <d v="2023-05-11T00:00:00"/>
    <n v="47368"/>
    <d v="2025-07-06T00:00:00"/>
    <n v="14397"/>
    <n v="61765"/>
    <n v="0"/>
  </r>
  <r>
    <x v="525"/>
    <s v="BR003"/>
    <n v="43"/>
    <s v="M"/>
    <s v="3-6L"/>
    <s v="online"/>
    <x v="0"/>
    <s v="complete"/>
    <d v="2024-08-28T00:00:00"/>
    <n v="29481"/>
    <d v="2025-07-22T00:00:00"/>
    <n v="20714"/>
    <n v="50195"/>
    <n v="0"/>
  </r>
  <r>
    <x v="526"/>
    <s v="BR020"/>
    <n v="65"/>
    <s v="O"/>
    <s v="&lt;3L"/>
    <s v="online"/>
    <x v="1"/>
    <s v="complete"/>
    <d v="2025-06-02T00:00:00"/>
    <n v="4535"/>
    <d v="2025-07-30T00:00:00"/>
    <n v="6348"/>
    <n v="10883"/>
    <n v="0"/>
  </r>
  <r>
    <x v="527"/>
    <s v="BR014"/>
    <n v="38"/>
    <s v="M"/>
    <s v="&lt;3L"/>
    <s v="online"/>
    <x v="0"/>
    <s v="complete"/>
    <d v="2021-09-11T00:00:00"/>
    <n v="7772"/>
    <d v="2025-05-30T00:00:00"/>
    <n v="-3948"/>
    <n v="3824"/>
    <n v="0"/>
  </r>
  <r>
    <x v="528"/>
    <s v="BR009"/>
    <n v="56"/>
    <s v="M"/>
    <s v="&lt;3L"/>
    <s v="branch"/>
    <x v="1"/>
    <s v="complete"/>
    <d v="2021-01-31T00:00:00"/>
    <n v="21148"/>
    <d v="2025-05-25T00:00:00"/>
    <n v="2819"/>
    <n v="23967"/>
    <n v="0"/>
  </r>
  <r>
    <x v="529"/>
    <s v="BR009"/>
    <n v="53"/>
    <s v="F"/>
    <s v="3-6L"/>
    <s v="branch"/>
    <x v="0"/>
    <s v="complete"/>
    <d v="2024-12-24T00:00:00"/>
    <n v="29551"/>
    <d v="2025-07-02T00:00:00"/>
    <n v="35725"/>
    <n v="65276"/>
    <n v="0"/>
  </r>
  <r>
    <x v="530"/>
    <s v="BR006"/>
    <n v="50"/>
    <s v="F"/>
    <s v="&lt;3L"/>
    <s v="online"/>
    <x v="0"/>
    <s v="complete"/>
    <d v="2021-11-23T00:00:00"/>
    <n v="9037"/>
    <d v="2025-07-14T00:00:00"/>
    <n v="11405"/>
    <n v="20442"/>
    <n v="0"/>
  </r>
  <r>
    <x v="531"/>
    <s v="BR008"/>
    <n v="47"/>
    <s v="F"/>
    <s v="6-10L"/>
    <s v="online"/>
    <x v="0"/>
    <s v="complete"/>
    <d v="2021-03-13T00:00:00"/>
    <n v="16283"/>
    <d v="2025-07-23T00:00:00"/>
    <n v="27478"/>
    <n v="43761"/>
    <n v="0"/>
  </r>
  <r>
    <x v="532"/>
    <s v="BR011"/>
    <n v="54"/>
    <s v="M"/>
    <s v="3-6L"/>
    <s v="online"/>
    <x v="0"/>
    <s v="complete"/>
    <d v="2021-09-25T00:00:00"/>
    <n v="16181"/>
    <d v="2025-05-25T00:00:00"/>
    <n v="10200"/>
    <n v="26381"/>
    <n v="0"/>
  </r>
  <r>
    <x v="533"/>
    <s v="BR008"/>
    <n v="40"/>
    <s v="M"/>
    <s v="6-10L"/>
    <s v="branch"/>
    <x v="0"/>
    <s v="complete"/>
    <d v="2022-10-05T00:00:00"/>
    <n v="18600"/>
    <d v="2025-05-07T00:00:00"/>
    <n v="-1702"/>
    <n v="16898"/>
    <n v="0"/>
  </r>
  <r>
    <x v="534"/>
    <s v="BR012"/>
    <n v="27"/>
    <s v="F"/>
    <s v="3-6L"/>
    <s v="branch"/>
    <x v="1"/>
    <s v="complete"/>
    <d v="2022-01-02T00:00:00"/>
    <n v="4109"/>
    <d v="2024-10-20T00:00:00"/>
    <n v="2902"/>
    <n v="7011"/>
    <n v="1"/>
  </r>
  <r>
    <x v="535"/>
    <s v="BR010"/>
    <n v="22"/>
    <s v="M"/>
    <s v="3-6L"/>
    <s v="branch"/>
    <x v="0"/>
    <s v="complete"/>
    <d v="2022-05-26T00:00:00"/>
    <n v="3245"/>
    <d v="2025-03-20T00:00:00"/>
    <n v="5151"/>
    <n v="8396"/>
    <n v="0"/>
  </r>
  <r>
    <x v="536"/>
    <s v="BR004"/>
    <n v="53"/>
    <s v="F"/>
    <s v="&gt;10L"/>
    <s v="branch"/>
    <x v="0"/>
    <s v="complete"/>
    <d v="2025-06-20T00:00:00"/>
    <n v="1395"/>
    <d v="2025-07-31T00:00:00"/>
    <n v="22963"/>
    <n v="24358"/>
    <n v="0"/>
  </r>
  <r>
    <x v="537"/>
    <s v="BR016"/>
    <n v="51"/>
    <s v="F"/>
    <s v="&lt;3L"/>
    <s v="online"/>
    <x v="0"/>
    <s v="complete"/>
    <d v="2024-03-24T00:00:00"/>
    <n v="14847"/>
    <d v="2025-07-25T00:00:00"/>
    <n v="20451"/>
    <n v="35298"/>
    <n v="0"/>
  </r>
  <r>
    <x v="538"/>
    <s v="BR020"/>
    <n v="69"/>
    <s v="F"/>
    <s v="3-6L"/>
    <s v="online"/>
    <x v="0"/>
    <s v="complete"/>
    <d v="2024-04-06T00:00:00"/>
    <n v="3415"/>
    <d v="2025-07-24T00:00:00"/>
    <n v="10944"/>
    <n v="14359"/>
    <n v="0"/>
  </r>
  <r>
    <x v="539"/>
    <s v="BR006"/>
    <n v="48"/>
    <s v="M"/>
    <s v="6-10L"/>
    <s v="online"/>
    <x v="0"/>
    <s v="complete"/>
    <d v="2021-06-08T00:00:00"/>
    <n v="113179"/>
    <d v="2025-01-25T00:00:00"/>
    <n v="-16468"/>
    <n v="96711"/>
    <n v="1"/>
  </r>
  <r>
    <x v="540"/>
    <s v="BR009"/>
    <n v="27"/>
    <s v="F"/>
    <s v="&lt;3L"/>
    <s v="branch"/>
    <x v="0"/>
    <s v="complete"/>
    <d v="2024-05-09T00:00:00"/>
    <n v="25697"/>
    <d v="2025-07-03T00:00:00"/>
    <n v="9292"/>
    <n v="34989"/>
    <n v="0"/>
  </r>
  <r>
    <x v="541"/>
    <s v="BR005"/>
    <n v="36"/>
    <s v="M"/>
    <s v="&lt;3L"/>
    <s v="online"/>
    <x v="1"/>
    <s v="complete"/>
    <d v="2024-05-21T00:00:00"/>
    <n v="4098"/>
    <d v="2025-07-16T00:00:00"/>
    <n v="23147"/>
    <n v="27245"/>
    <n v="0"/>
  </r>
  <r>
    <x v="542"/>
    <s v="BR006"/>
    <n v="49"/>
    <s v="F"/>
    <s v="3-6L"/>
    <s v="online"/>
    <x v="0"/>
    <s v="complete"/>
    <d v="2024-01-09T00:00:00"/>
    <n v="41570"/>
    <d v="2025-06-25T00:00:00"/>
    <n v="26744"/>
    <n v="68314"/>
    <n v="0"/>
  </r>
  <r>
    <x v="543"/>
    <s v="BR017"/>
    <n v="18"/>
    <s v="F"/>
    <s v="&lt;3L"/>
    <s v="branch"/>
    <x v="0"/>
    <s v="complete"/>
    <d v="2022-01-18T00:00:00"/>
    <n v="41668"/>
    <d v="2025-07-20T00:00:00"/>
    <n v="6265"/>
    <n v="47933"/>
    <n v="0"/>
  </r>
  <r>
    <x v="544"/>
    <s v="BR017"/>
    <n v="22"/>
    <s v="F"/>
    <s v="3-6L"/>
    <s v="online"/>
    <x v="0"/>
    <s v="complete"/>
    <d v="2022-12-09T00:00:00"/>
    <n v="45194"/>
    <d v="2025-07-31T00:00:00"/>
    <n v="4578"/>
    <n v="49772"/>
    <n v="0"/>
  </r>
  <r>
    <x v="545"/>
    <s v="BR013"/>
    <n v="62"/>
    <s v="M"/>
    <s v="&lt;3L"/>
    <s v="online"/>
    <x v="0"/>
    <s v="complete"/>
    <d v="2024-11-16T00:00:00"/>
    <n v="5955"/>
    <d v="2025-07-14T00:00:00"/>
    <n v="13217"/>
    <n v="19172"/>
    <n v="0"/>
  </r>
  <r>
    <x v="546"/>
    <s v="BR017"/>
    <n v="21"/>
    <s v="O"/>
    <s v="6-10L"/>
    <s v="branch"/>
    <x v="1"/>
    <s v="complete"/>
    <d v="2024-01-27T00:00:00"/>
    <n v="27339"/>
    <d v="2025-07-14T00:00:00"/>
    <n v="17471"/>
    <n v="44810"/>
    <n v="0"/>
  </r>
  <r>
    <x v="547"/>
    <s v="BR014"/>
    <n v="33"/>
    <s v="M"/>
    <s v="6-10L"/>
    <s v="online"/>
    <x v="0"/>
    <s v="complete"/>
    <d v="2024-05-10T00:00:00"/>
    <n v="45966"/>
    <d v="2025-07-18T00:00:00"/>
    <n v="19740"/>
    <n v="65706"/>
    <n v="0"/>
  </r>
  <r>
    <x v="548"/>
    <s v="BR002"/>
    <n v="41"/>
    <s v="M"/>
    <s v="6-10L"/>
    <s v="online"/>
    <x v="1"/>
    <s v="complete"/>
    <d v="2023-09-10T00:00:00"/>
    <n v="64271"/>
    <d v="2025-07-15T00:00:00"/>
    <n v="-16361"/>
    <n v="47910"/>
    <n v="0"/>
  </r>
  <r>
    <x v="549"/>
    <s v="BR019"/>
    <n v="33"/>
    <s v="M"/>
    <s v="3-6L"/>
    <s v="branch"/>
    <x v="0"/>
    <s v="complete"/>
    <d v="2023-01-23T00:00:00"/>
    <n v="2911"/>
    <d v="2025-07-19T00:00:00"/>
    <n v="26577"/>
    <n v="29488"/>
    <n v="0"/>
  </r>
  <r>
    <x v="550"/>
    <s v="BR003"/>
    <n v="19"/>
    <s v="F"/>
    <s v="6-10L"/>
    <s v="branch"/>
    <x v="0"/>
    <s v="complete"/>
    <d v="2024-06-23T00:00:00"/>
    <n v="10747"/>
    <d v="2025-07-17T00:00:00"/>
    <n v="14090"/>
    <n v="24837"/>
    <n v="0"/>
  </r>
  <r>
    <x v="551"/>
    <s v="BR002"/>
    <n v="66"/>
    <s v="F"/>
    <s v="&lt;3L"/>
    <s v="branch"/>
    <x v="1"/>
    <s v="complete"/>
    <d v="2021-04-24T00:00:00"/>
    <n v="5744"/>
    <d v="2025-05-11T00:00:00"/>
    <n v="11052"/>
    <n v="16796"/>
    <n v="0"/>
  </r>
  <r>
    <x v="552"/>
    <s v="BR002"/>
    <n v="45"/>
    <s v="F"/>
    <s v="6-10L"/>
    <s v="online"/>
    <x v="0"/>
    <s v="complete"/>
    <d v="2024-02-01T00:00:00"/>
    <n v="86174"/>
    <d v="2025-07-06T00:00:00"/>
    <n v="7528"/>
    <n v="93702"/>
    <n v="0"/>
  </r>
  <r>
    <x v="553"/>
    <s v="BR007"/>
    <n v="49"/>
    <s v="M"/>
    <s v="6-10L"/>
    <s v="online"/>
    <x v="0"/>
    <s v="complete"/>
    <d v="2025-07-27T00:00:00"/>
    <n v="21830"/>
    <d v="2025-07-31T00:00:00"/>
    <n v="43254"/>
    <n v="65084"/>
    <n v="0"/>
  </r>
  <r>
    <x v="554"/>
    <s v="BR004"/>
    <n v="44"/>
    <s v="M"/>
    <s v="6-10L"/>
    <s v="branch"/>
    <x v="0"/>
    <s v="complete"/>
    <d v="2024-07-29T00:00:00"/>
    <n v="32573"/>
    <d v="2025-07-28T00:00:00"/>
    <n v="25481"/>
    <n v="58054"/>
    <n v="0"/>
  </r>
  <r>
    <x v="555"/>
    <s v="BR017"/>
    <n v="37"/>
    <s v="F"/>
    <s v="3-6L"/>
    <s v="online"/>
    <x v="0"/>
    <s v="complete"/>
    <d v="2022-05-02T00:00:00"/>
    <n v="21512"/>
    <d v="2025-07-03T00:00:00"/>
    <n v="1831"/>
    <n v="23343"/>
    <n v="0"/>
  </r>
  <r>
    <x v="556"/>
    <s v="BR006"/>
    <n v="41"/>
    <s v="M"/>
    <s v="&lt;3L"/>
    <s v="online"/>
    <x v="0"/>
    <s v="pending"/>
    <d v="2022-04-10T00:00:00"/>
    <n v="19444"/>
    <d v="2025-05-07T00:00:00"/>
    <n v="-3923"/>
    <n v="15521"/>
    <n v="0"/>
  </r>
  <r>
    <x v="557"/>
    <s v="BR007"/>
    <n v="29"/>
    <s v="F"/>
    <s v="3-6L"/>
    <s v="branch"/>
    <x v="0"/>
    <s v="complete"/>
    <d v="2024-01-22T00:00:00"/>
    <n v="5635"/>
    <d v="2025-05-14T00:00:00"/>
    <n v="8733"/>
    <n v="14368"/>
    <n v="0"/>
  </r>
  <r>
    <x v="558"/>
    <s v="BR020"/>
    <n v="67"/>
    <s v="O"/>
    <s v="6-10L"/>
    <s v="online"/>
    <x v="0"/>
    <s v="complete"/>
    <d v="2025-02-07T00:00:00"/>
    <n v="8548"/>
    <d v="2025-07-31T00:00:00"/>
    <n v="3650"/>
    <n v="12198"/>
    <n v="0"/>
  </r>
  <r>
    <x v="559"/>
    <s v="BR006"/>
    <n v="52"/>
    <s v="O"/>
    <s v="&lt;3L"/>
    <s v="online"/>
    <x v="0"/>
    <s v="complete"/>
    <d v="2023-08-25T00:00:00"/>
    <n v="14350"/>
    <d v="2025-06-01T00:00:00"/>
    <n v="15097"/>
    <n v="29447"/>
    <n v="0"/>
  </r>
  <r>
    <x v="560"/>
    <s v="BR009"/>
    <n v="50"/>
    <s v="F"/>
    <s v="6-10L"/>
    <s v="online"/>
    <x v="1"/>
    <s v="complete"/>
    <d v="2023-06-02T00:00:00"/>
    <n v="6984"/>
    <d v="2025-07-14T00:00:00"/>
    <n v="28589"/>
    <n v="35573"/>
    <n v="0"/>
  </r>
  <r>
    <x v="561"/>
    <s v="BR020"/>
    <n v="50"/>
    <s v="F"/>
    <s v="&lt;3L"/>
    <s v="online"/>
    <x v="0"/>
    <s v="complete"/>
    <d v="2021-09-26T00:00:00"/>
    <n v="5807"/>
    <d v="2025-06-27T00:00:00"/>
    <n v="-4107"/>
    <n v="1700"/>
    <n v="0"/>
  </r>
  <r>
    <x v="562"/>
    <s v="BR004"/>
    <n v="68"/>
    <s v="M"/>
    <s v="&lt;3L"/>
    <s v="online"/>
    <x v="0"/>
    <s v="complete"/>
    <d v="2024-04-11T00:00:00"/>
    <n v="10876"/>
    <d v="2025-07-22T00:00:00"/>
    <n v="20046"/>
    <n v="30922"/>
    <n v="0"/>
  </r>
  <r>
    <x v="563"/>
    <s v="BR005"/>
    <n v="60"/>
    <s v="M"/>
    <s v="&lt;3L"/>
    <s v="online"/>
    <x v="0"/>
    <s v="complete"/>
    <d v="2024-03-20T00:00:00"/>
    <n v="7294"/>
    <d v="2025-07-08T00:00:00"/>
    <n v="5273"/>
    <n v="12567"/>
    <n v="0"/>
  </r>
  <r>
    <x v="564"/>
    <s v="BR019"/>
    <n v="54"/>
    <s v="F"/>
    <s v="&lt;3L"/>
    <s v="branch"/>
    <x v="0"/>
    <s v="complete"/>
    <d v="2025-06-06T00:00:00"/>
    <n v="14042"/>
    <d v="2025-07-30T00:00:00"/>
    <n v="-6838"/>
    <n v="7204"/>
    <n v="0"/>
  </r>
  <r>
    <x v="565"/>
    <s v="BR010"/>
    <n v="29"/>
    <s v="F"/>
    <s v="3-6L"/>
    <s v="branch"/>
    <x v="0"/>
    <s v="complete"/>
    <d v="2022-05-18T00:00:00"/>
    <n v="8579"/>
    <d v="2025-07-08T00:00:00"/>
    <n v="-5304"/>
    <n v="3275"/>
    <n v="0"/>
  </r>
  <r>
    <x v="566"/>
    <s v="BR018"/>
    <n v="20"/>
    <s v="M"/>
    <s v="&lt;3L"/>
    <s v="online"/>
    <x v="0"/>
    <s v="complete"/>
    <d v="2024-06-19T00:00:00"/>
    <n v="6735"/>
    <d v="2025-04-18T00:00:00"/>
    <n v="29901"/>
    <n v="36636"/>
    <n v="0"/>
  </r>
  <r>
    <x v="567"/>
    <s v="BR015"/>
    <n v="18"/>
    <s v="M"/>
    <s v="&gt;10L"/>
    <s v="online"/>
    <x v="0"/>
    <s v="complete"/>
    <d v="2022-12-28T00:00:00"/>
    <n v="5284"/>
    <d v="2025-07-09T00:00:00"/>
    <n v="9673"/>
    <n v="14957"/>
    <n v="0"/>
  </r>
  <r>
    <x v="568"/>
    <s v="BR001"/>
    <n v="50"/>
    <s v="M"/>
    <s v="3-6L"/>
    <s v="online"/>
    <x v="0"/>
    <s v="complete"/>
    <d v="2023-07-24T00:00:00"/>
    <n v="13441"/>
    <d v="2025-07-22T00:00:00"/>
    <n v="27004"/>
    <n v="40445"/>
    <n v="0"/>
  </r>
  <r>
    <x v="569"/>
    <s v="BR005"/>
    <n v="57"/>
    <s v="F"/>
    <s v="&lt;3L"/>
    <s v="online"/>
    <x v="0"/>
    <s v="complete"/>
    <d v="2024-09-27T00:00:00"/>
    <n v="32477"/>
    <d v="2025-07-16T00:00:00"/>
    <n v="32301"/>
    <n v="64778"/>
    <n v="0"/>
  </r>
  <r>
    <x v="570"/>
    <s v="BR005"/>
    <n v="27"/>
    <s v="F"/>
    <s v="6-10L"/>
    <s v="branch"/>
    <x v="0"/>
    <s v="complete"/>
    <d v="2022-01-07T00:00:00"/>
    <n v="25613"/>
    <d v="2025-07-25T00:00:00"/>
    <n v="2645"/>
    <n v="28258"/>
    <n v="0"/>
  </r>
  <r>
    <x v="571"/>
    <s v="BR008"/>
    <n v="60"/>
    <s v="F"/>
    <s v="6-10L"/>
    <s v="branch"/>
    <x v="0"/>
    <s v="complete"/>
    <d v="2022-07-28T00:00:00"/>
    <n v="2902"/>
    <d v="2025-07-29T00:00:00"/>
    <n v="6440"/>
    <n v="9342"/>
    <n v="0"/>
  </r>
  <r>
    <x v="572"/>
    <s v="BR020"/>
    <n v="61"/>
    <s v="M"/>
    <s v="6-10L"/>
    <s v="branch"/>
    <x v="0"/>
    <s v="complete"/>
    <d v="2024-07-17T00:00:00"/>
    <n v="31563"/>
    <d v="2025-07-10T00:00:00"/>
    <n v="-6111"/>
    <n v="25452"/>
    <n v="0"/>
  </r>
  <r>
    <x v="573"/>
    <s v="BR015"/>
    <n v="46"/>
    <s v="O"/>
    <s v="&lt;3L"/>
    <s v="online"/>
    <x v="0"/>
    <s v="complete"/>
    <d v="2023-08-13T00:00:00"/>
    <n v="25433"/>
    <d v="2025-07-20T00:00:00"/>
    <n v="-3564"/>
    <n v="21869"/>
    <n v="0"/>
  </r>
  <r>
    <x v="574"/>
    <s v="BR017"/>
    <n v="30"/>
    <s v="F"/>
    <s v="6-10L"/>
    <s v="online"/>
    <x v="0"/>
    <s v="complete"/>
    <d v="2021-06-04T00:00:00"/>
    <n v="32444"/>
    <d v="2025-05-14T00:00:00"/>
    <n v="358"/>
    <n v="32802"/>
    <n v="0"/>
  </r>
  <r>
    <x v="575"/>
    <s v="BR019"/>
    <n v="29"/>
    <s v="M"/>
    <s v="6-10L"/>
    <s v="online"/>
    <x v="1"/>
    <s v="complete"/>
    <d v="2022-12-21T00:00:00"/>
    <n v="39482"/>
    <d v="2025-06-24T00:00:00"/>
    <n v="18664"/>
    <n v="58146"/>
    <n v="0"/>
  </r>
  <r>
    <x v="576"/>
    <s v="BR013"/>
    <n v="48"/>
    <s v="M"/>
    <s v="&lt;3L"/>
    <s v="online"/>
    <x v="0"/>
    <s v="complete"/>
    <d v="2023-09-09T00:00:00"/>
    <n v="6453"/>
    <d v="2025-07-15T00:00:00"/>
    <n v="13303"/>
    <n v="19756"/>
    <n v="0"/>
  </r>
  <r>
    <x v="577"/>
    <s v="BR010"/>
    <n v="63"/>
    <s v="M"/>
    <s v="&lt;3L"/>
    <s v="branch"/>
    <x v="0"/>
    <s v="complete"/>
    <d v="2025-03-02T00:00:00"/>
    <n v="9899"/>
    <d v="2025-07-30T00:00:00"/>
    <n v="34013"/>
    <n v="43912"/>
    <n v="0"/>
  </r>
  <r>
    <x v="578"/>
    <s v="BR017"/>
    <n v="19"/>
    <s v="M"/>
    <s v="3-6L"/>
    <s v="branch"/>
    <x v="0"/>
    <s v="pending"/>
    <d v="2021-11-12T00:00:00"/>
    <n v="80055"/>
    <d v="2025-07-27T00:00:00"/>
    <n v="-3566"/>
    <n v="76489"/>
    <n v="0"/>
  </r>
  <r>
    <x v="579"/>
    <s v="BR005"/>
    <n v="68"/>
    <s v="O"/>
    <s v="&lt;3L"/>
    <s v="online"/>
    <x v="1"/>
    <s v="pending"/>
    <d v="2024-09-10T00:00:00"/>
    <n v="75436"/>
    <d v="2025-07-20T00:00:00"/>
    <n v="11336"/>
    <n v="86772"/>
    <n v="0"/>
  </r>
  <r>
    <x v="580"/>
    <s v="BR018"/>
    <n v="67"/>
    <s v="F"/>
    <s v="6-10L"/>
    <s v="branch"/>
    <x v="1"/>
    <s v="complete"/>
    <d v="2021-08-07T00:00:00"/>
    <n v="12375"/>
    <d v="2025-07-13T00:00:00"/>
    <n v="5422"/>
    <n v="17797"/>
    <n v="0"/>
  </r>
  <r>
    <x v="581"/>
    <s v="BR017"/>
    <n v="52"/>
    <s v="F"/>
    <s v="3-6L"/>
    <s v="online"/>
    <x v="0"/>
    <s v="complete"/>
    <d v="2022-02-10T00:00:00"/>
    <n v="24419"/>
    <d v="2025-05-11T00:00:00"/>
    <n v="17920"/>
    <n v="42339"/>
    <n v="0"/>
  </r>
  <r>
    <x v="582"/>
    <s v="BR004"/>
    <n v="40"/>
    <s v="M"/>
    <s v="&gt;10L"/>
    <s v="online"/>
    <x v="0"/>
    <s v="complete"/>
    <d v="2022-02-12T00:00:00"/>
    <n v="26651"/>
    <d v="2025-07-07T00:00:00"/>
    <n v="-11364"/>
    <n v="15287"/>
    <n v="0"/>
  </r>
  <r>
    <x v="583"/>
    <s v="BR007"/>
    <n v="34"/>
    <s v="M"/>
    <s v="3-6L"/>
    <s v="online"/>
    <x v="0"/>
    <s v="complete"/>
    <d v="2025-01-08T00:00:00"/>
    <n v="77470"/>
    <d v="2025-07-22T00:00:00"/>
    <n v="-5179"/>
    <n v="72291"/>
    <n v="0"/>
  </r>
  <r>
    <x v="584"/>
    <s v="BR005"/>
    <n v="43"/>
    <s v="F"/>
    <s v="&lt;3L"/>
    <s v="online"/>
    <x v="0"/>
    <s v="complete"/>
    <d v="2021-11-29T00:00:00"/>
    <n v="18869"/>
    <d v="2025-05-24T00:00:00"/>
    <n v="27682"/>
    <n v="46551"/>
    <n v="0"/>
  </r>
  <r>
    <x v="585"/>
    <s v="BR008"/>
    <n v="25"/>
    <s v="M"/>
    <s v="&lt;3L"/>
    <s v="online"/>
    <x v="0"/>
    <s v="complete"/>
    <d v="2024-08-09T00:00:00"/>
    <n v="3975"/>
    <d v="2025-07-29T00:00:00"/>
    <n v="1065"/>
    <n v="5040"/>
    <n v="0"/>
  </r>
  <r>
    <x v="586"/>
    <s v="BR008"/>
    <n v="46"/>
    <s v="F"/>
    <s v="3-6L"/>
    <s v="branch"/>
    <x v="0"/>
    <s v="complete"/>
    <d v="2023-02-12T00:00:00"/>
    <n v="8300"/>
    <d v="2025-06-12T00:00:00"/>
    <n v="-1505"/>
    <n v="6795"/>
    <n v="0"/>
  </r>
  <r>
    <x v="587"/>
    <s v="BR011"/>
    <n v="43"/>
    <s v="F"/>
    <s v="6-10L"/>
    <s v="branch"/>
    <x v="0"/>
    <s v="complete"/>
    <d v="2025-07-30T00:00:00"/>
    <n v="300000"/>
    <d v="2025-07-31T00:00:00"/>
    <n v="17374"/>
    <n v="317374"/>
    <n v="0"/>
  </r>
  <r>
    <x v="588"/>
    <s v="BR009"/>
    <n v="27"/>
    <s v="F"/>
    <s v="6-10L"/>
    <s v="online"/>
    <x v="0"/>
    <s v="complete"/>
    <d v="2024-11-04T00:00:00"/>
    <n v="3795"/>
    <d v="2025-07-28T00:00:00"/>
    <n v="20571"/>
    <n v="24366"/>
    <n v="0"/>
  </r>
  <r>
    <x v="589"/>
    <s v="BR019"/>
    <n v="43"/>
    <s v="F"/>
    <s v="3-6L"/>
    <s v="online"/>
    <x v="0"/>
    <s v="complete"/>
    <d v="2024-05-22T00:00:00"/>
    <n v="14049"/>
    <d v="2025-07-11T00:00:00"/>
    <n v="2454"/>
    <n v="16503"/>
    <n v="0"/>
  </r>
  <r>
    <x v="590"/>
    <s v="BR019"/>
    <n v="51"/>
    <s v="M"/>
    <s v="&lt;3L"/>
    <s v="branch"/>
    <x v="0"/>
    <s v="complete"/>
    <d v="2024-12-27T00:00:00"/>
    <n v="135068"/>
    <d v="2025-07-04T00:00:00"/>
    <n v="-13607"/>
    <n v="121461"/>
    <n v="0"/>
  </r>
  <r>
    <x v="591"/>
    <s v="BR009"/>
    <n v="68"/>
    <s v="M"/>
    <s v="&lt;3L"/>
    <s v="branch"/>
    <x v="1"/>
    <s v="complete"/>
    <d v="2023-11-27T00:00:00"/>
    <n v="6004"/>
    <d v="2025-07-14T00:00:00"/>
    <n v="10944"/>
    <n v="16948"/>
    <n v="0"/>
  </r>
  <r>
    <x v="592"/>
    <s v="BR020"/>
    <n v="58"/>
    <s v="M"/>
    <s v="6-10L"/>
    <s v="branch"/>
    <x v="0"/>
    <s v="complete"/>
    <d v="2024-11-12T00:00:00"/>
    <n v="874"/>
    <d v="2025-07-13T00:00:00"/>
    <n v="32684"/>
    <n v="33558"/>
    <n v="0"/>
  </r>
  <r>
    <x v="593"/>
    <s v="BR017"/>
    <n v="24"/>
    <s v="F"/>
    <s v="&lt;3L"/>
    <s v="online"/>
    <x v="0"/>
    <s v="complete"/>
    <d v="2022-03-13T00:00:00"/>
    <n v="1050"/>
    <d v="2025-07-05T00:00:00"/>
    <n v="21574"/>
    <n v="22624"/>
    <n v="0"/>
  </r>
  <r>
    <x v="594"/>
    <s v="BR016"/>
    <n v="21"/>
    <s v="M"/>
    <s v="3-6L"/>
    <s v="branch"/>
    <x v="0"/>
    <s v="pending"/>
    <d v="2021-06-13T00:00:00"/>
    <n v="6038"/>
    <d v="2025-07-19T00:00:00"/>
    <n v="2669"/>
    <n v="8707"/>
    <n v="0"/>
  </r>
  <r>
    <x v="595"/>
    <s v="BR007"/>
    <n v="67"/>
    <s v="M"/>
    <s v="3-6L"/>
    <s v="online"/>
    <x v="0"/>
    <s v="complete"/>
    <d v="2023-10-28T00:00:00"/>
    <n v="2292"/>
    <d v="2025-07-24T00:00:00"/>
    <n v="8467"/>
    <n v="10759"/>
    <n v="0"/>
  </r>
  <r>
    <x v="596"/>
    <s v="BR003"/>
    <n v="62"/>
    <s v="F"/>
    <s v="&gt;10L"/>
    <s v="branch"/>
    <x v="0"/>
    <s v="complete"/>
    <d v="2022-12-29T00:00:00"/>
    <n v="37691"/>
    <d v="2025-07-10T00:00:00"/>
    <n v="-2096"/>
    <n v="35595"/>
    <n v="0"/>
  </r>
  <r>
    <x v="597"/>
    <s v="BR019"/>
    <n v="28"/>
    <s v="M"/>
    <s v="3-6L"/>
    <s v="online"/>
    <x v="0"/>
    <s v="complete"/>
    <d v="2022-12-15T00:00:00"/>
    <n v="17468"/>
    <d v="2025-06-07T00:00:00"/>
    <n v="23426"/>
    <n v="40894"/>
    <n v="0"/>
  </r>
  <r>
    <x v="598"/>
    <s v="BR008"/>
    <n v="46"/>
    <s v="M"/>
    <s v="&lt;3L"/>
    <s v="branch"/>
    <x v="0"/>
    <s v="complete"/>
    <d v="2023-06-01T00:00:00"/>
    <n v="1582"/>
    <d v="2025-06-25T00:00:00"/>
    <n v="22095"/>
    <n v="23677"/>
    <n v="0"/>
  </r>
  <r>
    <x v="599"/>
    <s v="BR005"/>
    <n v="53"/>
    <s v="M"/>
    <s v="6-10L"/>
    <s v="online"/>
    <x v="0"/>
    <s v="complete"/>
    <d v="2022-08-28T00:00:00"/>
    <n v="2710"/>
    <d v="2025-07-26T00:00:00"/>
    <n v="25408"/>
    <n v="28118"/>
    <n v="0"/>
  </r>
  <r>
    <x v="600"/>
    <s v="BR006"/>
    <n v="42"/>
    <s v="F"/>
    <s v="3-6L"/>
    <s v="online"/>
    <x v="0"/>
    <s v="complete"/>
    <d v="2023-11-14T00:00:00"/>
    <n v="46173"/>
    <d v="2025-07-31T00:00:00"/>
    <n v="-8034"/>
    <n v="38139"/>
    <n v="0"/>
  </r>
  <r>
    <x v="601"/>
    <s v="BR002"/>
    <n v="38"/>
    <s v="F"/>
    <s v="3-6L"/>
    <s v="online"/>
    <x v="1"/>
    <s v="complete"/>
    <d v="2021-02-21T00:00:00"/>
    <n v="16206"/>
    <d v="2025-05-30T00:00:00"/>
    <n v="49577"/>
    <n v="65783"/>
    <n v="0"/>
  </r>
  <r>
    <x v="602"/>
    <s v="BR019"/>
    <n v="53"/>
    <s v="F"/>
    <s v="&gt;10L"/>
    <s v="online"/>
    <x v="0"/>
    <s v="complete"/>
    <d v="2025-06-11T00:00:00"/>
    <n v="56029"/>
    <d v="2025-07-27T00:00:00"/>
    <n v="3072"/>
    <n v="59101"/>
    <n v="0"/>
  </r>
  <r>
    <x v="603"/>
    <s v="BR013"/>
    <n v="27"/>
    <s v="M"/>
    <s v="6-10L"/>
    <s v="branch"/>
    <x v="1"/>
    <s v="complete"/>
    <d v="2025-03-28T00:00:00"/>
    <n v="40905"/>
    <d v="2025-07-20T00:00:00"/>
    <n v="31176"/>
    <n v="72081"/>
    <n v="0"/>
  </r>
  <r>
    <x v="604"/>
    <s v="BR006"/>
    <n v="54"/>
    <s v="O"/>
    <s v="&lt;3L"/>
    <s v="branch"/>
    <x v="0"/>
    <s v="complete"/>
    <d v="2025-04-14T00:00:00"/>
    <n v="4228"/>
    <d v="2025-07-27T00:00:00"/>
    <n v="8836"/>
    <n v="13064"/>
    <n v="0"/>
  </r>
  <r>
    <x v="605"/>
    <s v="BR006"/>
    <n v="26"/>
    <s v="F"/>
    <s v="&lt;3L"/>
    <s v="branch"/>
    <x v="0"/>
    <s v="complete"/>
    <d v="2022-09-03T00:00:00"/>
    <n v="32272"/>
    <d v="2025-06-29T00:00:00"/>
    <n v="15336"/>
    <n v="47608"/>
    <n v="0"/>
  </r>
  <r>
    <x v="606"/>
    <s v="BR002"/>
    <n v="41"/>
    <s v="M"/>
    <s v="3-6L"/>
    <s v="online"/>
    <x v="0"/>
    <s v="complete"/>
    <d v="2023-06-09T00:00:00"/>
    <n v="23455"/>
    <d v="2025-06-23T00:00:00"/>
    <n v="13424"/>
    <n v="36879"/>
    <n v="0"/>
  </r>
  <r>
    <x v="607"/>
    <s v="BR005"/>
    <n v="52"/>
    <s v="F"/>
    <s v="6-10L"/>
    <s v="branch"/>
    <x v="0"/>
    <s v="complete"/>
    <d v="2025-05-16T00:00:00"/>
    <n v="1879"/>
    <d v="2025-07-25T00:00:00"/>
    <n v="-6520"/>
    <n v="-4641"/>
    <n v="0"/>
  </r>
  <r>
    <x v="608"/>
    <s v="BR011"/>
    <n v="66"/>
    <s v="M"/>
    <s v="&lt;3L"/>
    <s v="branch"/>
    <x v="0"/>
    <s v="complete"/>
    <d v="2025-02-18T00:00:00"/>
    <n v="3422"/>
    <d v="2025-07-23T00:00:00"/>
    <n v="19680"/>
    <n v="23102"/>
    <n v="0"/>
  </r>
  <r>
    <x v="609"/>
    <s v="BR011"/>
    <n v="52"/>
    <s v="F"/>
    <s v="6-10L"/>
    <s v="online"/>
    <x v="0"/>
    <s v="complete"/>
    <d v="2024-08-15T00:00:00"/>
    <n v="152920"/>
    <d v="2025-07-03T00:00:00"/>
    <n v="565"/>
    <n v="153485"/>
    <n v="0"/>
  </r>
  <r>
    <x v="610"/>
    <s v="BR014"/>
    <n v="65"/>
    <s v="F"/>
    <s v="3-6L"/>
    <s v="online"/>
    <x v="0"/>
    <s v="complete"/>
    <d v="2022-11-13T00:00:00"/>
    <n v="5284"/>
    <d v="2025-06-10T00:00:00"/>
    <n v="61"/>
    <n v="5345"/>
    <n v="0"/>
  </r>
  <r>
    <x v="611"/>
    <s v="BR013"/>
    <n v="53"/>
    <s v="M"/>
    <s v="&lt;3L"/>
    <s v="branch"/>
    <x v="0"/>
    <s v="complete"/>
    <d v="2023-08-03T00:00:00"/>
    <n v="20161"/>
    <d v="2025-07-16T00:00:00"/>
    <n v="-2337"/>
    <n v="17824"/>
    <n v="0"/>
  </r>
  <r>
    <x v="612"/>
    <s v="BR008"/>
    <n v="35"/>
    <s v="O"/>
    <s v="6-10L"/>
    <s v="branch"/>
    <x v="0"/>
    <s v="complete"/>
    <d v="2024-08-19T00:00:00"/>
    <n v="11041"/>
    <d v="2025-07-24T00:00:00"/>
    <n v="-5678"/>
    <n v="5363"/>
    <n v="0"/>
  </r>
  <r>
    <x v="613"/>
    <s v="BR015"/>
    <n v="66"/>
    <s v="F"/>
    <s v="&gt;10L"/>
    <s v="branch"/>
    <x v="1"/>
    <s v="complete"/>
    <d v="2022-04-02T00:00:00"/>
    <n v="16054"/>
    <d v="2025-07-05T00:00:00"/>
    <n v="5597"/>
    <n v="21651"/>
    <n v="0"/>
  </r>
  <r>
    <x v="614"/>
    <s v="BR012"/>
    <n v="56"/>
    <s v="F"/>
    <s v="&lt;3L"/>
    <s v="online"/>
    <x v="0"/>
    <s v="complete"/>
    <d v="2023-11-15T00:00:00"/>
    <n v="11796"/>
    <d v="2025-07-12T00:00:00"/>
    <n v="17136"/>
    <n v="28932"/>
    <n v="0"/>
  </r>
  <r>
    <x v="615"/>
    <s v="BR003"/>
    <n v="49"/>
    <s v="M"/>
    <s v="3-6L"/>
    <s v="online"/>
    <x v="0"/>
    <s v="complete"/>
    <d v="2024-10-17T00:00:00"/>
    <n v="35073"/>
    <d v="2025-07-22T00:00:00"/>
    <n v="-5303"/>
    <n v="29770"/>
    <n v="0"/>
  </r>
  <r>
    <x v="616"/>
    <s v="BR005"/>
    <n v="41"/>
    <s v="M"/>
    <s v="3-6L"/>
    <s v="online"/>
    <x v="0"/>
    <s v="complete"/>
    <d v="2024-03-29T00:00:00"/>
    <n v="34166"/>
    <d v="2025-07-13T00:00:00"/>
    <n v="-6699"/>
    <n v="27467"/>
    <n v="0"/>
  </r>
  <r>
    <x v="617"/>
    <s v="BR006"/>
    <n v="40"/>
    <s v="M"/>
    <s v="6-10L"/>
    <s v="branch"/>
    <x v="0"/>
    <s v="complete"/>
    <d v="2023-03-14T00:00:00"/>
    <n v="15032"/>
    <d v="2025-07-12T00:00:00"/>
    <n v="14359"/>
    <n v="29391"/>
    <n v="0"/>
  </r>
  <r>
    <x v="618"/>
    <s v="BR002"/>
    <n v="49"/>
    <s v="F"/>
    <s v="&gt;10L"/>
    <s v="branch"/>
    <x v="0"/>
    <s v="pending"/>
    <d v="2023-09-06T00:00:00"/>
    <n v="5407"/>
    <d v="2025-07-26T00:00:00"/>
    <n v="30703"/>
    <n v="36110"/>
    <n v="0"/>
  </r>
  <r>
    <x v="619"/>
    <s v="BR008"/>
    <n v="54"/>
    <s v="M"/>
    <s v="3-6L"/>
    <s v="online"/>
    <x v="0"/>
    <s v="complete"/>
    <d v="2025-07-13T00:00:00"/>
    <n v="7564"/>
    <d v="2025-07-31T00:00:00"/>
    <n v="18665"/>
    <n v="26229"/>
    <n v="0"/>
  </r>
  <r>
    <x v="620"/>
    <s v="BR005"/>
    <n v="29"/>
    <s v="F"/>
    <s v="6-10L"/>
    <s v="branch"/>
    <x v="0"/>
    <s v="complete"/>
    <d v="2023-10-05T00:00:00"/>
    <n v="2763"/>
    <d v="2025-07-26T00:00:00"/>
    <n v="21957"/>
    <n v="24720"/>
    <n v="0"/>
  </r>
  <r>
    <x v="621"/>
    <s v="BR017"/>
    <n v="66"/>
    <s v="F"/>
    <s v="3-6L"/>
    <s v="online"/>
    <x v="0"/>
    <s v="complete"/>
    <d v="2024-08-07T00:00:00"/>
    <n v="9562"/>
    <d v="2025-07-25T00:00:00"/>
    <n v="9214"/>
    <n v="18776"/>
    <n v="0"/>
  </r>
  <r>
    <x v="622"/>
    <s v="BR002"/>
    <n v="30"/>
    <s v="M"/>
    <s v="3-6L"/>
    <s v="branch"/>
    <x v="1"/>
    <s v="complete"/>
    <d v="2024-04-30T00:00:00"/>
    <n v="2284"/>
    <d v="2025-07-19T00:00:00"/>
    <n v="9930"/>
    <n v="12214"/>
    <n v="0"/>
  </r>
  <r>
    <x v="623"/>
    <s v="BR011"/>
    <n v="40"/>
    <s v="F"/>
    <s v="3-6L"/>
    <s v="online"/>
    <x v="0"/>
    <s v="complete"/>
    <d v="2024-03-19T00:00:00"/>
    <n v="16628"/>
    <d v="2025-06-29T00:00:00"/>
    <n v="-5316"/>
    <n v="11312"/>
    <n v="0"/>
  </r>
  <r>
    <x v="624"/>
    <s v="BR004"/>
    <n v="42"/>
    <s v="M"/>
    <s v="&lt;3L"/>
    <s v="online"/>
    <x v="0"/>
    <s v="complete"/>
    <d v="2024-04-13T00:00:00"/>
    <n v="17962"/>
    <d v="2025-06-26T00:00:00"/>
    <n v="16001"/>
    <n v="33963"/>
    <n v="0"/>
  </r>
  <r>
    <x v="625"/>
    <s v="BR011"/>
    <n v="52"/>
    <s v="O"/>
    <s v="3-6L"/>
    <s v="online"/>
    <x v="0"/>
    <s v="complete"/>
    <d v="2023-01-31T00:00:00"/>
    <n v="36507"/>
    <d v="2025-06-29T00:00:00"/>
    <n v="7663"/>
    <n v="44170"/>
    <n v="0"/>
  </r>
  <r>
    <x v="626"/>
    <s v="BR009"/>
    <n v="58"/>
    <s v="F"/>
    <s v="3-6L"/>
    <s v="online"/>
    <x v="0"/>
    <s v="complete"/>
    <d v="2023-03-05T00:00:00"/>
    <n v="3944"/>
    <d v="2025-07-27T00:00:00"/>
    <n v="5779"/>
    <n v="9723"/>
    <n v="0"/>
  </r>
  <r>
    <x v="627"/>
    <s v="BR006"/>
    <n v="47"/>
    <s v="M"/>
    <s v="&lt;3L"/>
    <s v="online"/>
    <x v="0"/>
    <s v="complete"/>
    <d v="2023-02-22T00:00:00"/>
    <n v="4221"/>
    <d v="2025-07-09T00:00:00"/>
    <n v="7081"/>
    <n v="11302"/>
    <n v="0"/>
  </r>
  <r>
    <x v="628"/>
    <s v="BR002"/>
    <n v="34"/>
    <s v="M"/>
    <s v="&gt;10L"/>
    <s v="online"/>
    <x v="0"/>
    <s v="complete"/>
    <d v="2021-02-25T00:00:00"/>
    <n v="61372"/>
    <d v="2025-03-21T00:00:00"/>
    <n v="-2728"/>
    <n v="58644"/>
    <n v="0"/>
  </r>
  <r>
    <x v="629"/>
    <s v="BR015"/>
    <n v="66"/>
    <s v="M"/>
    <s v="&lt;3L"/>
    <s v="online"/>
    <x v="1"/>
    <s v="complete"/>
    <d v="2022-02-08T00:00:00"/>
    <n v="3399"/>
    <d v="2025-07-29T00:00:00"/>
    <n v="33132"/>
    <n v="36531"/>
    <n v="0"/>
  </r>
  <r>
    <x v="630"/>
    <s v="BR005"/>
    <n v="37"/>
    <s v="F"/>
    <s v="&lt;3L"/>
    <s v="branch"/>
    <x v="0"/>
    <s v="complete"/>
    <d v="2021-09-16T00:00:00"/>
    <n v="103903"/>
    <d v="2025-05-22T00:00:00"/>
    <n v="-8310"/>
    <n v="95593"/>
    <n v="0"/>
  </r>
  <r>
    <x v="631"/>
    <s v="BR012"/>
    <n v="65"/>
    <s v="F"/>
    <s v="3-6L"/>
    <s v="online"/>
    <x v="0"/>
    <s v="complete"/>
    <d v="2025-01-23T00:00:00"/>
    <n v="5303"/>
    <d v="2025-07-27T00:00:00"/>
    <n v="9280"/>
    <n v="14583"/>
    <n v="0"/>
  </r>
  <r>
    <x v="632"/>
    <s v="BR013"/>
    <n v="42"/>
    <s v="F"/>
    <s v="6-10L"/>
    <s v="online"/>
    <x v="0"/>
    <s v="complete"/>
    <d v="2022-04-06T00:00:00"/>
    <n v="5341"/>
    <d v="2025-07-20T00:00:00"/>
    <n v="19146"/>
    <n v="24487"/>
    <n v="0"/>
  </r>
  <r>
    <x v="633"/>
    <s v="BR017"/>
    <n v="39"/>
    <s v="M"/>
    <s v="&lt;3L"/>
    <s v="online"/>
    <x v="0"/>
    <s v="complete"/>
    <d v="2021-08-20T00:00:00"/>
    <n v="31033"/>
    <d v="2025-04-19T00:00:00"/>
    <n v="9218"/>
    <n v="40251"/>
    <n v="0"/>
  </r>
  <r>
    <x v="634"/>
    <s v="BR004"/>
    <n v="30"/>
    <s v="M"/>
    <s v="3-6L"/>
    <s v="branch"/>
    <x v="0"/>
    <s v="complete"/>
    <d v="2021-07-20T00:00:00"/>
    <n v="23142"/>
    <d v="2025-06-30T00:00:00"/>
    <n v="1468"/>
    <n v="24610"/>
    <n v="0"/>
  </r>
  <r>
    <x v="635"/>
    <s v="BR010"/>
    <n v="36"/>
    <s v="M"/>
    <s v="&gt;10L"/>
    <s v="online"/>
    <x v="0"/>
    <s v="complete"/>
    <d v="2024-03-17T00:00:00"/>
    <n v="68978"/>
    <d v="2025-06-17T00:00:00"/>
    <n v="17600"/>
    <n v="86578"/>
    <n v="0"/>
  </r>
  <r>
    <x v="636"/>
    <s v="BR001"/>
    <n v="66"/>
    <s v="F"/>
    <s v="3-6L"/>
    <s v="branch"/>
    <x v="0"/>
    <s v="complete"/>
    <d v="2021-01-11T00:00:00"/>
    <n v="2016"/>
    <d v="2025-07-29T00:00:00"/>
    <n v="9801"/>
    <n v="11817"/>
    <n v="0"/>
  </r>
  <r>
    <x v="637"/>
    <s v="BR011"/>
    <n v="53"/>
    <s v="F"/>
    <s v="3-6L"/>
    <s v="branch"/>
    <x v="0"/>
    <s v="pending"/>
    <d v="2023-02-28T00:00:00"/>
    <n v="22780"/>
    <d v="2025-07-19T00:00:00"/>
    <n v="8545"/>
    <n v="31325"/>
    <n v="0"/>
  </r>
  <r>
    <x v="638"/>
    <s v="BR016"/>
    <n v="29"/>
    <s v="M"/>
    <s v="6-10L"/>
    <s v="online"/>
    <x v="0"/>
    <s v="complete"/>
    <d v="2021-07-18T00:00:00"/>
    <n v="12759"/>
    <d v="2025-05-20T00:00:00"/>
    <n v="8490"/>
    <n v="21249"/>
    <n v="0"/>
  </r>
  <r>
    <x v="639"/>
    <s v="BR011"/>
    <n v="58"/>
    <s v="M"/>
    <s v="&lt;3L"/>
    <s v="online"/>
    <x v="0"/>
    <s v="complete"/>
    <d v="2024-11-22T00:00:00"/>
    <n v="4552"/>
    <d v="2025-07-22T00:00:00"/>
    <n v="6046"/>
    <n v="10598"/>
    <n v="0"/>
  </r>
  <r>
    <x v="640"/>
    <s v="BR009"/>
    <n v="36"/>
    <s v="F"/>
    <s v="3-6L"/>
    <s v="online"/>
    <x v="0"/>
    <s v="complete"/>
    <d v="2025-05-23T00:00:00"/>
    <n v="87682"/>
    <d v="2025-07-30T00:00:00"/>
    <n v="10472"/>
    <n v="98154"/>
    <n v="0"/>
  </r>
  <r>
    <x v="641"/>
    <s v="BR002"/>
    <n v="29"/>
    <s v="F"/>
    <s v="3-6L"/>
    <s v="online"/>
    <x v="0"/>
    <s v="complete"/>
    <d v="2025-05-23T00:00:00"/>
    <n v="16905"/>
    <d v="2025-07-31T00:00:00"/>
    <n v="28687"/>
    <n v="45592"/>
    <n v="0"/>
  </r>
  <r>
    <x v="642"/>
    <s v="BR007"/>
    <n v="26"/>
    <s v="F"/>
    <s v="3-6L"/>
    <s v="branch"/>
    <x v="1"/>
    <s v="complete"/>
    <d v="2023-01-10T00:00:00"/>
    <n v="12546"/>
    <d v="2025-06-24T00:00:00"/>
    <n v="20112"/>
    <n v="32658"/>
    <n v="0"/>
  </r>
  <r>
    <x v="643"/>
    <s v="BR019"/>
    <n v="24"/>
    <s v="F"/>
    <s v="3-6L"/>
    <s v="branch"/>
    <x v="0"/>
    <s v="complete"/>
    <d v="2023-12-15T00:00:00"/>
    <n v="21036"/>
    <d v="2025-06-23T00:00:00"/>
    <n v="24215"/>
    <n v="45251"/>
    <n v="0"/>
  </r>
  <r>
    <x v="644"/>
    <s v="BR018"/>
    <n v="45"/>
    <s v="M"/>
    <s v="&lt;3L"/>
    <s v="online"/>
    <x v="0"/>
    <s v="complete"/>
    <d v="2023-10-01T00:00:00"/>
    <n v="2372"/>
    <d v="2025-06-26T00:00:00"/>
    <n v="-26136"/>
    <n v="-23764"/>
    <n v="0"/>
  </r>
  <r>
    <x v="645"/>
    <s v="BR020"/>
    <n v="31"/>
    <s v="M"/>
    <s v="3-6L"/>
    <s v="online"/>
    <x v="0"/>
    <s v="complete"/>
    <d v="2022-08-09T00:00:00"/>
    <n v="3833"/>
    <d v="2025-06-17T00:00:00"/>
    <n v="23213"/>
    <n v="27046"/>
    <n v="0"/>
  </r>
  <r>
    <x v="646"/>
    <s v="BR007"/>
    <n v="48"/>
    <s v="F"/>
    <s v="&lt;3L"/>
    <s v="branch"/>
    <x v="0"/>
    <s v="pending"/>
    <d v="2023-01-13T00:00:00"/>
    <n v="9579"/>
    <d v="2025-07-18T00:00:00"/>
    <n v="4340"/>
    <n v="13919"/>
    <n v="0"/>
  </r>
  <r>
    <x v="647"/>
    <s v="BR009"/>
    <n v="69"/>
    <s v="F"/>
    <s v="6-10L"/>
    <s v="branch"/>
    <x v="0"/>
    <s v="complete"/>
    <d v="2021-04-18T00:00:00"/>
    <n v="18332"/>
    <d v="2025-06-15T00:00:00"/>
    <n v="6023"/>
    <n v="24355"/>
    <n v="0"/>
  </r>
  <r>
    <x v="648"/>
    <s v="BR012"/>
    <n v="36"/>
    <s v="M"/>
    <s v="3-6L"/>
    <s v="online"/>
    <x v="0"/>
    <s v="complete"/>
    <d v="2024-08-24T00:00:00"/>
    <n v="47793"/>
    <d v="2025-06-23T00:00:00"/>
    <n v="-7369"/>
    <n v="40424"/>
    <n v="0"/>
  </r>
  <r>
    <x v="649"/>
    <s v="BR003"/>
    <n v="64"/>
    <s v="F"/>
    <s v="3-6L"/>
    <s v="online"/>
    <x v="0"/>
    <s v="complete"/>
    <d v="2022-02-07T00:00:00"/>
    <n v="5514"/>
    <d v="2025-07-20T00:00:00"/>
    <n v="5216"/>
    <n v="10730"/>
    <n v="0"/>
  </r>
  <r>
    <x v="650"/>
    <s v="BR016"/>
    <n v="33"/>
    <s v="F"/>
    <s v="6-10L"/>
    <s v="online"/>
    <x v="1"/>
    <s v="pending"/>
    <d v="2023-02-10T00:00:00"/>
    <n v="4388"/>
    <d v="2025-05-24T00:00:00"/>
    <n v="9091"/>
    <n v="13479"/>
    <n v="0"/>
  </r>
  <r>
    <x v="651"/>
    <s v="BR007"/>
    <n v="22"/>
    <s v="F"/>
    <s v="6-10L"/>
    <s v="branch"/>
    <x v="1"/>
    <s v="complete"/>
    <d v="2023-03-16T00:00:00"/>
    <n v="22058"/>
    <d v="2025-07-22T00:00:00"/>
    <n v="12989"/>
    <n v="35047"/>
    <n v="0"/>
  </r>
  <r>
    <x v="652"/>
    <s v="BR005"/>
    <n v="52"/>
    <s v="F"/>
    <s v="&lt;3L"/>
    <s v="online"/>
    <x v="0"/>
    <s v="complete"/>
    <d v="2023-07-28T00:00:00"/>
    <n v="11662"/>
    <d v="2025-07-26T00:00:00"/>
    <n v="-22065"/>
    <n v="-10403"/>
    <n v="0"/>
  </r>
  <r>
    <x v="653"/>
    <s v="BR007"/>
    <n v="29"/>
    <s v="M"/>
    <s v="&gt;10L"/>
    <s v="online"/>
    <x v="0"/>
    <s v="complete"/>
    <d v="2024-09-30T00:00:00"/>
    <n v="1956"/>
    <d v="2025-07-31T00:00:00"/>
    <n v="14852"/>
    <n v="16808"/>
    <n v="0"/>
  </r>
  <r>
    <x v="654"/>
    <s v="BR019"/>
    <n v="42"/>
    <s v="F"/>
    <s v="&lt;3L"/>
    <s v="branch"/>
    <x v="0"/>
    <s v="complete"/>
    <d v="2024-03-03T00:00:00"/>
    <n v="5333"/>
    <d v="2025-07-18T00:00:00"/>
    <n v="7818"/>
    <n v="13151"/>
    <n v="0"/>
  </r>
  <r>
    <x v="655"/>
    <s v="BR017"/>
    <n v="69"/>
    <s v="F"/>
    <s v="&lt;3L"/>
    <s v="branch"/>
    <x v="0"/>
    <s v="complete"/>
    <d v="2024-01-15T00:00:00"/>
    <n v="11139"/>
    <d v="2025-07-18T00:00:00"/>
    <n v="-6105"/>
    <n v="5034"/>
    <n v="0"/>
  </r>
  <r>
    <x v="656"/>
    <s v="BR016"/>
    <n v="38"/>
    <s v="F"/>
    <s v="6-10L"/>
    <s v="branch"/>
    <x v="0"/>
    <s v="complete"/>
    <d v="2023-06-01T00:00:00"/>
    <n v="11451"/>
    <d v="2025-07-30T00:00:00"/>
    <n v="54048"/>
    <n v="65499"/>
    <n v="0"/>
  </r>
  <r>
    <x v="657"/>
    <s v="BR019"/>
    <n v="53"/>
    <s v="F"/>
    <s v="3-6L"/>
    <s v="online"/>
    <x v="0"/>
    <s v="complete"/>
    <d v="2021-06-10T00:00:00"/>
    <n v="14616"/>
    <d v="2025-07-25T00:00:00"/>
    <n v="9790"/>
    <n v="24406"/>
    <n v="0"/>
  </r>
  <r>
    <x v="658"/>
    <s v="BR018"/>
    <n v="40"/>
    <s v="F"/>
    <s v="3-6L"/>
    <s v="online"/>
    <x v="0"/>
    <s v="complete"/>
    <d v="2022-11-04T00:00:00"/>
    <n v="3640"/>
    <d v="2025-03-07T00:00:00"/>
    <n v="9345"/>
    <n v="12985"/>
    <n v="0"/>
  </r>
  <r>
    <x v="659"/>
    <s v="BR019"/>
    <n v="33"/>
    <s v="M"/>
    <s v="&lt;3L"/>
    <s v="branch"/>
    <x v="0"/>
    <s v="complete"/>
    <d v="2025-05-21T00:00:00"/>
    <n v="11719"/>
    <d v="2025-07-31T00:00:00"/>
    <n v="27660"/>
    <n v="39379"/>
    <n v="0"/>
  </r>
  <r>
    <x v="660"/>
    <s v="BR004"/>
    <n v="56"/>
    <s v="F"/>
    <s v="3-6L"/>
    <s v="online"/>
    <x v="0"/>
    <s v="pending"/>
    <d v="2025-07-24T00:00:00"/>
    <n v="34444"/>
    <d v="2025-07-31T00:00:00"/>
    <n v="28530"/>
    <n v="62974"/>
    <n v="0"/>
  </r>
  <r>
    <x v="661"/>
    <s v="BR001"/>
    <n v="62"/>
    <s v="F"/>
    <s v="3-6L"/>
    <s v="online"/>
    <x v="0"/>
    <s v="complete"/>
    <d v="2024-05-07T00:00:00"/>
    <n v="744"/>
    <d v="2025-07-09T00:00:00"/>
    <n v="1621"/>
    <n v="2365"/>
    <n v="0"/>
  </r>
  <r>
    <x v="662"/>
    <s v="BR004"/>
    <n v="59"/>
    <s v="F"/>
    <s v="&gt;10L"/>
    <s v="online"/>
    <x v="0"/>
    <s v="complete"/>
    <d v="2022-01-16T00:00:00"/>
    <n v="10073"/>
    <d v="2025-07-05T00:00:00"/>
    <n v="8687"/>
    <n v="18760"/>
    <n v="0"/>
  </r>
  <r>
    <x v="663"/>
    <s v="BR004"/>
    <n v="56"/>
    <s v="F"/>
    <s v="&lt;3L"/>
    <s v="online"/>
    <x v="0"/>
    <s v="complete"/>
    <d v="2021-06-20T00:00:00"/>
    <n v="2535"/>
    <d v="2025-07-15T00:00:00"/>
    <n v="-5408"/>
    <n v="-2873"/>
    <n v="0"/>
  </r>
  <r>
    <x v="664"/>
    <s v="BR009"/>
    <n v="31"/>
    <s v="F"/>
    <s v="6-10L"/>
    <s v="online"/>
    <x v="0"/>
    <s v="complete"/>
    <d v="2022-11-25T00:00:00"/>
    <n v="12936"/>
    <d v="2025-04-16T00:00:00"/>
    <n v="13118"/>
    <n v="26054"/>
    <n v="0"/>
  </r>
  <r>
    <x v="665"/>
    <s v="BR008"/>
    <n v="48"/>
    <s v="F"/>
    <s v="3-6L"/>
    <s v="branch"/>
    <x v="0"/>
    <s v="complete"/>
    <d v="2024-12-04T00:00:00"/>
    <n v="2967"/>
    <d v="2025-07-27T00:00:00"/>
    <n v="4146"/>
    <n v="7113"/>
    <n v="0"/>
  </r>
  <r>
    <x v="666"/>
    <s v="BR002"/>
    <n v="22"/>
    <s v="F"/>
    <s v="6-10L"/>
    <s v="branch"/>
    <x v="0"/>
    <s v="complete"/>
    <d v="2024-04-22T00:00:00"/>
    <n v="15277"/>
    <d v="2025-07-29T00:00:00"/>
    <n v="17704"/>
    <n v="32981"/>
    <n v="0"/>
  </r>
  <r>
    <x v="667"/>
    <s v="BR006"/>
    <n v="52"/>
    <s v="M"/>
    <s v="6-10L"/>
    <s v="branch"/>
    <x v="0"/>
    <s v="complete"/>
    <d v="2025-01-18T00:00:00"/>
    <n v="67957"/>
    <d v="2025-06-19T00:00:00"/>
    <n v="17138"/>
    <n v="85095"/>
    <n v="0"/>
  </r>
  <r>
    <x v="668"/>
    <s v="BR011"/>
    <n v="40"/>
    <s v="M"/>
    <s v="6-10L"/>
    <s v="online"/>
    <x v="0"/>
    <s v="complete"/>
    <d v="2023-10-28T00:00:00"/>
    <n v="5017"/>
    <d v="2025-07-10T00:00:00"/>
    <n v="-13880"/>
    <n v="-8863"/>
    <n v="0"/>
  </r>
  <r>
    <x v="669"/>
    <s v="BR004"/>
    <n v="46"/>
    <s v="F"/>
    <s v="3-6L"/>
    <s v="online"/>
    <x v="0"/>
    <s v="complete"/>
    <d v="2021-08-07T00:00:00"/>
    <n v="5800"/>
    <d v="2025-06-06T00:00:00"/>
    <n v="19535"/>
    <n v="25335"/>
    <n v="0"/>
  </r>
  <r>
    <x v="670"/>
    <s v="BR014"/>
    <n v="60"/>
    <s v="F"/>
    <s v="&lt;3L"/>
    <s v="online"/>
    <x v="0"/>
    <s v="complete"/>
    <d v="2021-07-12T00:00:00"/>
    <n v="8351"/>
    <d v="2025-07-31T00:00:00"/>
    <n v="12132"/>
    <n v="20483"/>
    <n v="0"/>
  </r>
  <r>
    <x v="671"/>
    <s v="BR009"/>
    <n v="28"/>
    <s v="M"/>
    <s v="&lt;3L"/>
    <s v="branch"/>
    <x v="0"/>
    <s v="complete"/>
    <d v="2021-03-22T00:00:00"/>
    <n v="18374"/>
    <d v="2025-05-18T00:00:00"/>
    <n v="22303"/>
    <n v="40677"/>
    <n v="0"/>
  </r>
  <r>
    <x v="672"/>
    <s v="BR002"/>
    <n v="35"/>
    <s v="M"/>
    <s v="6-10L"/>
    <s v="online"/>
    <x v="0"/>
    <s v="complete"/>
    <d v="2023-08-07T00:00:00"/>
    <n v="4822"/>
    <d v="2025-07-02T00:00:00"/>
    <n v="-203"/>
    <n v="4619"/>
    <n v="0"/>
  </r>
  <r>
    <x v="673"/>
    <s v="BR001"/>
    <n v="64"/>
    <s v="F"/>
    <s v="6-10L"/>
    <s v="branch"/>
    <x v="0"/>
    <s v="complete"/>
    <d v="2022-02-11T00:00:00"/>
    <n v="9134"/>
    <d v="2025-06-30T00:00:00"/>
    <n v="18283"/>
    <n v="27417"/>
    <n v="0"/>
  </r>
  <r>
    <x v="674"/>
    <s v="BR004"/>
    <n v="29"/>
    <s v="M"/>
    <s v="3-6L"/>
    <s v="branch"/>
    <x v="0"/>
    <s v="complete"/>
    <d v="2024-05-13T00:00:00"/>
    <n v="6840"/>
    <d v="2025-07-12T00:00:00"/>
    <n v="-1311"/>
    <n v="5529"/>
    <n v="0"/>
  </r>
  <r>
    <x v="675"/>
    <s v="BR012"/>
    <n v="26"/>
    <s v="M"/>
    <s v="&lt;3L"/>
    <s v="online"/>
    <x v="0"/>
    <s v="complete"/>
    <d v="2024-02-23T00:00:00"/>
    <n v="8379"/>
    <d v="2025-06-13T00:00:00"/>
    <n v="15084"/>
    <n v="23463"/>
    <n v="0"/>
  </r>
  <r>
    <x v="676"/>
    <s v="BR005"/>
    <n v="27"/>
    <s v="M"/>
    <s v="3-6L"/>
    <s v="online"/>
    <x v="1"/>
    <s v="complete"/>
    <d v="2022-06-17T00:00:00"/>
    <n v="18591"/>
    <d v="2025-07-16T00:00:00"/>
    <n v="11599"/>
    <n v="30190"/>
    <n v="0"/>
  </r>
  <r>
    <x v="677"/>
    <s v="BR009"/>
    <n v="61"/>
    <s v="M"/>
    <s v="3-6L"/>
    <s v="branch"/>
    <x v="0"/>
    <s v="complete"/>
    <d v="2021-10-23T00:00:00"/>
    <n v="23180"/>
    <d v="2025-04-29T00:00:00"/>
    <n v="-3157"/>
    <n v="20023"/>
    <n v="0"/>
  </r>
  <r>
    <x v="678"/>
    <s v="BR004"/>
    <n v="34"/>
    <s v="M"/>
    <s v="3-6L"/>
    <s v="branch"/>
    <x v="0"/>
    <s v="complete"/>
    <d v="2021-06-21T00:00:00"/>
    <n v="3051"/>
    <d v="2025-07-28T00:00:00"/>
    <n v="17421"/>
    <n v="20472"/>
    <n v="0"/>
  </r>
  <r>
    <x v="679"/>
    <s v="BR016"/>
    <n v="55"/>
    <s v="M"/>
    <s v="6-10L"/>
    <s v="online"/>
    <x v="0"/>
    <s v="complete"/>
    <d v="2024-05-18T00:00:00"/>
    <n v="18518"/>
    <d v="2025-07-23T00:00:00"/>
    <n v="6718"/>
    <n v="25236"/>
    <n v="0"/>
  </r>
  <r>
    <x v="680"/>
    <s v="BR002"/>
    <n v="24"/>
    <s v="M"/>
    <s v="&gt;10L"/>
    <s v="online"/>
    <x v="0"/>
    <s v="complete"/>
    <d v="2023-01-24T00:00:00"/>
    <n v="300000"/>
    <d v="2025-06-25T00:00:00"/>
    <n v="11115"/>
    <n v="311115"/>
    <n v="0"/>
  </r>
  <r>
    <x v="681"/>
    <s v="BR016"/>
    <n v="63"/>
    <s v="F"/>
    <s v="&lt;3L"/>
    <s v="branch"/>
    <x v="0"/>
    <s v="complete"/>
    <d v="2022-06-26T00:00:00"/>
    <n v="62582"/>
    <d v="2025-06-17T00:00:00"/>
    <n v="10938"/>
    <n v="73520"/>
    <n v="0"/>
  </r>
  <r>
    <x v="682"/>
    <s v="BR016"/>
    <n v="30"/>
    <s v="F"/>
    <s v="3-6L"/>
    <s v="online"/>
    <x v="0"/>
    <s v="complete"/>
    <d v="2024-12-04T00:00:00"/>
    <n v="7031"/>
    <d v="2025-07-09T00:00:00"/>
    <n v="17994"/>
    <n v="25025"/>
    <n v="0"/>
  </r>
  <r>
    <x v="683"/>
    <s v="BR011"/>
    <n v="57"/>
    <s v="F"/>
    <s v="3-6L"/>
    <s v="online"/>
    <x v="0"/>
    <s v="complete"/>
    <d v="2023-09-21T00:00:00"/>
    <n v="15243"/>
    <d v="2025-05-12T00:00:00"/>
    <n v="7064"/>
    <n v="22307"/>
    <n v="0"/>
  </r>
  <r>
    <x v="684"/>
    <s v="BR001"/>
    <n v="59"/>
    <s v="M"/>
    <s v="3-6L"/>
    <s v="online"/>
    <x v="0"/>
    <s v="complete"/>
    <d v="2023-05-17T00:00:00"/>
    <n v="12919"/>
    <d v="2025-07-27T00:00:00"/>
    <n v="5358"/>
    <n v="18277"/>
    <n v="0"/>
  </r>
  <r>
    <x v="685"/>
    <s v="BR015"/>
    <n v="26"/>
    <s v="M"/>
    <s v="&lt;3L"/>
    <s v="online"/>
    <x v="0"/>
    <s v="complete"/>
    <d v="2024-05-28T00:00:00"/>
    <n v="21151"/>
    <d v="2025-07-30T00:00:00"/>
    <n v="9923"/>
    <n v="31074"/>
    <n v="0"/>
  </r>
  <r>
    <x v="686"/>
    <s v="BR004"/>
    <n v="67"/>
    <s v="F"/>
    <s v="&lt;3L"/>
    <s v="online"/>
    <x v="0"/>
    <s v="pending"/>
    <d v="2024-09-26T00:00:00"/>
    <n v="8759"/>
    <d v="2025-07-21T00:00:00"/>
    <n v="7423"/>
    <n v="16182"/>
    <n v="0"/>
  </r>
  <r>
    <x v="687"/>
    <s v="BR018"/>
    <n v="44"/>
    <s v="M"/>
    <s v="6-10L"/>
    <s v="online"/>
    <x v="1"/>
    <s v="complete"/>
    <d v="2024-02-22T00:00:00"/>
    <n v="10207"/>
    <d v="2025-06-24T00:00:00"/>
    <n v="-4880"/>
    <n v="5327"/>
    <n v="0"/>
  </r>
  <r>
    <x v="688"/>
    <s v="BR017"/>
    <n v="19"/>
    <s v="F"/>
    <s v="3-6L"/>
    <s v="online"/>
    <x v="0"/>
    <s v="pending"/>
    <d v="2023-01-07T00:00:00"/>
    <n v="6433"/>
    <d v="2025-07-20T00:00:00"/>
    <n v="5336"/>
    <n v="11769"/>
    <n v="0"/>
  </r>
  <r>
    <x v="689"/>
    <s v="BR007"/>
    <n v="22"/>
    <s v="F"/>
    <s v="3-6L"/>
    <s v="online"/>
    <x v="0"/>
    <s v="complete"/>
    <d v="2022-09-27T00:00:00"/>
    <n v="39952"/>
    <d v="2025-05-15T00:00:00"/>
    <n v="17647"/>
    <n v="57599"/>
    <n v="0"/>
  </r>
  <r>
    <x v="690"/>
    <s v="BR018"/>
    <n v="46"/>
    <s v="F"/>
    <s v="&gt;10L"/>
    <s v="branch"/>
    <x v="0"/>
    <s v="complete"/>
    <d v="2024-07-14T00:00:00"/>
    <n v="18233"/>
    <d v="2025-07-30T00:00:00"/>
    <n v="-9514"/>
    <n v="8719"/>
    <n v="0"/>
  </r>
  <r>
    <x v="691"/>
    <s v="BR013"/>
    <n v="54"/>
    <s v="M"/>
    <s v="6-10L"/>
    <s v="branch"/>
    <x v="0"/>
    <s v="complete"/>
    <d v="2023-05-17T00:00:00"/>
    <n v="18372"/>
    <d v="2025-05-17T00:00:00"/>
    <n v="5982"/>
    <n v="24354"/>
    <n v="0"/>
  </r>
  <r>
    <x v="692"/>
    <s v="BR020"/>
    <n v="55"/>
    <s v="M"/>
    <s v="&lt;3L"/>
    <s v="branch"/>
    <x v="1"/>
    <s v="complete"/>
    <d v="2024-03-24T00:00:00"/>
    <n v="45179"/>
    <d v="2025-07-03T00:00:00"/>
    <n v="-2607"/>
    <n v="42572"/>
    <n v="0"/>
  </r>
  <r>
    <x v="693"/>
    <s v="BR020"/>
    <n v="36"/>
    <s v="F"/>
    <s v="3-6L"/>
    <s v="branch"/>
    <x v="1"/>
    <s v="complete"/>
    <d v="2025-01-29T00:00:00"/>
    <n v="45852"/>
    <d v="2025-07-28T00:00:00"/>
    <n v="23666"/>
    <n v="69518"/>
    <n v="0"/>
  </r>
  <r>
    <x v="694"/>
    <s v="BR010"/>
    <n v="25"/>
    <s v="M"/>
    <s v="3-6L"/>
    <s v="online"/>
    <x v="0"/>
    <s v="complete"/>
    <d v="2025-03-13T00:00:00"/>
    <n v="37968"/>
    <d v="2025-07-18T00:00:00"/>
    <n v="14787"/>
    <n v="52755"/>
    <n v="0"/>
  </r>
  <r>
    <x v="695"/>
    <s v="BR001"/>
    <n v="65"/>
    <s v="F"/>
    <s v="6-10L"/>
    <s v="online"/>
    <x v="0"/>
    <s v="complete"/>
    <d v="2022-04-10T00:00:00"/>
    <n v="44496"/>
    <d v="2025-05-26T00:00:00"/>
    <n v="26279"/>
    <n v="70775"/>
    <n v="0"/>
  </r>
  <r>
    <x v="696"/>
    <s v="BR002"/>
    <n v="62"/>
    <s v="F"/>
    <s v="6-10L"/>
    <s v="branch"/>
    <x v="0"/>
    <s v="complete"/>
    <d v="2021-11-11T00:00:00"/>
    <n v="63746"/>
    <d v="2025-02-23T00:00:00"/>
    <n v="15913"/>
    <n v="79659"/>
    <n v="0"/>
  </r>
  <r>
    <x v="697"/>
    <s v="BR017"/>
    <n v="18"/>
    <s v="O"/>
    <s v="6-10L"/>
    <s v="online"/>
    <x v="0"/>
    <s v="complete"/>
    <d v="2022-03-14T00:00:00"/>
    <n v="5082"/>
    <d v="2025-05-23T00:00:00"/>
    <n v="6694"/>
    <n v="11776"/>
    <n v="0"/>
  </r>
  <r>
    <x v="698"/>
    <s v="BR003"/>
    <n v="39"/>
    <s v="M"/>
    <s v="3-6L"/>
    <s v="online"/>
    <x v="0"/>
    <s v="complete"/>
    <d v="2024-06-11T00:00:00"/>
    <n v="9910"/>
    <d v="2025-06-15T00:00:00"/>
    <n v="-16006"/>
    <n v="-6096"/>
    <n v="0"/>
  </r>
  <r>
    <x v="699"/>
    <s v="BR017"/>
    <n v="69"/>
    <s v="F"/>
    <s v="6-10L"/>
    <s v="branch"/>
    <x v="1"/>
    <s v="complete"/>
    <d v="2022-09-12T00:00:00"/>
    <n v="27145"/>
    <d v="2025-06-06T00:00:00"/>
    <n v="2136"/>
    <n v="29281"/>
    <n v="0"/>
  </r>
  <r>
    <x v="700"/>
    <s v="BR012"/>
    <n v="34"/>
    <s v="F"/>
    <s v="&lt;3L"/>
    <s v="online"/>
    <x v="1"/>
    <s v="complete"/>
    <d v="2021-10-18T00:00:00"/>
    <n v="5511"/>
    <d v="2025-07-28T00:00:00"/>
    <n v="7136"/>
    <n v="12647"/>
    <n v="0"/>
  </r>
  <r>
    <x v="701"/>
    <s v="BR012"/>
    <n v="24"/>
    <s v="M"/>
    <s v="&lt;3L"/>
    <s v="online"/>
    <x v="1"/>
    <s v="complete"/>
    <d v="2021-06-14T00:00:00"/>
    <n v="9290"/>
    <d v="2025-07-26T00:00:00"/>
    <n v="4396"/>
    <n v="13686"/>
    <n v="0"/>
  </r>
  <r>
    <x v="702"/>
    <s v="BR020"/>
    <n v="42"/>
    <s v="M"/>
    <s v="3-6L"/>
    <s v="branch"/>
    <x v="0"/>
    <s v="complete"/>
    <d v="2022-07-02T00:00:00"/>
    <n v="16227"/>
    <d v="2025-04-10T00:00:00"/>
    <n v="20382"/>
    <n v="36609"/>
    <n v="0"/>
  </r>
  <r>
    <x v="703"/>
    <s v="BR010"/>
    <n v="62"/>
    <s v="F"/>
    <s v="&lt;3L"/>
    <s v="branch"/>
    <x v="0"/>
    <s v="complete"/>
    <d v="2021-08-16T00:00:00"/>
    <n v="10613"/>
    <d v="2025-07-27T00:00:00"/>
    <n v="22853"/>
    <n v="33466"/>
    <n v="0"/>
  </r>
  <r>
    <x v="704"/>
    <s v="BR007"/>
    <n v="21"/>
    <s v="M"/>
    <s v="&lt;3L"/>
    <s v="online"/>
    <x v="0"/>
    <s v="complete"/>
    <d v="2021-09-19T00:00:00"/>
    <n v="14271"/>
    <d v="2025-07-26T00:00:00"/>
    <n v="9022"/>
    <n v="23293"/>
    <n v="0"/>
  </r>
  <r>
    <x v="705"/>
    <s v="BR010"/>
    <n v="53"/>
    <s v="M"/>
    <s v="6-10L"/>
    <s v="branch"/>
    <x v="0"/>
    <s v="complete"/>
    <d v="2024-02-19T00:00:00"/>
    <n v="4250"/>
    <d v="2025-07-27T00:00:00"/>
    <n v="-6225"/>
    <n v="-1975"/>
    <n v="0"/>
  </r>
  <r>
    <x v="706"/>
    <s v="BR018"/>
    <n v="23"/>
    <s v="M"/>
    <s v="&gt;10L"/>
    <s v="branch"/>
    <x v="0"/>
    <s v="complete"/>
    <d v="2021-02-03T00:00:00"/>
    <n v="12865"/>
    <d v="2025-07-29T00:00:00"/>
    <n v="19374"/>
    <n v="32239"/>
    <n v="0"/>
  </r>
  <r>
    <x v="707"/>
    <s v="BR006"/>
    <n v="48"/>
    <s v="F"/>
    <s v="3-6L"/>
    <s v="branch"/>
    <x v="0"/>
    <s v="complete"/>
    <d v="2021-07-16T00:00:00"/>
    <n v="15276"/>
    <d v="2025-05-24T00:00:00"/>
    <n v="628"/>
    <n v="15904"/>
    <n v="0"/>
  </r>
  <r>
    <x v="708"/>
    <s v="BR007"/>
    <n v="36"/>
    <s v="F"/>
    <s v="3-6L"/>
    <s v="online"/>
    <x v="0"/>
    <s v="complete"/>
    <d v="2024-11-13T00:00:00"/>
    <n v="67172"/>
    <d v="2025-07-27T00:00:00"/>
    <n v="11100"/>
    <n v="78272"/>
    <n v="0"/>
  </r>
  <r>
    <x v="709"/>
    <s v="BR017"/>
    <n v="61"/>
    <s v="F"/>
    <s v="3-6L"/>
    <s v="online"/>
    <x v="0"/>
    <s v="complete"/>
    <d v="2024-11-14T00:00:00"/>
    <n v="10213"/>
    <d v="2025-07-10T00:00:00"/>
    <n v="21353"/>
    <n v="31566"/>
    <n v="0"/>
  </r>
  <r>
    <x v="710"/>
    <s v="BR012"/>
    <n v="56"/>
    <s v="M"/>
    <s v="3-6L"/>
    <s v="branch"/>
    <x v="1"/>
    <s v="complete"/>
    <d v="2022-07-05T00:00:00"/>
    <n v="6973"/>
    <d v="2025-07-07T00:00:00"/>
    <n v="-11766"/>
    <n v="-4793"/>
    <n v="0"/>
  </r>
  <r>
    <x v="711"/>
    <s v="BR017"/>
    <n v="44"/>
    <s v="M"/>
    <s v="&lt;3L"/>
    <s v="branch"/>
    <x v="1"/>
    <s v="complete"/>
    <d v="2021-05-28T00:00:00"/>
    <n v="27254"/>
    <d v="2024-02-10T00:00:00"/>
    <n v="-1608"/>
    <n v="25646"/>
    <n v="1"/>
  </r>
  <r>
    <x v="712"/>
    <s v="BR018"/>
    <n v="27"/>
    <s v="F"/>
    <s v="&gt;10L"/>
    <s v="branch"/>
    <x v="1"/>
    <s v="complete"/>
    <d v="2024-03-25T00:00:00"/>
    <n v="558"/>
    <d v="2025-07-06T00:00:00"/>
    <n v="22459"/>
    <n v="23017"/>
    <n v="0"/>
  </r>
  <r>
    <x v="713"/>
    <s v="BR014"/>
    <n v="43"/>
    <s v="F"/>
    <s v="&lt;3L"/>
    <s v="online"/>
    <x v="0"/>
    <s v="complete"/>
    <d v="2022-08-26T00:00:00"/>
    <n v="9727"/>
    <d v="2025-04-09T00:00:00"/>
    <n v="-2355"/>
    <n v="7372"/>
    <n v="0"/>
  </r>
  <r>
    <x v="714"/>
    <s v="BR011"/>
    <n v="36"/>
    <s v="M"/>
    <s v="3-6L"/>
    <s v="online"/>
    <x v="0"/>
    <s v="pending"/>
    <d v="2021-03-18T00:00:00"/>
    <n v="7993"/>
    <d v="2025-07-23T00:00:00"/>
    <n v="19636"/>
    <n v="27629"/>
    <n v="0"/>
  </r>
  <r>
    <x v="715"/>
    <s v="BR002"/>
    <n v="56"/>
    <s v="F"/>
    <s v="&lt;3L"/>
    <s v="branch"/>
    <x v="0"/>
    <s v="complete"/>
    <d v="2021-09-22T00:00:00"/>
    <n v="17343"/>
    <d v="2024-12-22T00:00:00"/>
    <n v="9739"/>
    <n v="27082"/>
    <n v="1"/>
  </r>
  <r>
    <x v="716"/>
    <s v="BR001"/>
    <n v="20"/>
    <s v="O"/>
    <s v="6-10L"/>
    <s v="online"/>
    <x v="0"/>
    <s v="complete"/>
    <d v="2021-08-18T00:00:00"/>
    <n v="46454"/>
    <d v="2024-11-13T00:00:00"/>
    <n v="6688"/>
    <n v="53142"/>
    <n v="1"/>
  </r>
  <r>
    <x v="717"/>
    <s v="BR011"/>
    <n v="62"/>
    <s v="F"/>
    <s v="6-10L"/>
    <s v="online"/>
    <x v="1"/>
    <s v="complete"/>
    <d v="2023-09-13T00:00:00"/>
    <n v="63025"/>
    <d v="2025-06-28T00:00:00"/>
    <n v="18522"/>
    <n v="81547"/>
    <n v="0"/>
  </r>
  <r>
    <x v="718"/>
    <s v="BR002"/>
    <n v="30"/>
    <s v="F"/>
    <s v="&gt;10L"/>
    <s v="online"/>
    <x v="1"/>
    <s v="complete"/>
    <d v="2025-02-11T00:00:00"/>
    <n v="17102"/>
    <d v="2025-07-24T00:00:00"/>
    <n v="13101"/>
    <n v="30203"/>
    <n v="0"/>
  </r>
  <r>
    <x v="719"/>
    <s v="BR016"/>
    <n v="67"/>
    <s v="O"/>
    <s v="6-10L"/>
    <s v="online"/>
    <x v="0"/>
    <s v="complete"/>
    <d v="2024-08-19T00:00:00"/>
    <n v="2831"/>
    <d v="2025-07-26T00:00:00"/>
    <n v="1708"/>
    <n v="4539"/>
    <n v="0"/>
  </r>
  <r>
    <x v="720"/>
    <s v="BR003"/>
    <n v="45"/>
    <s v="M"/>
    <s v="3-6L"/>
    <s v="branch"/>
    <x v="0"/>
    <s v="complete"/>
    <d v="2023-07-04T00:00:00"/>
    <n v="7989"/>
    <d v="2025-06-22T00:00:00"/>
    <n v="16095"/>
    <n v="24084"/>
    <n v="0"/>
  </r>
  <r>
    <x v="721"/>
    <s v="BR020"/>
    <n v="37"/>
    <s v="F"/>
    <s v="&lt;3L"/>
    <s v="branch"/>
    <x v="0"/>
    <s v="complete"/>
    <d v="2022-12-08T00:00:00"/>
    <n v="8915"/>
    <d v="2025-07-10T00:00:00"/>
    <n v="14107"/>
    <n v="23022"/>
    <n v="0"/>
  </r>
  <r>
    <x v="722"/>
    <s v="BR001"/>
    <n v="45"/>
    <s v="O"/>
    <s v="6-10L"/>
    <s v="online"/>
    <x v="0"/>
    <s v="complete"/>
    <d v="2023-11-02T00:00:00"/>
    <n v="19288"/>
    <d v="2025-07-23T00:00:00"/>
    <n v="14886"/>
    <n v="34174"/>
    <n v="0"/>
  </r>
  <r>
    <x v="723"/>
    <s v="BR020"/>
    <n v="25"/>
    <s v="M"/>
    <s v="3-6L"/>
    <s v="online"/>
    <x v="1"/>
    <s v="complete"/>
    <d v="2023-01-13T00:00:00"/>
    <n v="14133"/>
    <d v="2025-07-21T00:00:00"/>
    <n v="4559"/>
    <n v="18692"/>
    <n v="0"/>
  </r>
  <r>
    <x v="724"/>
    <s v="BR008"/>
    <n v="58"/>
    <s v="F"/>
    <s v="3-6L"/>
    <s v="branch"/>
    <x v="0"/>
    <s v="complete"/>
    <d v="2022-02-16T00:00:00"/>
    <n v="6712"/>
    <d v="2025-07-25T00:00:00"/>
    <n v="13557"/>
    <n v="20269"/>
    <n v="0"/>
  </r>
  <r>
    <x v="725"/>
    <s v="BR019"/>
    <n v="56"/>
    <s v="F"/>
    <s v="&lt;3L"/>
    <s v="online"/>
    <x v="0"/>
    <s v="complete"/>
    <d v="2024-02-11T00:00:00"/>
    <n v="3821"/>
    <d v="2025-07-01T00:00:00"/>
    <n v="30751"/>
    <n v="34572"/>
    <n v="0"/>
  </r>
  <r>
    <x v="726"/>
    <s v="BR001"/>
    <n v="18"/>
    <s v="F"/>
    <s v="&lt;3L"/>
    <s v="online"/>
    <x v="0"/>
    <s v="complete"/>
    <d v="2024-12-31T00:00:00"/>
    <n v="5605"/>
    <d v="2025-07-30T00:00:00"/>
    <n v="1617"/>
    <n v="7222"/>
    <n v="0"/>
  </r>
  <r>
    <x v="727"/>
    <s v="BR005"/>
    <n v="20"/>
    <s v="F"/>
    <s v="3-6L"/>
    <s v="branch"/>
    <x v="0"/>
    <s v="complete"/>
    <d v="2022-09-16T00:00:00"/>
    <n v="5403"/>
    <d v="2025-07-20T00:00:00"/>
    <n v="9939"/>
    <n v="15342"/>
    <n v="0"/>
  </r>
  <r>
    <x v="728"/>
    <s v="BR001"/>
    <n v="30"/>
    <s v="F"/>
    <s v="3-6L"/>
    <s v="online"/>
    <x v="0"/>
    <s v="complete"/>
    <d v="2024-11-08T00:00:00"/>
    <n v="67614"/>
    <d v="2025-06-03T00:00:00"/>
    <n v="-4400"/>
    <n v="63214"/>
    <n v="0"/>
  </r>
  <r>
    <x v="729"/>
    <s v="BR011"/>
    <n v="45"/>
    <s v="F"/>
    <s v="6-10L"/>
    <s v="branch"/>
    <x v="1"/>
    <s v="complete"/>
    <d v="2022-12-23T00:00:00"/>
    <n v="6188"/>
    <d v="2025-07-31T00:00:00"/>
    <n v="-5200"/>
    <n v="988"/>
    <n v="0"/>
  </r>
  <r>
    <x v="730"/>
    <s v="BR009"/>
    <n v="66"/>
    <s v="M"/>
    <s v="&lt;3L"/>
    <s v="online"/>
    <x v="0"/>
    <s v="complete"/>
    <d v="2022-11-03T00:00:00"/>
    <n v="14188"/>
    <d v="2025-06-09T00:00:00"/>
    <n v="3451"/>
    <n v="17639"/>
    <n v="0"/>
  </r>
  <r>
    <x v="731"/>
    <s v="BR005"/>
    <n v="42"/>
    <s v="F"/>
    <s v="3-6L"/>
    <s v="online"/>
    <x v="0"/>
    <s v="complete"/>
    <d v="2021-02-17T00:00:00"/>
    <n v="35187"/>
    <d v="2025-07-21T00:00:00"/>
    <n v="-7020"/>
    <n v="28167"/>
    <n v="0"/>
  </r>
  <r>
    <x v="732"/>
    <s v="BR002"/>
    <n v="50"/>
    <s v="M"/>
    <s v="&lt;3L"/>
    <s v="online"/>
    <x v="0"/>
    <s v="complete"/>
    <d v="2024-03-09T00:00:00"/>
    <n v="16235"/>
    <d v="2025-07-20T00:00:00"/>
    <n v="12462"/>
    <n v="28697"/>
    <n v="0"/>
  </r>
  <r>
    <x v="733"/>
    <s v="BR013"/>
    <n v="55"/>
    <s v="M"/>
    <s v="&lt;3L"/>
    <s v="branch"/>
    <x v="0"/>
    <s v="complete"/>
    <d v="2024-09-12T00:00:00"/>
    <n v="4510"/>
    <d v="2025-07-28T00:00:00"/>
    <n v="3944"/>
    <n v="8454"/>
    <n v="0"/>
  </r>
  <r>
    <x v="734"/>
    <s v="BR018"/>
    <n v="23"/>
    <s v="F"/>
    <s v="3-6L"/>
    <s v="online"/>
    <x v="0"/>
    <s v="complete"/>
    <d v="2024-01-16T00:00:00"/>
    <n v="35778"/>
    <d v="2025-06-28T00:00:00"/>
    <n v="-1113"/>
    <n v="34665"/>
    <n v="0"/>
  </r>
  <r>
    <x v="735"/>
    <s v="BR012"/>
    <n v="61"/>
    <s v="F"/>
    <s v="&lt;3L"/>
    <s v="online"/>
    <x v="0"/>
    <s v="complete"/>
    <d v="2021-09-11T00:00:00"/>
    <n v="19038"/>
    <d v="2025-07-25T00:00:00"/>
    <n v="10684"/>
    <n v="29722"/>
    <n v="0"/>
  </r>
  <r>
    <x v="736"/>
    <s v="BR014"/>
    <n v="62"/>
    <s v="M"/>
    <s v="&lt;3L"/>
    <s v="branch"/>
    <x v="0"/>
    <s v="complete"/>
    <d v="2021-06-22T00:00:00"/>
    <n v="1502"/>
    <d v="2025-07-30T00:00:00"/>
    <n v="4502"/>
    <n v="6004"/>
    <n v="0"/>
  </r>
  <r>
    <x v="737"/>
    <s v="BR005"/>
    <n v="49"/>
    <s v="F"/>
    <s v="3-6L"/>
    <s v="online"/>
    <x v="0"/>
    <s v="complete"/>
    <d v="2023-08-17T00:00:00"/>
    <n v="46431"/>
    <d v="2025-06-26T00:00:00"/>
    <n v="5949"/>
    <n v="52380"/>
    <n v="0"/>
  </r>
  <r>
    <x v="738"/>
    <s v="BR010"/>
    <n v="62"/>
    <s v="F"/>
    <s v="3-6L"/>
    <s v="online"/>
    <x v="0"/>
    <s v="pending"/>
    <d v="2022-11-03T00:00:00"/>
    <n v="31996"/>
    <d v="2025-06-20T00:00:00"/>
    <n v="16597"/>
    <n v="48593"/>
    <n v="0"/>
  </r>
  <r>
    <x v="739"/>
    <s v="BR020"/>
    <n v="64"/>
    <s v="F"/>
    <s v="&lt;3L"/>
    <s v="online"/>
    <x v="0"/>
    <s v="complete"/>
    <d v="2022-12-19T00:00:00"/>
    <n v="18742"/>
    <d v="2025-07-06T00:00:00"/>
    <n v="-1202"/>
    <n v="17540"/>
    <n v="0"/>
  </r>
  <r>
    <x v="740"/>
    <s v="BR002"/>
    <n v="38"/>
    <s v="M"/>
    <s v="&lt;3L"/>
    <s v="branch"/>
    <x v="0"/>
    <s v="complete"/>
    <d v="2025-06-08T00:00:00"/>
    <n v="68512"/>
    <d v="2025-07-30T00:00:00"/>
    <n v="23497"/>
    <n v="92009"/>
    <n v="0"/>
  </r>
  <r>
    <x v="741"/>
    <s v="BR004"/>
    <n v="33"/>
    <s v="F"/>
    <s v="&lt;3L"/>
    <s v="online"/>
    <x v="0"/>
    <s v="complete"/>
    <d v="2024-04-26T00:00:00"/>
    <n v="31272"/>
    <d v="2025-07-31T00:00:00"/>
    <n v="7070"/>
    <n v="38342"/>
    <n v="0"/>
  </r>
  <r>
    <x v="742"/>
    <s v="BR012"/>
    <n v="38"/>
    <s v="F"/>
    <s v="&lt;3L"/>
    <s v="online"/>
    <x v="0"/>
    <s v="complete"/>
    <d v="2022-11-20T00:00:00"/>
    <n v="41272"/>
    <d v="2025-07-28T00:00:00"/>
    <n v="-7735"/>
    <n v="33537"/>
    <n v="0"/>
  </r>
  <r>
    <x v="743"/>
    <s v="BR011"/>
    <n v="28"/>
    <s v="F"/>
    <s v="3-6L"/>
    <s v="online"/>
    <x v="0"/>
    <s v="complete"/>
    <d v="2021-02-01T00:00:00"/>
    <n v="37662"/>
    <d v="2025-07-25T00:00:00"/>
    <n v="20630"/>
    <n v="58292"/>
    <n v="0"/>
  </r>
  <r>
    <x v="744"/>
    <s v="BR004"/>
    <n v="54"/>
    <s v="M"/>
    <s v="3-6L"/>
    <s v="online"/>
    <x v="0"/>
    <s v="complete"/>
    <d v="2021-02-27T00:00:00"/>
    <n v="28482"/>
    <d v="2025-07-27T00:00:00"/>
    <n v="19902"/>
    <n v="48384"/>
    <n v="0"/>
  </r>
  <r>
    <x v="745"/>
    <s v="BR011"/>
    <n v="53"/>
    <s v="M"/>
    <s v="3-6L"/>
    <s v="branch"/>
    <x v="0"/>
    <s v="complete"/>
    <d v="2024-02-20T00:00:00"/>
    <n v="2229"/>
    <d v="2025-07-30T00:00:00"/>
    <n v="14381"/>
    <n v="16610"/>
    <n v="0"/>
  </r>
  <r>
    <x v="746"/>
    <s v="BR009"/>
    <n v="52"/>
    <s v="M"/>
    <s v="3-6L"/>
    <s v="branch"/>
    <x v="1"/>
    <s v="complete"/>
    <d v="2024-11-02T00:00:00"/>
    <n v="2511"/>
    <d v="2025-06-29T00:00:00"/>
    <n v="12497"/>
    <n v="15008"/>
    <n v="0"/>
  </r>
  <r>
    <x v="747"/>
    <s v="BR010"/>
    <n v="36"/>
    <s v="M"/>
    <s v="6-10L"/>
    <s v="branch"/>
    <x v="0"/>
    <s v="complete"/>
    <d v="2024-03-29T00:00:00"/>
    <n v="31283"/>
    <d v="2025-07-10T00:00:00"/>
    <n v="3506"/>
    <n v="34789"/>
    <n v="0"/>
  </r>
  <r>
    <x v="748"/>
    <s v="BR006"/>
    <n v="37"/>
    <s v="M"/>
    <s v="6-10L"/>
    <s v="branch"/>
    <x v="0"/>
    <s v="complete"/>
    <d v="2022-11-11T00:00:00"/>
    <n v="45782"/>
    <d v="2025-07-31T00:00:00"/>
    <n v="3770"/>
    <n v="49552"/>
    <n v="0"/>
  </r>
  <r>
    <x v="749"/>
    <s v="BR015"/>
    <n v="35"/>
    <s v="F"/>
    <s v="6-10L"/>
    <s v="branch"/>
    <x v="1"/>
    <s v="complete"/>
    <d v="2021-02-22T00:00:00"/>
    <n v="6600"/>
    <d v="2025-07-19T00:00:00"/>
    <n v="-144"/>
    <n v="6456"/>
    <n v="0"/>
  </r>
  <r>
    <x v="750"/>
    <s v="BR010"/>
    <n v="64"/>
    <s v="F"/>
    <s v="6-10L"/>
    <s v="online"/>
    <x v="0"/>
    <s v="complete"/>
    <d v="2025-06-07T00:00:00"/>
    <n v="4386"/>
    <d v="2025-07-31T00:00:00"/>
    <n v="23111"/>
    <n v="27497"/>
    <n v="0"/>
  </r>
  <r>
    <x v="751"/>
    <s v="BR006"/>
    <n v="58"/>
    <s v="M"/>
    <s v="3-6L"/>
    <s v="branch"/>
    <x v="0"/>
    <s v="complete"/>
    <d v="2025-07-09T00:00:00"/>
    <n v="17373"/>
    <d v="2025-07-31T00:00:00"/>
    <n v="-1395"/>
    <n v="15978"/>
    <n v="0"/>
  </r>
  <r>
    <x v="752"/>
    <s v="BR001"/>
    <n v="66"/>
    <s v="M"/>
    <s v="6-10L"/>
    <s v="online"/>
    <x v="0"/>
    <s v="complete"/>
    <d v="2023-07-09T00:00:00"/>
    <n v="3127"/>
    <d v="2025-07-29T00:00:00"/>
    <n v="18740"/>
    <n v="21867"/>
    <n v="0"/>
  </r>
  <r>
    <x v="753"/>
    <s v="BR020"/>
    <n v="31"/>
    <s v="M"/>
    <s v="3-6L"/>
    <s v="online"/>
    <x v="0"/>
    <s v="complete"/>
    <d v="2021-04-29T00:00:00"/>
    <n v="11284"/>
    <d v="2025-07-20T00:00:00"/>
    <n v="-1917"/>
    <n v="9367"/>
    <n v="0"/>
  </r>
  <r>
    <x v="754"/>
    <s v="BR004"/>
    <n v="32"/>
    <s v="M"/>
    <s v="&lt;3L"/>
    <s v="branch"/>
    <x v="0"/>
    <s v="complete"/>
    <d v="2023-06-25T00:00:00"/>
    <n v="9366"/>
    <d v="2025-07-12T00:00:00"/>
    <n v="11872"/>
    <n v="21238"/>
    <n v="0"/>
  </r>
  <r>
    <x v="755"/>
    <s v="BR014"/>
    <n v="48"/>
    <s v="M"/>
    <s v="&lt;3L"/>
    <s v="online"/>
    <x v="0"/>
    <s v="complete"/>
    <d v="2025-02-01T00:00:00"/>
    <n v="10674"/>
    <d v="2025-07-28T00:00:00"/>
    <n v="1685"/>
    <n v="12359"/>
    <n v="0"/>
  </r>
  <r>
    <x v="756"/>
    <s v="BR020"/>
    <n v="18"/>
    <s v="M"/>
    <s v="3-6L"/>
    <s v="branch"/>
    <x v="0"/>
    <s v="complete"/>
    <d v="2024-02-12T00:00:00"/>
    <n v="87942"/>
    <d v="2025-07-29T00:00:00"/>
    <n v="13435"/>
    <n v="101377"/>
    <n v="0"/>
  </r>
  <r>
    <x v="757"/>
    <s v="BR020"/>
    <n v="20"/>
    <s v="F"/>
    <s v="&gt;10L"/>
    <s v="online"/>
    <x v="1"/>
    <s v="complete"/>
    <d v="2024-04-19T00:00:00"/>
    <n v="7087"/>
    <d v="2025-07-23T00:00:00"/>
    <n v="11158"/>
    <n v="18245"/>
    <n v="0"/>
  </r>
  <r>
    <x v="758"/>
    <s v="BR008"/>
    <n v="33"/>
    <s v="O"/>
    <s v="3-6L"/>
    <s v="branch"/>
    <x v="0"/>
    <s v="complete"/>
    <d v="2021-05-23T00:00:00"/>
    <n v="14093"/>
    <d v="2025-04-25T00:00:00"/>
    <n v="13253"/>
    <n v="27346"/>
    <n v="0"/>
  </r>
  <r>
    <x v="759"/>
    <s v="BR011"/>
    <n v="40"/>
    <s v="M"/>
    <s v="6-10L"/>
    <s v="online"/>
    <x v="0"/>
    <s v="complete"/>
    <d v="2021-06-28T00:00:00"/>
    <n v="3597"/>
    <d v="2025-05-17T00:00:00"/>
    <n v="14613"/>
    <n v="18210"/>
    <n v="0"/>
  </r>
  <r>
    <x v="760"/>
    <s v="BR015"/>
    <n v="28"/>
    <s v="M"/>
    <s v="3-6L"/>
    <s v="branch"/>
    <x v="0"/>
    <s v="complete"/>
    <d v="2021-08-02T00:00:00"/>
    <n v="34213"/>
    <d v="2025-06-11T00:00:00"/>
    <n v="32926"/>
    <n v="67139"/>
    <n v="0"/>
  </r>
  <r>
    <x v="761"/>
    <s v="BR019"/>
    <n v="29"/>
    <s v="F"/>
    <s v="3-6L"/>
    <s v="branch"/>
    <x v="0"/>
    <s v="complete"/>
    <d v="2025-02-22T00:00:00"/>
    <n v="11164"/>
    <d v="2025-07-29T00:00:00"/>
    <n v="24961"/>
    <n v="36125"/>
    <n v="0"/>
  </r>
  <r>
    <x v="762"/>
    <s v="BR008"/>
    <n v="27"/>
    <s v="M"/>
    <s v="&lt;3L"/>
    <s v="online"/>
    <x v="0"/>
    <s v="complete"/>
    <d v="2023-05-30T00:00:00"/>
    <n v="43404"/>
    <d v="2025-07-28T00:00:00"/>
    <n v="15726"/>
    <n v="59130"/>
    <n v="0"/>
  </r>
  <r>
    <x v="763"/>
    <s v="BR013"/>
    <n v="49"/>
    <s v="M"/>
    <s v="&lt;3L"/>
    <s v="online"/>
    <x v="0"/>
    <s v="complete"/>
    <d v="2024-08-17T00:00:00"/>
    <n v="1145"/>
    <d v="2025-07-24T00:00:00"/>
    <n v="8937"/>
    <n v="10082"/>
    <n v="0"/>
  </r>
  <r>
    <x v="764"/>
    <s v="BR018"/>
    <n v="33"/>
    <s v="F"/>
    <s v="6-10L"/>
    <s v="online"/>
    <x v="0"/>
    <s v="complete"/>
    <d v="2021-07-12T00:00:00"/>
    <n v="12605"/>
    <d v="2025-04-17T00:00:00"/>
    <n v="18934"/>
    <n v="31539"/>
    <n v="0"/>
  </r>
  <r>
    <x v="765"/>
    <s v="BR017"/>
    <n v="25"/>
    <s v="M"/>
    <s v="3-6L"/>
    <s v="online"/>
    <x v="0"/>
    <s v="complete"/>
    <d v="2025-04-01T00:00:00"/>
    <n v="15247"/>
    <d v="2025-07-30T00:00:00"/>
    <n v="10028"/>
    <n v="25275"/>
    <n v="0"/>
  </r>
  <r>
    <x v="766"/>
    <s v="BR006"/>
    <n v="55"/>
    <s v="F"/>
    <s v="3-6L"/>
    <s v="branch"/>
    <x v="0"/>
    <s v="complete"/>
    <d v="2024-10-05T00:00:00"/>
    <n v="33240"/>
    <d v="2025-07-11T00:00:00"/>
    <n v="5088"/>
    <n v="38328"/>
    <n v="0"/>
  </r>
  <r>
    <x v="767"/>
    <s v="BR015"/>
    <n v="29"/>
    <s v="F"/>
    <s v="6-10L"/>
    <s v="branch"/>
    <x v="0"/>
    <s v="complete"/>
    <d v="2022-01-12T00:00:00"/>
    <n v="7030"/>
    <d v="2025-07-17T00:00:00"/>
    <n v="-706"/>
    <n v="6324"/>
    <n v="0"/>
  </r>
  <r>
    <x v="768"/>
    <s v="BR013"/>
    <n v="41"/>
    <s v="M"/>
    <s v="&lt;3L"/>
    <s v="online"/>
    <x v="0"/>
    <s v="complete"/>
    <d v="2025-01-02T00:00:00"/>
    <n v="29343"/>
    <d v="2025-07-24T00:00:00"/>
    <n v="7725"/>
    <n v="37068"/>
    <n v="0"/>
  </r>
  <r>
    <x v="769"/>
    <s v="BR018"/>
    <n v="45"/>
    <s v="M"/>
    <s v="&gt;10L"/>
    <s v="branch"/>
    <x v="0"/>
    <s v="complete"/>
    <d v="2022-03-17T00:00:00"/>
    <n v="7884"/>
    <d v="2025-07-24T00:00:00"/>
    <n v="6863"/>
    <n v="14747"/>
    <n v="0"/>
  </r>
  <r>
    <x v="770"/>
    <s v="BR011"/>
    <n v="25"/>
    <s v="F"/>
    <s v="3-6L"/>
    <s v="branch"/>
    <x v="0"/>
    <s v="complete"/>
    <d v="2021-12-10T00:00:00"/>
    <n v="14673"/>
    <d v="2025-06-20T00:00:00"/>
    <n v="17473"/>
    <n v="32146"/>
    <n v="0"/>
  </r>
  <r>
    <x v="771"/>
    <s v="BR013"/>
    <n v="45"/>
    <s v="M"/>
    <s v="3-6L"/>
    <s v="online"/>
    <x v="0"/>
    <s v="complete"/>
    <d v="2022-03-19T00:00:00"/>
    <n v="33589"/>
    <d v="2025-06-07T00:00:00"/>
    <n v="-13013"/>
    <n v="20576"/>
    <n v="0"/>
  </r>
  <r>
    <x v="772"/>
    <s v="BR001"/>
    <n v="53"/>
    <s v="M"/>
    <s v="3-6L"/>
    <s v="branch"/>
    <x v="0"/>
    <s v="complete"/>
    <d v="2025-03-03T00:00:00"/>
    <n v="5272"/>
    <d v="2025-07-29T00:00:00"/>
    <n v="14488"/>
    <n v="19760"/>
    <n v="0"/>
  </r>
  <r>
    <x v="773"/>
    <s v="BR018"/>
    <n v="43"/>
    <s v="F"/>
    <s v="&lt;3L"/>
    <s v="branch"/>
    <x v="0"/>
    <s v="pending"/>
    <d v="2025-03-12T00:00:00"/>
    <n v="28018"/>
    <d v="2025-07-30T00:00:00"/>
    <n v="2652"/>
    <n v="30670"/>
    <n v="0"/>
  </r>
  <r>
    <x v="774"/>
    <s v="BR005"/>
    <n v="25"/>
    <s v="F"/>
    <s v="&lt;3L"/>
    <s v="online"/>
    <x v="0"/>
    <s v="complete"/>
    <d v="2022-07-05T00:00:00"/>
    <n v="18674"/>
    <d v="2025-07-31T00:00:00"/>
    <n v="17112"/>
    <n v="35786"/>
    <n v="0"/>
  </r>
  <r>
    <x v="775"/>
    <s v="BR006"/>
    <n v="67"/>
    <s v="M"/>
    <s v="3-6L"/>
    <s v="online"/>
    <x v="0"/>
    <s v="complete"/>
    <d v="2024-03-26T00:00:00"/>
    <n v="9569"/>
    <d v="2025-07-26T00:00:00"/>
    <n v="5317"/>
    <n v="14886"/>
    <n v="0"/>
  </r>
  <r>
    <x v="776"/>
    <s v="BR001"/>
    <n v="45"/>
    <s v="F"/>
    <s v="6-10L"/>
    <s v="online"/>
    <x v="0"/>
    <s v="complete"/>
    <d v="2024-02-05T00:00:00"/>
    <n v="6849"/>
    <d v="2025-07-09T00:00:00"/>
    <n v="4805"/>
    <n v="11654"/>
    <n v="0"/>
  </r>
  <r>
    <x v="777"/>
    <s v="BR007"/>
    <n v="45"/>
    <s v="M"/>
    <s v="6-10L"/>
    <s v="branch"/>
    <x v="0"/>
    <s v="complete"/>
    <d v="2024-09-11T00:00:00"/>
    <n v="1635"/>
    <d v="2025-07-18T00:00:00"/>
    <n v="23243"/>
    <n v="24878"/>
    <n v="0"/>
  </r>
  <r>
    <x v="778"/>
    <s v="BR004"/>
    <n v="54"/>
    <s v="F"/>
    <s v="&lt;3L"/>
    <s v="branch"/>
    <x v="0"/>
    <s v="complete"/>
    <d v="2022-05-12T00:00:00"/>
    <n v="12329"/>
    <d v="2025-06-19T00:00:00"/>
    <n v="-1109"/>
    <n v="11220"/>
    <n v="0"/>
  </r>
  <r>
    <x v="779"/>
    <s v="BR009"/>
    <n v="58"/>
    <s v="F"/>
    <s v="3-6L"/>
    <s v="branch"/>
    <x v="0"/>
    <s v="complete"/>
    <d v="2023-05-04T00:00:00"/>
    <n v="9585"/>
    <d v="2025-07-07T00:00:00"/>
    <n v="-5083"/>
    <n v="4502"/>
    <n v="0"/>
  </r>
  <r>
    <x v="780"/>
    <s v="BR015"/>
    <n v="53"/>
    <s v="F"/>
    <s v="&lt;3L"/>
    <s v="online"/>
    <x v="0"/>
    <s v="complete"/>
    <d v="2024-01-23T00:00:00"/>
    <n v="25314"/>
    <d v="2025-07-25T00:00:00"/>
    <n v="-5420"/>
    <n v="19894"/>
    <n v="0"/>
  </r>
  <r>
    <x v="781"/>
    <s v="BR006"/>
    <n v="44"/>
    <s v="F"/>
    <s v="&lt;3L"/>
    <s v="online"/>
    <x v="0"/>
    <s v="complete"/>
    <d v="2021-02-13T00:00:00"/>
    <n v="22880"/>
    <d v="2025-05-28T00:00:00"/>
    <n v="-6566"/>
    <n v="16314"/>
    <n v="0"/>
  </r>
  <r>
    <x v="782"/>
    <s v="BR017"/>
    <n v="34"/>
    <s v="O"/>
    <s v="6-10L"/>
    <s v="online"/>
    <x v="0"/>
    <s v="complete"/>
    <d v="2022-09-23T00:00:00"/>
    <n v="38953"/>
    <d v="2025-04-08T00:00:00"/>
    <n v="19838"/>
    <n v="58791"/>
    <n v="0"/>
  </r>
  <r>
    <x v="783"/>
    <s v="BR020"/>
    <n v="26"/>
    <s v="M"/>
    <s v="3-6L"/>
    <s v="online"/>
    <x v="0"/>
    <s v="complete"/>
    <d v="2024-03-10T00:00:00"/>
    <n v="40406"/>
    <d v="2025-06-15T00:00:00"/>
    <n v="-1696"/>
    <n v="38710"/>
    <n v="0"/>
  </r>
  <r>
    <x v="784"/>
    <s v="BR018"/>
    <n v="50"/>
    <s v="F"/>
    <s v="&lt;3L"/>
    <s v="branch"/>
    <x v="0"/>
    <s v="complete"/>
    <d v="2022-02-27T00:00:00"/>
    <n v="300000"/>
    <d v="2025-07-19T00:00:00"/>
    <n v="-13493"/>
    <n v="286507"/>
    <n v="0"/>
  </r>
  <r>
    <x v="785"/>
    <s v="BR004"/>
    <n v="37"/>
    <s v="M"/>
    <s v="&lt;3L"/>
    <s v="branch"/>
    <x v="0"/>
    <s v="complete"/>
    <d v="2025-05-22T00:00:00"/>
    <n v="22329"/>
    <d v="2025-07-29T00:00:00"/>
    <n v="32407"/>
    <n v="54736"/>
    <n v="0"/>
  </r>
  <r>
    <x v="786"/>
    <s v="BR009"/>
    <n v="30"/>
    <s v="M"/>
    <s v="&gt;10L"/>
    <s v="branch"/>
    <x v="0"/>
    <s v="pending"/>
    <d v="2021-02-20T00:00:00"/>
    <n v="5651"/>
    <d v="2025-03-23T00:00:00"/>
    <n v="25472"/>
    <n v="31123"/>
    <n v="0"/>
  </r>
  <r>
    <x v="787"/>
    <s v="BR014"/>
    <n v="45"/>
    <s v="M"/>
    <s v="&lt;3L"/>
    <s v="branch"/>
    <x v="0"/>
    <s v="complete"/>
    <d v="2025-05-22T00:00:00"/>
    <n v="30522"/>
    <d v="2025-07-31T00:00:00"/>
    <n v="10160"/>
    <n v="40682"/>
    <n v="0"/>
  </r>
  <r>
    <x v="788"/>
    <s v="BR003"/>
    <n v="65"/>
    <s v="F"/>
    <s v="3-6L"/>
    <s v="online"/>
    <x v="1"/>
    <s v="complete"/>
    <d v="2021-12-29T00:00:00"/>
    <n v="66563"/>
    <d v="2025-07-29T00:00:00"/>
    <n v="-2122"/>
    <n v="64441"/>
    <n v="0"/>
  </r>
  <r>
    <x v="789"/>
    <s v="BR001"/>
    <n v="46"/>
    <s v="O"/>
    <s v="3-6L"/>
    <s v="online"/>
    <x v="1"/>
    <s v="pending"/>
    <d v="2021-03-23T00:00:00"/>
    <n v="21480"/>
    <d v="2025-05-05T00:00:00"/>
    <n v="10644"/>
    <n v="32124"/>
    <n v="0"/>
  </r>
  <r>
    <x v="790"/>
    <s v="BR011"/>
    <n v="30"/>
    <s v="M"/>
    <s v="&lt;3L"/>
    <s v="online"/>
    <x v="0"/>
    <s v="complete"/>
    <d v="2022-05-05T00:00:00"/>
    <n v="1597"/>
    <d v="2025-04-26T00:00:00"/>
    <n v="25260"/>
    <n v="26857"/>
    <n v="0"/>
  </r>
  <r>
    <x v="791"/>
    <s v="BR001"/>
    <n v="63"/>
    <s v="M"/>
    <s v="&lt;3L"/>
    <s v="branch"/>
    <x v="0"/>
    <s v="complete"/>
    <d v="2024-08-08T00:00:00"/>
    <n v="23280"/>
    <d v="2025-07-24T00:00:00"/>
    <n v="36180"/>
    <n v="59460"/>
    <n v="0"/>
  </r>
  <r>
    <x v="792"/>
    <s v="BR012"/>
    <n v="52"/>
    <s v="F"/>
    <s v="3-6L"/>
    <s v="branch"/>
    <x v="0"/>
    <s v="complete"/>
    <d v="2024-06-12T00:00:00"/>
    <n v="7116"/>
    <d v="2025-06-29T00:00:00"/>
    <n v="17661"/>
    <n v="24777"/>
    <n v="0"/>
  </r>
  <r>
    <x v="793"/>
    <s v="BR009"/>
    <n v="23"/>
    <s v="M"/>
    <s v="6-10L"/>
    <s v="online"/>
    <x v="0"/>
    <s v="complete"/>
    <d v="2021-12-16T00:00:00"/>
    <n v="3562"/>
    <d v="2025-07-10T00:00:00"/>
    <n v="6379"/>
    <n v="9941"/>
    <n v="0"/>
  </r>
  <r>
    <x v="794"/>
    <s v="BR005"/>
    <n v="35"/>
    <s v="M"/>
    <s v="3-6L"/>
    <s v="online"/>
    <x v="0"/>
    <s v="complete"/>
    <d v="2021-11-26T00:00:00"/>
    <n v="16102"/>
    <d v="2025-04-30T00:00:00"/>
    <n v="7443"/>
    <n v="23545"/>
    <n v="0"/>
  </r>
  <r>
    <x v="795"/>
    <s v="BR015"/>
    <n v="68"/>
    <s v="F"/>
    <s v="3-6L"/>
    <s v="online"/>
    <x v="0"/>
    <s v="pending"/>
    <d v="2023-12-12T00:00:00"/>
    <n v="2905"/>
    <d v="2025-07-05T00:00:00"/>
    <n v="-4362"/>
    <n v="-1457"/>
    <n v="0"/>
  </r>
  <r>
    <x v="796"/>
    <s v="BR018"/>
    <n v="22"/>
    <s v="F"/>
    <s v="&gt;10L"/>
    <s v="online"/>
    <x v="1"/>
    <s v="complete"/>
    <d v="2023-02-06T00:00:00"/>
    <n v="37166"/>
    <d v="2025-07-16T00:00:00"/>
    <n v="-1829"/>
    <n v="35337"/>
    <n v="0"/>
  </r>
  <r>
    <x v="797"/>
    <s v="BR009"/>
    <n v="64"/>
    <s v="O"/>
    <s v="6-10L"/>
    <s v="online"/>
    <x v="1"/>
    <s v="complete"/>
    <d v="2024-08-18T00:00:00"/>
    <n v="27747"/>
    <d v="2025-07-17T00:00:00"/>
    <n v="1327"/>
    <n v="29074"/>
    <n v="0"/>
  </r>
  <r>
    <x v="798"/>
    <s v="BR013"/>
    <n v="42"/>
    <s v="M"/>
    <s v="3-6L"/>
    <s v="online"/>
    <x v="0"/>
    <s v="complete"/>
    <d v="2021-02-10T00:00:00"/>
    <n v="12251"/>
    <d v="2025-07-21T00:00:00"/>
    <n v="3337"/>
    <n v="15588"/>
    <n v="0"/>
  </r>
  <r>
    <x v="799"/>
    <s v="BR013"/>
    <n v="19"/>
    <s v="M"/>
    <s v="3-6L"/>
    <s v="online"/>
    <x v="0"/>
    <s v="complete"/>
    <d v="2023-10-19T00:00:00"/>
    <n v="7707"/>
    <d v="2025-07-27T00:00:00"/>
    <n v="-3625"/>
    <n v="4082"/>
    <n v="0"/>
  </r>
  <r>
    <x v="800"/>
    <s v="BR013"/>
    <n v="27"/>
    <s v="F"/>
    <s v="3-6L"/>
    <s v="branch"/>
    <x v="0"/>
    <s v="complete"/>
    <d v="2024-05-07T00:00:00"/>
    <n v="11113"/>
    <d v="2025-07-27T00:00:00"/>
    <n v="800"/>
    <n v="11913"/>
    <n v="0"/>
  </r>
  <r>
    <x v="801"/>
    <s v="BR010"/>
    <n v="47"/>
    <s v="F"/>
    <s v="6-10L"/>
    <s v="online"/>
    <x v="0"/>
    <s v="complete"/>
    <d v="2025-07-20T00:00:00"/>
    <n v="4861"/>
    <d v="2025-07-31T00:00:00"/>
    <n v="5152"/>
    <n v="10013"/>
    <n v="0"/>
  </r>
  <r>
    <x v="802"/>
    <s v="BR010"/>
    <n v="67"/>
    <s v="F"/>
    <s v="3-6L"/>
    <s v="online"/>
    <x v="0"/>
    <s v="complete"/>
    <d v="2024-02-10T00:00:00"/>
    <n v="12369"/>
    <d v="2025-06-16T00:00:00"/>
    <n v="29661"/>
    <n v="42030"/>
    <n v="0"/>
  </r>
  <r>
    <x v="803"/>
    <s v="BR007"/>
    <n v="62"/>
    <s v="F"/>
    <s v="3-6L"/>
    <s v="online"/>
    <x v="0"/>
    <s v="complete"/>
    <d v="2022-01-23T00:00:00"/>
    <n v="777"/>
    <d v="2025-03-16T00:00:00"/>
    <n v="27954"/>
    <n v="28731"/>
    <n v="0"/>
  </r>
  <r>
    <x v="804"/>
    <s v="BR005"/>
    <n v="22"/>
    <s v="M"/>
    <s v="&lt;3L"/>
    <s v="online"/>
    <x v="0"/>
    <s v="complete"/>
    <d v="2021-06-30T00:00:00"/>
    <n v="14599"/>
    <d v="2025-07-16T00:00:00"/>
    <n v="14524"/>
    <n v="29123"/>
    <n v="0"/>
  </r>
  <r>
    <x v="805"/>
    <s v="BR020"/>
    <n v="50"/>
    <s v="F"/>
    <s v="3-6L"/>
    <s v="online"/>
    <x v="0"/>
    <s v="complete"/>
    <d v="2023-12-09T00:00:00"/>
    <n v="14976"/>
    <d v="2025-07-18T00:00:00"/>
    <n v="22218"/>
    <n v="37194"/>
    <n v="0"/>
  </r>
  <r>
    <x v="806"/>
    <s v="BR007"/>
    <n v="18"/>
    <s v="M"/>
    <s v="3-6L"/>
    <s v="online"/>
    <x v="0"/>
    <s v="complete"/>
    <d v="2023-05-26T00:00:00"/>
    <n v="31106"/>
    <d v="2025-06-23T00:00:00"/>
    <n v="9953"/>
    <n v="41059"/>
    <n v="0"/>
  </r>
  <r>
    <x v="807"/>
    <s v="BR020"/>
    <n v="35"/>
    <s v="M"/>
    <s v="&lt;3L"/>
    <s v="online"/>
    <x v="1"/>
    <s v="complete"/>
    <d v="2025-02-13T00:00:00"/>
    <n v="18030"/>
    <d v="2025-07-14T00:00:00"/>
    <n v="42919"/>
    <n v="60949"/>
    <n v="0"/>
  </r>
  <r>
    <x v="808"/>
    <s v="BR010"/>
    <n v="49"/>
    <s v="F"/>
    <s v="&lt;3L"/>
    <s v="online"/>
    <x v="0"/>
    <s v="complete"/>
    <d v="2024-04-30T00:00:00"/>
    <n v="35502"/>
    <d v="2025-07-29T00:00:00"/>
    <n v="9157"/>
    <n v="44659"/>
    <n v="0"/>
  </r>
  <r>
    <x v="809"/>
    <s v="BR010"/>
    <n v="64"/>
    <s v="M"/>
    <s v="3-6L"/>
    <s v="branch"/>
    <x v="0"/>
    <s v="complete"/>
    <d v="2023-05-03T00:00:00"/>
    <n v="23087"/>
    <d v="2025-07-11T00:00:00"/>
    <n v="3261"/>
    <n v="26348"/>
    <n v="0"/>
  </r>
  <r>
    <x v="810"/>
    <s v="BR013"/>
    <n v="66"/>
    <s v="M"/>
    <s v="3-6L"/>
    <s v="online"/>
    <x v="0"/>
    <s v="complete"/>
    <d v="2022-11-07T00:00:00"/>
    <n v="37666"/>
    <d v="2025-07-22T00:00:00"/>
    <n v="-8202"/>
    <n v="29464"/>
    <n v="0"/>
  </r>
  <r>
    <x v="811"/>
    <s v="BR015"/>
    <n v="28"/>
    <s v="F"/>
    <s v="3-6L"/>
    <s v="branch"/>
    <x v="0"/>
    <s v="complete"/>
    <d v="2022-11-08T00:00:00"/>
    <n v="183767"/>
    <d v="2025-07-26T00:00:00"/>
    <n v="22676"/>
    <n v="206443"/>
    <n v="0"/>
  </r>
  <r>
    <x v="812"/>
    <s v="BR006"/>
    <n v="38"/>
    <s v="F"/>
    <s v="3-6L"/>
    <s v="online"/>
    <x v="0"/>
    <s v="complete"/>
    <d v="2022-01-14T00:00:00"/>
    <n v="20333"/>
    <d v="2025-07-11T00:00:00"/>
    <n v="18113"/>
    <n v="38446"/>
    <n v="0"/>
  </r>
  <r>
    <x v="813"/>
    <s v="BR020"/>
    <n v="43"/>
    <s v="F"/>
    <s v="3-6L"/>
    <s v="online"/>
    <x v="0"/>
    <s v="complete"/>
    <d v="2021-01-29T00:00:00"/>
    <n v="16059"/>
    <d v="2025-01-22T00:00:00"/>
    <n v="-657"/>
    <n v="15402"/>
    <n v="1"/>
  </r>
  <r>
    <x v="814"/>
    <s v="BR012"/>
    <n v="42"/>
    <s v="M"/>
    <s v="&lt;3L"/>
    <s v="online"/>
    <x v="1"/>
    <s v="complete"/>
    <d v="2023-08-20T00:00:00"/>
    <n v="43785"/>
    <d v="2025-07-28T00:00:00"/>
    <n v="49071"/>
    <n v="92856"/>
    <n v="0"/>
  </r>
  <r>
    <x v="815"/>
    <s v="BR019"/>
    <n v="39"/>
    <s v="F"/>
    <s v="6-10L"/>
    <s v="online"/>
    <x v="0"/>
    <s v="complete"/>
    <d v="2021-12-22T00:00:00"/>
    <n v="8365"/>
    <d v="2025-07-20T00:00:00"/>
    <n v="25552"/>
    <n v="33917"/>
    <n v="0"/>
  </r>
  <r>
    <x v="816"/>
    <s v="BR011"/>
    <n v="44"/>
    <s v="M"/>
    <s v="6-10L"/>
    <s v="branch"/>
    <x v="0"/>
    <s v="complete"/>
    <d v="2021-12-15T00:00:00"/>
    <n v="11859"/>
    <d v="2025-06-22T00:00:00"/>
    <n v="-2246"/>
    <n v="9613"/>
    <n v="0"/>
  </r>
  <r>
    <x v="817"/>
    <s v="BR006"/>
    <n v="66"/>
    <s v="M"/>
    <s v="6-10L"/>
    <s v="branch"/>
    <x v="0"/>
    <s v="complete"/>
    <d v="2021-07-29T00:00:00"/>
    <n v="20353"/>
    <d v="2025-05-30T00:00:00"/>
    <n v="34412"/>
    <n v="54765"/>
    <n v="0"/>
  </r>
  <r>
    <x v="818"/>
    <s v="BR001"/>
    <n v="30"/>
    <s v="O"/>
    <s v="3-6L"/>
    <s v="branch"/>
    <x v="1"/>
    <s v="complete"/>
    <d v="2021-11-14T00:00:00"/>
    <n v="14363"/>
    <d v="2025-04-26T00:00:00"/>
    <n v="-2216"/>
    <n v="12147"/>
    <n v="0"/>
  </r>
  <r>
    <x v="819"/>
    <s v="BR002"/>
    <n v="50"/>
    <s v="F"/>
    <s v="3-6L"/>
    <s v="branch"/>
    <x v="0"/>
    <s v="complete"/>
    <d v="2021-02-23T00:00:00"/>
    <n v="14299"/>
    <d v="2025-07-19T00:00:00"/>
    <n v="10449"/>
    <n v="24748"/>
    <n v="0"/>
  </r>
  <r>
    <x v="820"/>
    <s v="BR015"/>
    <n v="51"/>
    <s v="F"/>
    <s v="&lt;3L"/>
    <s v="branch"/>
    <x v="0"/>
    <s v="complete"/>
    <d v="2024-02-02T00:00:00"/>
    <n v="32852"/>
    <d v="2025-07-12T00:00:00"/>
    <n v="9765"/>
    <n v="42617"/>
    <n v="0"/>
  </r>
  <r>
    <x v="821"/>
    <s v="BR004"/>
    <n v="58"/>
    <s v="M"/>
    <s v="3-6L"/>
    <s v="online"/>
    <x v="0"/>
    <s v="complete"/>
    <d v="2022-11-03T00:00:00"/>
    <n v="2450"/>
    <d v="2025-04-25T00:00:00"/>
    <n v="21217"/>
    <n v="23667"/>
    <n v="0"/>
  </r>
  <r>
    <x v="822"/>
    <s v="BR005"/>
    <n v="52"/>
    <s v="F"/>
    <s v="&lt;3L"/>
    <s v="online"/>
    <x v="0"/>
    <s v="complete"/>
    <d v="2023-07-29T00:00:00"/>
    <n v="102075"/>
    <d v="2025-07-13T00:00:00"/>
    <n v="8736"/>
    <n v="110811"/>
    <n v="0"/>
  </r>
  <r>
    <x v="823"/>
    <s v="BR015"/>
    <n v="18"/>
    <s v="F"/>
    <s v="&gt;10L"/>
    <s v="branch"/>
    <x v="0"/>
    <s v="complete"/>
    <d v="2023-12-02T00:00:00"/>
    <n v="21718"/>
    <d v="2025-07-30T00:00:00"/>
    <n v="10383"/>
    <n v="32101"/>
    <n v="0"/>
  </r>
  <r>
    <x v="824"/>
    <s v="BR011"/>
    <n v="38"/>
    <s v="F"/>
    <s v="&lt;3L"/>
    <s v="branch"/>
    <x v="0"/>
    <s v="complete"/>
    <d v="2025-06-15T00:00:00"/>
    <n v="8953"/>
    <d v="2025-07-30T00:00:00"/>
    <n v="12940"/>
    <n v="21893"/>
    <n v="0"/>
  </r>
  <r>
    <x v="825"/>
    <s v="BR010"/>
    <n v="65"/>
    <s v="F"/>
    <s v="&lt;3L"/>
    <s v="online"/>
    <x v="0"/>
    <s v="pending"/>
    <d v="2021-04-25T00:00:00"/>
    <n v="68054"/>
    <d v="2025-06-02T00:00:00"/>
    <n v="3540"/>
    <n v="71594"/>
    <n v="0"/>
  </r>
  <r>
    <x v="826"/>
    <s v="BR017"/>
    <n v="23"/>
    <s v="M"/>
    <s v="6-10L"/>
    <s v="branch"/>
    <x v="0"/>
    <s v="complete"/>
    <d v="2022-12-01T00:00:00"/>
    <n v="14817"/>
    <d v="2025-07-07T00:00:00"/>
    <n v="12283"/>
    <n v="27100"/>
    <n v="0"/>
  </r>
  <r>
    <x v="827"/>
    <s v="BR002"/>
    <n v="45"/>
    <s v="M"/>
    <s v="&gt;10L"/>
    <s v="online"/>
    <x v="0"/>
    <s v="complete"/>
    <d v="2022-02-16T00:00:00"/>
    <n v="15213"/>
    <d v="2025-06-28T00:00:00"/>
    <n v="13937"/>
    <n v="29150"/>
    <n v="0"/>
  </r>
  <r>
    <x v="828"/>
    <s v="BR020"/>
    <n v="34"/>
    <s v="F"/>
    <s v="6-10L"/>
    <s v="online"/>
    <x v="0"/>
    <s v="complete"/>
    <d v="2023-03-09T00:00:00"/>
    <n v="10778"/>
    <d v="2025-07-22T00:00:00"/>
    <n v="349"/>
    <n v="11127"/>
    <n v="0"/>
  </r>
  <r>
    <x v="829"/>
    <s v="BR010"/>
    <n v="22"/>
    <s v="M"/>
    <s v="&lt;3L"/>
    <s v="online"/>
    <x v="0"/>
    <s v="complete"/>
    <d v="2025-03-20T00:00:00"/>
    <n v="57971"/>
    <d v="2025-07-24T00:00:00"/>
    <n v="9314"/>
    <n v="67285"/>
    <n v="0"/>
  </r>
  <r>
    <x v="830"/>
    <s v="BR020"/>
    <n v="48"/>
    <s v="M"/>
    <s v="&lt;3L"/>
    <s v="branch"/>
    <x v="0"/>
    <s v="complete"/>
    <d v="2024-04-26T00:00:00"/>
    <n v="13235"/>
    <d v="2025-07-23T00:00:00"/>
    <n v="-6358"/>
    <n v="6877"/>
    <n v="0"/>
  </r>
  <r>
    <x v="831"/>
    <s v="BR003"/>
    <n v="22"/>
    <s v="F"/>
    <s v="3-6L"/>
    <s v="branch"/>
    <x v="0"/>
    <s v="complete"/>
    <d v="2024-01-13T00:00:00"/>
    <n v="7643"/>
    <d v="2025-05-15T00:00:00"/>
    <n v="11615"/>
    <n v="19258"/>
    <n v="0"/>
  </r>
  <r>
    <x v="832"/>
    <s v="BR019"/>
    <n v="55"/>
    <s v="F"/>
    <s v="&lt;3L"/>
    <s v="online"/>
    <x v="0"/>
    <s v="complete"/>
    <d v="2023-01-09T00:00:00"/>
    <n v="36271"/>
    <d v="2025-07-28T00:00:00"/>
    <n v="10633"/>
    <n v="46904"/>
    <n v="0"/>
  </r>
  <r>
    <x v="833"/>
    <s v="BR005"/>
    <n v="20"/>
    <s v="F"/>
    <s v="&lt;3L"/>
    <s v="online"/>
    <x v="1"/>
    <s v="complete"/>
    <d v="2024-01-28T00:00:00"/>
    <n v="43606"/>
    <d v="2025-07-31T00:00:00"/>
    <n v="20101"/>
    <n v="63707"/>
    <n v="0"/>
  </r>
  <r>
    <x v="834"/>
    <s v="BR003"/>
    <n v="40"/>
    <s v="F"/>
    <s v="3-6L"/>
    <s v="online"/>
    <x v="1"/>
    <s v="complete"/>
    <d v="2021-02-24T00:00:00"/>
    <n v="66610"/>
    <d v="2025-04-26T00:00:00"/>
    <n v="11622"/>
    <n v="78232"/>
    <n v="0"/>
  </r>
  <r>
    <x v="835"/>
    <s v="BR008"/>
    <n v="54"/>
    <s v="F"/>
    <s v="&gt;10L"/>
    <s v="branch"/>
    <x v="0"/>
    <s v="complete"/>
    <d v="2023-09-08T00:00:00"/>
    <n v="25175"/>
    <d v="2025-07-04T00:00:00"/>
    <n v="23427"/>
    <n v="48602"/>
    <n v="0"/>
  </r>
  <r>
    <x v="836"/>
    <s v="BR005"/>
    <n v="54"/>
    <s v="M"/>
    <s v="3-6L"/>
    <s v="online"/>
    <x v="0"/>
    <s v="complete"/>
    <d v="2023-07-16T00:00:00"/>
    <n v="42035"/>
    <d v="2025-07-07T00:00:00"/>
    <n v="6236"/>
    <n v="48271"/>
    <n v="0"/>
  </r>
  <r>
    <x v="837"/>
    <s v="BR012"/>
    <n v="27"/>
    <s v="M"/>
    <s v="6-10L"/>
    <s v="online"/>
    <x v="0"/>
    <s v="complete"/>
    <d v="2022-08-03T00:00:00"/>
    <n v="10309"/>
    <d v="2025-07-06T00:00:00"/>
    <n v="25690"/>
    <n v="35999"/>
    <n v="0"/>
  </r>
  <r>
    <x v="838"/>
    <s v="BR014"/>
    <n v="27"/>
    <s v="M"/>
    <s v="6-10L"/>
    <s v="online"/>
    <x v="1"/>
    <s v="complete"/>
    <d v="2021-12-04T00:00:00"/>
    <n v="37265"/>
    <d v="2025-03-11T00:00:00"/>
    <n v="15702"/>
    <n v="52967"/>
    <n v="0"/>
  </r>
  <r>
    <x v="839"/>
    <s v="BR007"/>
    <n v="36"/>
    <s v="M"/>
    <s v="3-6L"/>
    <s v="online"/>
    <x v="0"/>
    <s v="complete"/>
    <d v="2024-09-13T00:00:00"/>
    <n v="28072"/>
    <d v="2025-07-24T00:00:00"/>
    <n v="11545"/>
    <n v="39617"/>
    <n v="0"/>
  </r>
  <r>
    <x v="840"/>
    <s v="BR011"/>
    <n v="34"/>
    <s v="F"/>
    <s v="6-10L"/>
    <s v="online"/>
    <x v="0"/>
    <s v="complete"/>
    <d v="2021-04-01T00:00:00"/>
    <n v="22708"/>
    <d v="2025-07-04T00:00:00"/>
    <n v="-7897"/>
    <n v="14811"/>
    <n v="0"/>
  </r>
  <r>
    <x v="841"/>
    <s v="BR008"/>
    <n v="38"/>
    <s v="M"/>
    <s v="&lt;3L"/>
    <s v="branch"/>
    <x v="0"/>
    <s v="complete"/>
    <d v="2021-04-27T00:00:00"/>
    <n v="2815"/>
    <d v="2025-06-18T00:00:00"/>
    <n v="20331"/>
    <n v="23146"/>
    <n v="0"/>
  </r>
  <r>
    <x v="842"/>
    <s v="BR005"/>
    <n v="31"/>
    <s v="F"/>
    <s v="&lt;3L"/>
    <s v="online"/>
    <x v="1"/>
    <s v="complete"/>
    <d v="2023-01-07T00:00:00"/>
    <n v="9062"/>
    <d v="2025-07-21T00:00:00"/>
    <n v="-552"/>
    <n v="8510"/>
    <n v="0"/>
  </r>
  <r>
    <x v="843"/>
    <s v="BR008"/>
    <n v="26"/>
    <s v="M"/>
    <s v="6-10L"/>
    <s v="branch"/>
    <x v="0"/>
    <s v="complete"/>
    <d v="2022-02-27T00:00:00"/>
    <n v="12763"/>
    <d v="2025-07-31T00:00:00"/>
    <n v="12705"/>
    <n v="25468"/>
    <n v="0"/>
  </r>
  <r>
    <x v="844"/>
    <s v="BR012"/>
    <n v="63"/>
    <s v="M"/>
    <s v="&lt;3L"/>
    <s v="online"/>
    <x v="0"/>
    <s v="complete"/>
    <d v="2024-06-01T00:00:00"/>
    <n v="22734"/>
    <d v="2025-07-26T00:00:00"/>
    <n v="18229"/>
    <n v="40963"/>
    <n v="0"/>
  </r>
  <r>
    <x v="845"/>
    <s v="BR015"/>
    <n v="18"/>
    <s v="M"/>
    <s v="&gt;10L"/>
    <s v="online"/>
    <x v="0"/>
    <s v="complete"/>
    <d v="2023-11-27T00:00:00"/>
    <n v="147375"/>
    <d v="2025-06-22T00:00:00"/>
    <n v="12616"/>
    <n v="159991"/>
    <n v="0"/>
  </r>
  <r>
    <x v="846"/>
    <s v="BR019"/>
    <n v="68"/>
    <s v="M"/>
    <s v="&lt;3L"/>
    <s v="online"/>
    <x v="0"/>
    <s v="complete"/>
    <d v="2024-07-16T00:00:00"/>
    <n v="31547"/>
    <d v="2025-07-20T00:00:00"/>
    <n v="43"/>
    <n v="31590"/>
    <n v="0"/>
  </r>
  <r>
    <x v="847"/>
    <s v="BR016"/>
    <n v="62"/>
    <s v="M"/>
    <s v="3-6L"/>
    <s v="branch"/>
    <x v="0"/>
    <s v="complete"/>
    <d v="2022-06-28T00:00:00"/>
    <n v="5943"/>
    <d v="2025-07-22T00:00:00"/>
    <n v="5051"/>
    <n v="10994"/>
    <n v="0"/>
  </r>
  <r>
    <x v="848"/>
    <s v="BR014"/>
    <n v="30"/>
    <s v="M"/>
    <s v="3-6L"/>
    <s v="branch"/>
    <x v="0"/>
    <s v="pending"/>
    <d v="2024-05-23T00:00:00"/>
    <n v="8265"/>
    <d v="2025-06-23T00:00:00"/>
    <n v="2649"/>
    <n v="10914"/>
    <n v="0"/>
  </r>
  <r>
    <x v="849"/>
    <s v="BR007"/>
    <n v="21"/>
    <s v="M"/>
    <s v="&lt;3L"/>
    <s v="branch"/>
    <x v="0"/>
    <s v="pending"/>
    <d v="2024-12-13T00:00:00"/>
    <n v="53630"/>
    <d v="2025-07-30T00:00:00"/>
    <n v="6826"/>
    <n v="60456"/>
    <n v="0"/>
  </r>
  <r>
    <x v="850"/>
    <s v="BR008"/>
    <n v="18"/>
    <s v="F"/>
    <s v="&lt;3L"/>
    <s v="online"/>
    <x v="1"/>
    <s v="complete"/>
    <d v="2022-08-01T00:00:00"/>
    <n v="7909"/>
    <d v="2025-04-06T00:00:00"/>
    <n v="14468"/>
    <n v="22377"/>
    <n v="0"/>
  </r>
  <r>
    <x v="851"/>
    <s v="BR007"/>
    <n v="66"/>
    <s v="M"/>
    <s v="3-6L"/>
    <s v="online"/>
    <x v="0"/>
    <s v="complete"/>
    <d v="2022-07-23T00:00:00"/>
    <n v="37001"/>
    <d v="2025-07-12T00:00:00"/>
    <n v="10331"/>
    <n v="47332"/>
    <n v="0"/>
  </r>
  <r>
    <x v="852"/>
    <s v="BR018"/>
    <n v="57"/>
    <s v="M"/>
    <s v="6-10L"/>
    <s v="branch"/>
    <x v="0"/>
    <s v="complete"/>
    <d v="2025-02-14T00:00:00"/>
    <n v="15021"/>
    <d v="2025-07-30T00:00:00"/>
    <n v="3253"/>
    <n v="18274"/>
    <n v="0"/>
  </r>
  <r>
    <x v="853"/>
    <s v="BR006"/>
    <n v="49"/>
    <s v="F"/>
    <s v="6-10L"/>
    <s v="branch"/>
    <x v="0"/>
    <s v="complete"/>
    <d v="2021-03-25T00:00:00"/>
    <n v="11312"/>
    <d v="2024-10-17T00:00:00"/>
    <n v="21695"/>
    <n v="33007"/>
    <n v="1"/>
  </r>
  <r>
    <x v="854"/>
    <s v="BR019"/>
    <n v="51"/>
    <s v="M"/>
    <s v="3-6L"/>
    <s v="online"/>
    <x v="0"/>
    <s v="complete"/>
    <d v="2022-08-09T00:00:00"/>
    <n v="8030"/>
    <d v="2025-07-16T00:00:00"/>
    <n v="11926"/>
    <n v="19956"/>
    <n v="0"/>
  </r>
  <r>
    <x v="855"/>
    <s v="BR004"/>
    <n v="45"/>
    <s v="F"/>
    <s v="6-10L"/>
    <s v="branch"/>
    <x v="0"/>
    <s v="complete"/>
    <d v="2021-07-18T00:00:00"/>
    <n v="635"/>
    <d v="2025-07-30T00:00:00"/>
    <n v="9409"/>
    <n v="10044"/>
    <n v="0"/>
  </r>
  <r>
    <x v="856"/>
    <s v="BR003"/>
    <n v="48"/>
    <s v="F"/>
    <s v="6-10L"/>
    <s v="online"/>
    <x v="0"/>
    <s v="complete"/>
    <d v="2021-02-18T00:00:00"/>
    <n v="22920"/>
    <d v="2025-05-11T00:00:00"/>
    <n v="15798"/>
    <n v="38718"/>
    <n v="0"/>
  </r>
  <r>
    <x v="857"/>
    <s v="BR017"/>
    <n v="25"/>
    <s v="M"/>
    <s v="6-10L"/>
    <s v="online"/>
    <x v="0"/>
    <s v="complete"/>
    <d v="2021-07-08T00:00:00"/>
    <n v="4665"/>
    <d v="2025-07-27T00:00:00"/>
    <n v="6385"/>
    <n v="11050"/>
    <n v="0"/>
  </r>
  <r>
    <x v="858"/>
    <s v="BR019"/>
    <n v="56"/>
    <s v="F"/>
    <s v="3-6L"/>
    <s v="online"/>
    <x v="1"/>
    <s v="complete"/>
    <d v="2022-12-23T00:00:00"/>
    <n v="3235"/>
    <d v="2025-07-30T00:00:00"/>
    <n v="9386"/>
    <n v="12621"/>
    <n v="0"/>
  </r>
  <r>
    <x v="859"/>
    <s v="BR015"/>
    <n v="43"/>
    <s v="M"/>
    <s v="3-6L"/>
    <s v="online"/>
    <x v="1"/>
    <s v="complete"/>
    <d v="2024-02-24T00:00:00"/>
    <n v="17116"/>
    <d v="2025-07-17T00:00:00"/>
    <n v="16882"/>
    <n v="33998"/>
    <n v="0"/>
  </r>
  <r>
    <x v="860"/>
    <s v="BR006"/>
    <n v="51"/>
    <s v="F"/>
    <s v="6-10L"/>
    <s v="online"/>
    <x v="1"/>
    <s v="complete"/>
    <d v="2022-04-29T00:00:00"/>
    <n v="37404"/>
    <d v="2025-04-23T00:00:00"/>
    <n v="14945"/>
    <n v="52349"/>
    <n v="0"/>
  </r>
  <r>
    <x v="861"/>
    <s v="BR012"/>
    <n v="20"/>
    <s v="M"/>
    <s v="3-6L"/>
    <s v="online"/>
    <x v="0"/>
    <s v="complete"/>
    <d v="2024-11-22T00:00:00"/>
    <n v="2448"/>
    <d v="2025-07-26T00:00:00"/>
    <n v="-9540"/>
    <n v="-7092"/>
    <n v="0"/>
  </r>
  <r>
    <x v="862"/>
    <s v="BR019"/>
    <n v="67"/>
    <s v="F"/>
    <s v="6-10L"/>
    <s v="online"/>
    <x v="0"/>
    <s v="complete"/>
    <d v="2023-01-03T00:00:00"/>
    <n v="36439"/>
    <d v="2025-05-28T00:00:00"/>
    <n v="-5720"/>
    <n v="30719"/>
    <n v="0"/>
  </r>
  <r>
    <x v="863"/>
    <s v="BR006"/>
    <n v="29"/>
    <s v="M"/>
    <s v="3-6L"/>
    <s v="online"/>
    <x v="0"/>
    <s v="complete"/>
    <d v="2025-06-08T00:00:00"/>
    <n v="5414"/>
    <d v="2025-07-27T00:00:00"/>
    <n v="21672"/>
    <n v="27086"/>
    <n v="0"/>
  </r>
  <r>
    <x v="864"/>
    <s v="BR011"/>
    <n v="18"/>
    <s v="F"/>
    <s v="&lt;3L"/>
    <s v="online"/>
    <x v="0"/>
    <s v="complete"/>
    <d v="2025-05-16T00:00:00"/>
    <n v="25564"/>
    <d v="2025-07-22T00:00:00"/>
    <n v="4965"/>
    <n v="30529"/>
    <n v="0"/>
  </r>
  <r>
    <x v="865"/>
    <s v="BR020"/>
    <n v="61"/>
    <s v="F"/>
    <s v="&lt;3L"/>
    <s v="branch"/>
    <x v="0"/>
    <s v="complete"/>
    <d v="2024-07-17T00:00:00"/>
    <n v="23836"/>
    <d v="2025-07-18T00:00:00"/>
    <n v="-687"/>
    <n v="23149"/>
    <n v="0"/>
  </r>
  <r>
    <x v="866"/>
    <s v="BR020"/>
    <n v="22"/>
    <s v="M"/>
    <s v="3-6L"/>
    <s v="online"/>
    <x v="0"/>
    <s v="complete"/>
    <d v="2025-04-09T00:00:00"/>
    <n v="10866"/>
    <d v="2025-07-27T00:00:00"/>
    <n v="44759"/>
    <n v="55625"/>
    <n v="0"/>
  </r>
  <r>
    <x v="867"/>
    <s v="BR010"/>
    <n v="47"/>
    <s v="M"/>
    <s v="3-6L"/>
    <s v="online"/>
    <x v="0"/>
    <s v="complete"/>
    <d v="2024-03-28T00:00:00"/>
    <n v="13765"/>
    <d v="2025-07-31T00:00:00"/>
    <n v="280"/>
    <n v="14045"/>
    <n v="0"/>
  </r>
  <r>
    <x v="868"/>
    <s v="BR016"/>
    <n v="47"/>
    <s v="F"/>
    <s v="6-10L"/>
    <s v="online"/>
    <x v="0"/>
    <s v="complete"/>
    <d v="2025-02-07T00:00:00"/>
    <n v="8989"/>
    <d v="2025-07-20T00:00:00"/>
    <n v="28829"/>
    <n v="37818"/>
    <n v="0"/>
  </r>
  <r>
    <x v="869"/>
    <s v="BR018"/>
    <n v="34"/>
    <s v="F"/>
    <s v="&lt;3L"/>
    <s v="branch"/>
    <x v="0"/>
    <s v="complete"/>
    <d v="2022-01-31T00:00:00"/>
    <n v="17388"/>
    <d v="2025-07-16T00:00:00"/>
    <n v="10974"/>
    <n v="28362"/>
    <n v="0"/>
  </r>
  <r>
    <x v="870"/>
    <s v="BR014"/>
    <n v="65"/>
    <s v="M"/>
    <s v="6-10L"/>
    <s v="online"/>
    <x v="0"/>
    <s v="complete"/>
    <d v="2022-08-01T00:00:00"/>
    <n v="17235"/>
    <d v="2025-07-12T00:00:00"/>
    <n v="-3317"/>
    <n v="13918"/>
    <n v="0"/>
  </r>
  <r>
    <x v="871"/>
    <s v="BR004"/>
    <n v="64"/>
    <s v="F"/>
    <s v="6-10L"/>
    <s v="online"/>
    <x v="0"/>
    <s v="complete"/>
    <d v="2024-06-13T00:00:00"/>
    <n v="5303"/>
    <d v="2025-07-14T00:00:00"/>
    <n v="-9200"/>
    <n v="-3897"/>
    <n v="0"/>
  </r>
  <r>
    <x v="872"/>
    <s v="BR012"/>
    <n v="40"/>
    <s v="O"/>
    <s v="&lt;3L"/>
    <s v="online"/>
    <x v="0"/>
    <s v="complete"/>
    <d v="2022-12-12T00:00:00"/>
    <n v="3436"/>
    <d v="2025-04-30T00:00:00"/>
    <n v="5903"/>
    <n v="9339"/>
    <n v="0"/>
  </r>
  <r>
    <x v="873"/>
    <s v="BR020"/>
    <n v="32"/>
    <s v="F"/>
    <s v="6-10L"/>
    <s v="branch"/>
    <x v="0"/>
    <s v="pending"/>
    <d v="2024-11-01T00:00:00"/>
    <n v="36620"/>
    <d v="2025-07-20T00:00:00"/>
    <n v="881"/>
    <n v="37501"/>
    <n v="0"/>
  </r>
  <r>
    <x v="874"/>
    <s v="BR008"/>
    <n v="54"/>
    <s v="M"/>
    <s v="&gt;10L"/>
    <s v="online"/>
    <x v="0"/>
    <s v="complete"/>
    <d v="2025-01-08T00:00:00"/>
    <n v="16383"/>
    <d v="2025-07-16T00:00:00"/>
    <n v="27746"/>
    <n v="44129"/>
    <n v="0"/>
  </r>
  <r>
    <x v="875"/>
    <s v="BR007"/>
    <n v="38"/>
    <s v="F"/>
    <s v="6-10L"/>
    <s v="online"/>
    <x v="1"/>
    <s v="pending"/>
    <d v="2022-05-17T00:00:00"/>
    <n v="31883"/>
    <d v="2025-03-16T00:00:00"/>
    <n v="28248"/>
    <n v="60131"/>
    <n v="0"/>
  </r>
  <r>
    <x v="876"/>
    <s v="BR009"/>
    <n v="31"/>
    <s v="M"/>
    <s v="6-10L"/>
    <s v="online"/>
    <x v="0"/>
    <s v="complete"/>
    <d v="2024-10-09T00:00:00"/>
    <n v="6834"/>
    <d v="2025-07-29T00:00:00"/>
    <n v="13979"/>
    <n v="20813"/>
    <n v="0"/>
  </r>
  <r>
    <x v="877"/>
    <s v="BR017"/>
    <n v="19"/>
    <s v="O"/>
    <s v="&gt;10L"/>
    <s v="online"/>
    <x v="1"/>
    <s v="complete"/>
    <d v="2021-09-16T00:00:00"/>
    <n v="5858"/>
    <d v="2025-07-02T00:00:00"/>
    <n v="9430"/>
    <n v="15288"/>
    <n v="0"/>
  </r>
  <r>
    <x v="878"/>
    <s v="BR010"/>
    <n v="28"/>
    <s v="F"/>
    <s v="3-6L"/>
    <s v="branch"/>
    <x v="0"/>
    <s v="complete"/>
    <d v="2022-07-14T00:00:00"/>
    <n v="4857"/>
    <d v="2025-06-17T00:00:00"/>
    <n v="15258"/>
    <n v="20115"/>
    <n v="0"/>
  </r>
  <r>
    <x v="879"/>
    <s v="BR003"/>
    <n v="68"/>
    <s v="M"/>
    <s v="3-6L"/>
    <s v="branch"/>
    <x v="0"/>
    <s v="complete"/>
    <d v="2023-05-17T00:00:00"/>
    <n v="11151"/>
    <d v="2025-04-04T00:00:00"/>
    <n v="13538"/>
    <n v="24689"/>
    <n v="0"/>
  </r>
  <r>
    <x v="880"/>
    <s v="BR008"/>
    <n v="56"/>
    <s v="F"/>
    <s v="6-10L"/>
    <s v="branch"/>
    <x v="0"/>
    <s v="complete"/>
    <d v="2022-01-14T00:00:00"/>
    <n v="16856"/>
    <d v="2025-06-05T00:00:00"/>
    <n v="22324"/>
    <n v="39180"/>
    <n v="0"/>
  </r>
  <r>
    <x v="881"/>
    <s v="BR014"/>
    <n v="55"/>
    <s v="M"/>
    <s v="3-6L"/>
    <s v="branch"/>
    <x v="0"/>
    <s v="complete"/>
    <d v="2023-08-28T00:00:00"/>
    <n v="7756"/>
    <d v="2025-07-12T00:00:00"/>
    <n v="14634"/>
    <n v="22390"/>
    <n v="0"/>
  </r>
  <r>
    <x v="882"/>
    <s v="BR007"/>
    <n v="51"/>
    <s v="O"/>
    <s v="3-6L"/>
    <s v="online"/>
    <x v="0"/>
    <s v="complete"/>
    <d v="2023-08-27T00:00:00"/>
    <n v="63884"/>
    <d v="2025-07-23T00:00:00"/>
    <n v="-14987"/>
    <n v="48897"/>
    <n v="0"/>
  </r>
  <r>
    <x v="883"/>
    <s v="BR016"/>
    <n v="55"/>
    <s v="O"/>
    <s v="3-6L"/>
    <s v="online"/>
    <x v="0"/>
    <s v="complete"/>
    <d v="2021-12-13T00:00:00"/>
    <n v="7029"/>
    <d v="2025-06-10T00:00:00"/>
    <n v="10958"/>
    <n v="17987"/>
    <n v="0"/>
  </r>
  <r>
    <x v="884"/>
    <s v="BR018"/>
    <n v="67"/>
    <s v="F"/>
    <s v="6-10L"/>
    <s v="branch"/>
    <x v="0"/>
    <s v="complete"/>
    <d v="2024-08-24T00:00:00"/>
    <n v="17134"/>
    <d v="2025-07-25T00:00:00"/>
    <n v="15085"/>
    <n v="32219"/>
    <n v="0"/>
  </r>
  <r>
    <x v="885"/>
    <s v="BR011"/>
    <n v="51"/>
    <s v="M"/>
    <s v="&lt;3L"/>
    <s v="online"/>
    <x v="0"/>
    <s v="complete"/>
    <d v="2023-11-23T00:00:00"/>
    <n v="5525"/>
    <d v="2025-07-01T00:00:00"/>
    <n v="2968"/>
    <n v="8493"/>
    <n v="0"/>
  </r>
  <r>
    <x v="886"/>
    <s v="BR006"/>
    <n v="35"/>
    <s v="F"/>
    <s v="&gt;10L"/>
    <s v="branch"/>
    <x v="0"/>
    <s v="complete"/>
    <d v="2022-06-16T00:00:00"/>
    <n v="6815"/>
    <d v="2025-06-29T00:00:00"/>
    <n v="10130"/>
    <n v="16945"/>
    <n v="0"/>
  </r>
  <r>
    <x v="887"/>
    <s v="BR020"/>
    <n v="47"/>
    <s v="M"/>
    <s v="3-6L"/>
    <s v="online"/>
    <x v="0"/>
    <s v="complete"/>
    <d v="2022-01-24T00:00:00"/>
    <n v="12255"/>
    <d v="2025-07-01T00:00:00"/>
    <n v="19574"/>
    <n v="31829"/>
    <n v="0"/>
  </r>
  <r>
    <x v="888"/>
    <s v="BR014"/>
    <n v="32"/>
    <s v="M"/>
    <s v="&lt;3L"/>
    <s v="online"/>
    <x v="0"/>
    <s v="complete"/>
    <d v="2025-01-10T00:00:00"/>
    <n v="5810"/>
    <d v="2025-07-27T00:00:00"/>
    <n v="12768"/>
    <n v="18578"/>
    <n v="0"/>
  </r>
  <r>
    <x v="889"/>
    <s v="BR013"/>
    <n v="44"/>
    <s v="F"/>
    <s v="3-6L"/>
    <s v="branch"/>
    <x v="0"/>
    <s v="complete"/>
    <d v="2024-10-30T00:00:00"/>
    <n v="14609"/>
    <d v="2025-07-31T00:00:00"/>
    <n v="-14729"/>
    <n v="-120"/>
    <n v="0"/>
  </r>
  <r>
    <x v="890"/>
    <s v="BR004"/>
    <n v="68"/>
    <s v="M"/>
    <s v="&lt;3L"/>
    <s v="branch"/>
    <x v="0"/>
    <s v="complete"/>
    <d v="2022-01-20T00:00:00"/>
    <n v="20749"/>
    <d v="2025-06-11T00:00:00"/>
    <n v="-3785"/>
    <n v="16964"/>
    <n v="0"/>
  </r>
  <r>
    <x v="891"/>
    <s v="BR020"/>
    <n v="51"/>
    <s v="M"/>
    <s v="6-10L"/>
    <s v="branch"/>
    <x v="0"/>
    <s v="complete"/>
    <d v="2021-03-01T00:00:00"/>
    <n v="39870"/>
    <d v="2025-07-22T00:00:00"/>
    <n v="14179"/>
    <n v="54049"/>
    <n v="0"/>
  </r>
  <r>
    <x v="892"/>
    <s v="BR020"/>
    <n v="69"/>
    <s v="O"/>
    <s v="&gt;10L"/>
    <s v="online"/>
    <x v="0"/>
    <s v="complete"/>
    <d v="2024-09-07T00:00:00"/>
    <n v="4537"/>
    <d v="2025-07-02T00:00:00"/>
    <n v="-7386"/>
    <n v="-2849"/>
    <n v="0"/>
  </r>
  <r>
    <x v="893"/>
    <s v="BR011"/>
    <n v="55"/>
    <s v="M"/>
    <s v="6-10L"/>
    <s v="branch"/>
    <x v="0"/>
    <s v="complete"/>
    <d v="2023-10-27T00:00:00"/>
    <n v="15801"/>
    <d v="2025-07-20T00:00:00"/>
    <n v="14231"/>
    <n v="30032"/>
    <n v="0"/>
  </r>
  <r>
    <x v="894"/>
    <s v="BR018"/>
    <n v="50"/>
    <s v="M"/>
    <s v="&lt;3L"/>
    <s v="online"/>
    <x v="1"/>
    <s v="complete"/>
    <d v="2021-06-18T00:00:00"/>
    <n v="12557"/>
    <d v="2025-07-11T00:00:00"/>
    <n v="11960"/>
    <n v="24517"/>
    <n v="0"/>
  </r>
  <r>
    <x v="895"/>
    <s v="BR001"/>
    <n v="41"/>
    <s v="F"/>
    <s v="&lt;3L"/>
    <s v="online"/>
    <x v="0"/>
    <s v="complete"/>
    <d v="2023-09-10T00:00:00"/>
    <n v="2104"/>
    <d v="2025-07-31T00:00:00"/>
    <n v="2737"/>
    <n v="4841"/>
    <n v="0"/>
  </r>
  <r>
    <x v="896"/>
    <s v="BR012"/>
    <n v="32"/>
    <s v="M"/>
    <s v="6-10L"/>
    <s v="branch"/>
    <x v="0"/>
    <s v="complete"/>
    <d v="2023-01-27T00:00:00"/>
    <n v="4321"/>
    <d v="2025-07-22T00:00:00"/>
    <n v="13581"/>
    <n v="17902"/>
    <n v="0"/>
  </r>
  <r>
    <x v="897"/>
    <s v="BR018"/>
    <n v="47"/>
    <s v="F"/>
    <s v="&gt;10L"/>
    <s v="branch"/>
    <x v="0"/>
    <s v="complete"/>
    <d v="2024-07-19T00:00:00"/>
    <n v="21481"/>
    <d v="2025-07-18T00:00:00"/>
    <n v="15254"/>
    <n v="36735"/>
    <n v="0"/>
  </r>
  <r>
    <x v="898"/>
    <s v="BR007"/>
    <n v="59"/>
    <s v="O"/>
    <s v="3-6L"/>
    <s v="online"/>
    <x v="0"/>
    <s v="complete"/>
    <d v="2021-12-16T00:00:00"/>
    <n v="3454"/>
    <d v="2025-07-29T00:00:00"/>
    <n v="20121"/>
    <n v="23575"/>
    <n v="0"/>
  </r>
  <r>
    <x v="899"/>
    <s v="BR012"/>
    <n v="68"/>
    <s v="F"/>
    <s v="3-6L"/>
    <s v="branch"/>
    <x v="0"/>
    <s v="complete"/>
    <d v="2023-01-29T00:00:00"/>
    <n v="12414"/>
    <d v="2025-06-17T00:00:00"/>
    <n v="19807"/>
    <n v="32221"/>
    <n v="0"/>
  </r>
  <r>
    <x v="900"/>
    <s v="BR001"/>
    <n v="34"/>
    <s v="F"/>
    <s v="3-6L"/>
    <s v="online"/>
    <x v="0"/>
    <s v="complete"/>
    <d v="2021-09-19T00:00:00"/>
    <n v="1600"/>
    <d v="2025-06-07T00:00:00"/>
    <n v="45078"/>
    <n v="46678"/>
    <n v="0"/>
  </r>
  <r>
    <x v="901"/>
    <s v="BR004"/>
    <n v="22"/>
    <s v="M"/>
    <s v="6-10L"/>
    <s v="online"/>
    <x v="0"/>
    <s v="complete"/>
    <d v="2025-05-21T00:00:00"/>
    <n v="12053"/>
    <d v="2025-07-31T00:00:00"/>
    <n v="15219"/>
    <n v="27272"/>
    <n v="0"/>
  </r>
  <r>
    <x v="902"/>
    <s v="BR018"/>
    <n v="46"/>
    <s v="M"/>
    <s v="3-6L"/>
    <s v="online"/>
    <x v="0"/>
    <s v="complete"/>
    <d v="2024-07-26T00:00:00"/>
    <n v="1714"/>
    <d v="2025-07-29T00:00:00"/>
    <n v="2765"/>
    <n v="4479"/>
    <n v="0"/>
  </r>
  <r>
    <x v="903"/>
    <s v="BR015"/>
    <n v="21"/>
    <s v="F"/>
    <s v="3-6L"/>
    <s v="branch"/>
    <x v="0"/>
    <s v="complete"/>
    <d v="2024-05-17T00:00:00"/>
    <n v="7298"/>
    <d v="2025-07-29T00:00:00"/>
    <n v="-3801"/>
    <n v="3497"/>
    <n v="0"/>
  </r>
  <r>
    <x v="904"/>
    <s v="BR003"/>
    <n v="27"/>
    <s v="F"/>
    <s v="3-6L"/>
    <s v="online"/>
    <x v="0"/>
    <s v="complete"/>
    <d v="2024-02-29T00:00:00"/>
    <n v="8624"/>
    <d v="2025-07-28T00:00:00"/>
    <n v="7424"/>
    <n v="16048"/>
    <n v="0"/>
  </r>
  <r>
    <x v="905"/>
    <s v="BR007"/>
    <n v="34"/>
    <s v="F"/>
    <s v="6-10L"/>
    <s v="branch"/>
    <x v="0"/>
    <s v="complete"/>
    <d v="2022-12-10T00:00:00"/>
    <n v="15109"/>
    <d v="2025-07-12T00:00:00"/>
    <n v="-7728"/>
    <n v="7381"/>
    <n v="0"/>
  </r>
  <r>
    <x v="906"/>
    <s v="BR006"/>
    <n v="27"/>
    <s v="M"/>
    <s v="&lt;3L"/>
    <s v="online"/>
    <x v="0"/>
    <s v="complete"/>
    <d v="2025-03-25T00:00:00"/>
    <n v="10378"/>
    <d v="2025-07-25T00:00:00"/>
    <n v="-11197"/>
    <n v="-819"/>
    <n v="0"/>
  </r>
  <r>
    <x v="907"/>
    <s v="BR015"/>
    <n v="34"/>
    <s v="M"/>
    <s v="3-6L"/>
    <s v="branch"/>
    <x v="1"/>
    <s v="complete"/>
    <d v="2021-05-02T00:00:00"/>
    <n v="3882"/>
    <d v="2025-02-02T00:00:00"/>
    <n v="5720"/>
    <n v="9602"/>
    <n v="0"/>
  </r>
  <r>
    <x v="908"/>
    <s v="BR015"/>
    <n v="37"/>
    <s v="M"/>
    <s v="3-6L"/>
    <s v="online"/>
    <x v="0"/>
    <s v="complete"/>
    <d v="2024-09-05T00:00:00"/>
    <n v="3955"/>
    <d v="2025-07-08T00:00:00"/>
    <n v="26484"/>
    <n v="30439"/>
    <n v="0"/>
  </r>
  <r>
    <x v="909"/>
    <s v="BR006"/>
    <n v="41"/>
    <s v="F"/>
    <s v="&lt;3L"/>
    <s v="branch"/>
    <x v="0"/>
    <s v="complete"/>
    <d v="2021-12-27T00:00:00"/>
    <n v="2659"/>
    <d v="2025-07-09T00:00:00"/>
    <n v="3003"/>
    <n v="5662"/>
    <n v="0"/>
  </r>
  <r>
    <x v="910"/>
    <s v="BR008"/>
    <n v="22"/>
    <s v="M"/>
    <s v="&lt;3L"/>
    <s v="online"/>
    <x v="0"/>
    <s v="complete"/>
    <d v="2022-06-27T00:00:00"/>
    <n v="16424"/>
    <d v="2025-06-21T00:00:00"/>
    <n v="29896"/>
    <n v="46320"/>
    <n v="0"/>
  </r>
  <r>
    <x v="911"/>
    <s v="BR008"/>
    <n v="51"/>
    <s v="F"/>
    <s v="6-10L"/>
    <s v="branch"/>
    <x v="1"/>
    <s v="complete"/>
    <d v="2023-05-20T00:00:00"/>
    <n v="15715"/>
    <d v="2025-07-26T00:00:00"/>
    <n v="5049"/>
    <n v="20764"/>
    <n v="0"/>
  </r>
  <r>
    <x v="912"/>
    <s v="BR001"/>
    <n v="23"/>
    <s v="F"/>
    <s v="6-10L"/>
    <s v="branch"/>
    <x v="0"/>
    <s v="complete"/>
    <d v="2024-08-02T00:00:00"/>
    <n v="26093"/>
    <d v="2025-07-31T00:00:00"/>
    <n v="16900"/>
    <n v="42993"/>
    <n v="0"/>
  </r>
  <r>
    <x v="913"/>
    <s v="BR013"/>
    <n v="19"/>
    <s v="M"/>
    <s v="6-10L"/>
    <s v="branch"/>
    <x v="0"/>
    <s v="complete"/>
    <d v="2024-11-03T00:00:00"/>
    <n v="8102"/>
    <d v="2025-07-26T00:00:00"/>
    <n v="8819"/>
    <n v="16921"/>
    <n v="0"/>
  </r>
  <r>
    <x v="914"/>
    <s v="BR013"/>
    <n v="30"/>
    <s v="F"/>
    <s v="6-10L"/>
    <s v="online"/>
    <x v="0"/>
    <s v="complete"/>
    <d v="2023-09-04T00:00:00"/>
    <n v="2358"/>
    <d v="2025-07-27T00:00:00"/>
    <n v="11813"/>
    <n v="14171"/>
    <n v="0"/>
  </r>
  <r>
    <x v="915"/>
    <s v="BR011"/>
    <n v="60"/>
    <s v="M"/>
    <s v="3-6L"/>
    <s v="branch"/>
    <x v="0"/>
    <s v="complete"/>
    <d v="2022-11-06T00:00:00"/>
    <n v="9740"/>
    <d v="2025-07-14T00:00:00"/>
    <n v="1767"/>
    <n v="11507"/>
    <n v="0"/>
  </r>
  <r>
    <x v="916"/>
    <s v="BR004"/>
    <n v="60"/>
    <s v="F"/>
    <s v="6-10L"/>
    <s v="online"/>
    <x v="0"/>
    <s v="complete"/>
    <d v="2025-05-03T00:00:00"/>
    <n v="13508"/>
    <d v="2025-07-29T00:00:00"/>
    <n v="7736"/>
    <n v="21244"/>
    <n v="0"/>
  </r>
  <r>
    <x v="917"/>
    <s v="BR007"/>
    <n v="65"/>
    <s v="F"/>
    <s v="3-6L"/>
    <s v="branch"/>
    <x v="0"/>
    <s v="complete"/>
    <d v="2022-02-17T00:00:00"/>
    <n v="4168"/>
    <d v="2025-06-10T00:00:00"/>
    <n v="5792"/>
    <n v="9960"/>
    <n v="0"/>
  </r>
  <r>
    <x v="918"/>
    <s v="BR012"/>
    <n v="28"/>
    <s v="F"/>
    <s v="6-10L"/>
    <s v="branch"/>
    <x v="1"/>
    <s v="complete"/>
    <d v="2024-09-05T00:00:00"/>
    <n v="4583"/>
    <d v="2025-07-06T00:00:00"/>
    <n v="7782"/>
    <n v="12365"/>
    <n v="0"/>
  </r>
  <r>
    <x v="919"/>
    <s v="BR013"/>
    <n v="68"/>
    <s v="F"/>
    <s v="&gt;10L"/>
    <s v="online"/>
    <x v="0"/>
    <s v="complete"/>
    <d v="2023-10-21T00:00:00"/>
    <n v="20972"/>
    <d v="2025-07-16T00:00:00"/>
    <n v="5992"/>
    <n v="26964"/>
    <n v="0"/>
  </r>
  <r>
    <x v="920"/>
    <s v="BR012"/>
    <n v="64"/>
    <s v="M"/>
    <s v="&lt;3L"/>
    <s v="online"/>
    <x v="0"/>
    <s v="complete"/>
    <d v="2022-09-23T00:00:00"/>
    <n v="14774"/>
    <d v="2025-07-18T00:00:00"/>
    <n v="22716"/>
    <n v="37490"/>
    <n v="0"/>
  </r>
  <r>
    <x v="921"/>
    <s v="BR016"/>
    <n v="40"/>
    <s v="M"/>
    <s v="3-6L"/>
    <s v="online"/>
    <x v="0"/>
    <s v="complete"/>
    <d v="2021-01-03T00:00:00"/>
    <n v="41476"/>
    <d v="2025-06-11T00:00:00"/>
    <n v="4527"/>
    <n v="46003"/>
    <n v="0"/>
  </r>
  <r>
    <x v="922"/>
    <s v="BR006"/>
    <n v="33"/>
    <s v="F"/>
    <s v="3-6L"/>
    <s v="online"/>
    <x v="0"/>
    <s v="complete"/>
    <d v="2023-01-18T00:00:00"/>
    <n v="74765"/>
    <d v="2025-06-26T00:00:00"/>
    <n v="24962"/>
    <n v="99727"/>
    <n v="0"/>
  </r>
  <r>
    <x v="923"/>
    <s v="BR014"/>
    <n v="48"/>
    <s v="M"/>
    <s v="&lt;3L"/>
    <s v="branch"/>
    <x v="1"/>
    <s v="complete"/>
    <d v="2022-04-08T00:00:00"/>
    <n v="2973"/>
    <d v="2025-07-31T00:00:00"/>
    <n v="21861"/>
    <n v="24834"/>
    <n v="0"/>
  </r>
  <r>
    <x v="924"/>
    <s v="BR019"/>
    <n v="28"/>
    <s v="M"/>
    <s v="&lt;3L"/>
    <s v="online"/>
    <x v="0"/>
    <s v="complete"/>
    <d v="2021-06-24T00:00:00"/>
    <n v="8788"/>
    <d v="2024-12-27T00:00:00"/>
    <n v="9700"/>
    <n v="18488"/>
    <n v="1"/>
  </r>
  <r>
    <x v="925"/>
    <s v="BR016"/>
    <n v="33"/>
    <s v="M"/>
    <s v="6-10L"/>
    <s v="online"/>
    <x v="0"/>
    <s v="complete"/>
    <d v="2021-05-06T00:00:00"/>
    <n v="15118"/>
    <d v="2025-07-25T00:00:00"/>
    <n v="29878"/>
    <n v="44996"/>
    <n v="0"/>
  </r>
  <r>
    <x v="926"/>
    <s v="BR004"/>
    <n v="25"/>
    <s v="F"/>
    <s v="&gt;10L"/>
    <s v="online"/>
    <x v="0"/>
    <s v="complete"/>
    <d v="2022-08-05T00:00:00"/>
    <n v="19217"/>
    <d v="2025-04-16T00:00:00"/>
    <n v="15654"/>
    <n v="34871"/>
    <n v="0"/>
  </r>
  <r>
    <x v="927"/>
    <s v="BR005"/>
    <n v="21"/>
    <s v="M"/>
    <s v="3-6L"/>
    <s v="online"/>
    <x v="0"/>
    <s v="complete"/>
    <d v="2023-10-26T00:00:00"/>
    <n v="36897"/>
    <d v="2025-06-23T00:00:00"/>
    <n v="7145"/>
    <n v="44042"/>
    <n v="0"/>
  </r>
  <r>
    <x v="928"/>
    <s v="BR009"/>
    <n v="57"/>
    <s v="F"/>
    <s v="&lt;3L"/>
    <s v="online"/>
    <x v="0"/>
    <s v="complete"/>
    <d v="2024-11-02T00:00:00"/>
    <n v="27684"/>
    <d v="2025-07-09T00:00:00"/>
    <n v="-31952"/>
    <n v="-4268"/>
    <n v="0"/>
  </r>
  <r>
    <x v="929"/>
    <s v="BR003"/>
    <n v="21"/>
    <s v="O"/>
    <s v="&lt;3L"/>
    <s v="branch"/>
    <x v="1"/>
    <s v="complete"/>
    <d v="2021-11-04T00:00:00"/>
    <n v="41707"/>
    <d v="2025-06-16T00:00:00"/>
    <n v="18895"/>
    <n v="60602"/>
    <n v="0"/>
  </r>
  <r>
    <x v="930"/>
    <s v="BR010"/>
    <n v="42"/>
    <s v="M"/>
    <s v="6-10L"/>
    <s v="online"/>
    <x v="1"/>
    <s v="complete"/>
    <d v="2022-12-12T00:00:00"/>
    <n v="14205"/>
    <d v="2025-07-28T00:00:00"/>
    <n v="22376"/>
    <n v="36581"/>
    <n v="0"/>
  </r>
  <r>
    <x v="931"/>
    <s v="BR017"/>
    <n v="20"/>
    <s v="M"/>
    <s v="3-6L"/>
    <s v="branch"/>
    <x v="0"/>
    <s v="complete"/>
    <d v="2022-10-18T00:00:00"/>
    <n v="7126"/>
    <d v="2025-07-18T00:00:00"/>
    <n v="3546"/>
    <n v="10672"/>
    <n v="0"/>
  </r>
  <r>
    <x v="932"/>
    <s v="BR019"/>
    <n v="49"/>
    <s v="M"/>
    <s v="3-6L"/>
    <s v="online"/>
    <x v="0"/>
    <s v="complete"/>
    <d v="2023-05-09T00:00:00"/>
    <n v="93897"/>
    <d v="2025-04-17T00:00:00"/>
    <n v="8340"/>
    <n v="102237"/>
    <n v="0"/>
  </r>
  <r>
    <x v="933"/>
    <s v="BR010"/>
    <n v="20"/>
    <s v="F"/>
    <s v="3-6L"/>
    <s v="online"/>
    <x v="0"/>
    <s v="complete"/>
    <d v="2024-09-16T00:00:00"/>
    <n v="15573"/>
    <d v="2025-07-28T00:00:00"/>
    <n v="20834"/>
    <n v="36407"/>
    <n v="0"/>
  </r>
  <r>
    <x v="934"/>
    <s v="BR012"/>
    <n v="44"/>
    <s v="M"/>
    <s v="3-6L"/>
    <s v="branch"/>
    <x v="1"/>
    <s v="complete"/>
    <d v="2023-07-16T00:00:00"/>
    <n v="10490"/>
    <d v="2025-07-05T00:00:00"/>
    <n v="14917"/>
    <n v="25407"/>
    <n v="0"/>
  </r>
  <r>
    <x v="935"/>
    <s v="BR007"/>
    <n v="46"/>
    <s v="M"/>
    <s v="3-6L"/>
    <s v="online"/>
    <x v="0"/>
    <s v="complete"/>
    <d v="2024-11-17T00:00:00"/>
    <n v="4572"/>
    <d v="2025-07-29T00:00:00"/>
    <n v="9994"/>
    <n v="14566"/>
    <n v="0"/>
  </r>
  <r>
    <x v="936"/>
    <s v="BR018"/>
    <n v="49"/>
    <s v="M"/>
    <s v="6-10L"/>
    <s v="online"/>
    <x v="0"/>
    <s v="complete"/>
    <d v="2023-05-18T00:00:00"/>
    <n v="15669"/>
    <d v="2025-07-23T00:00:00"/>
    <n v="1690"/>
    <n v="17359"/>
    <n v="0"/>
  </r>
  <r>
    <x v="937"/>
    <s v="BR019"/>
    <n v="67"/>
    <s v="F"/>
    <s v="3-6L"/>
    <s v="online"/>
    <x v="0"/>
    <s v="complete"/>
    <d v="2023-10-08T00:00:00"/>
    <n v="36479"/>
    <d v="2025-07-21T00:00:00"/>
    <n v="11191"/>
    <n v="47670"/>
    <n v="0"/>
  </r>
  <r>
    <x v="938"/>
    <s v="BR015"/>
    <n v="68"/>
    <s v="M"/>
    <s v="6-10L"/>
    <s v="online"/>
    <x v="0"/>
    <s v="complete"/>
    <d v="2023-01-02T00:00:00"/>
    <n v="8099"/>
    <d v="2025-07-09T00:00:00"/>
    <n v="-1458"/>
    <n v="6641"/>
    <n v="0"/>
  </r>
  <r>
    <x v="939"/>
    <s v="BR007"/>
    <n v="36"/>
    <s v="F"/>
    <s v="3-6L"/>
    <s v="online"/>
    <x v="1"/>
    <s v="complete"/>
    <d v="2024-10-09T00:00:00"/>
    <n v="11692"/>
    <d v="2025-07-21T00:00:00"/>
    <n v="-7505"/>
    <n v="4187"/>
    <n v="0"/>
  </r>
  <r>
    <x v="940"/>
    <s v="BR012"/>
    <n v="38"/>
    <s v="F"/>
    <s v="6-10L"/>
    <s v="online"/>
    <x v="0"/>
    <s v="complete"/>
    <d v="2025-03-26T00:00:00"/>
    <n v="17140"/>
    <d v="2025-07-27T00:00:00"/>
    <n v="18322"/>
    <n v="35462"/>
    <n v="0"/>
  </r>
  <r>
    <x v="941"/>
    <s v="BR007"/>
    <n v="22"/>
    <s v="M"/>
    <s v="6-10L"/>
    <s v="online"/>
    <x v="0"/>
    <s v="complete"/>
    <d v="2023-12-06T00:00:00"/>
    <n v="21422"/>
    <d v="2025-07-19T00:00:00"/>
    <n v="17109"/>
    <n v="38531"/>
    <n v="0"/>
  </r>
  <r>
    <x v="942"/>
    <s v="BR010"/>
    <n v="35"/>
    <s v="F"/>
    <s v="&lt;3L"/>
    <s v="online"/>
    <x v="0"/>
    <s v="complete"/>
    <d v="2024-10-05T00:00:00"/>
    <n v="10303"/>
    <d v="2025-07-28T00:00:00"/>
    <n v="5200"/>
    <n v="15503"/>
    <n v="0"/>
  </r>
  <r>
    <x v="943"/>
    <s v="BR020"/>
    <n v="45"/>
    <s v="M"/>
    <s v="3-6L"/>
    <s v="online"/>
    <x v="0"/>
    <s v="complete"/>
    <d v="2021-04-09T00:00:00"/>
    <n v="9013"/>
    <d v="2025-07-26T00:00:00"/>
    <n v="20130"/>
    <n v="29143"/>
    <n v="0"/>
  </r>
  <r>
    <x v="944"/>
    <s v="BR010"/>
    <n v="59"/>
    <s v="F"/>
    <s v="3-6L"/>
    <s v="online"/>
    <x v="0"/>
    <s v="complete"/>
    <d v="2025-02-24T00:00:00"/>
    <n v="8016"/>
    <d v="2025-07-27T00:00:00"/>
    <n v="4612"/>
    <n v="12628"/>
    <n v="0"/>
  </r>
  <r>
    <x v="945"/>
    <s v="BR005"/>
    <n v="39"/>
    <s v="F"/>
    <s v="6-10L"/>
    <s v="online"/>
    <x v="0"/>
    <s v="complete"/>
    <d v="2021-11-13T00:00:00"/>
    <n v="4418"/>
    <d v="2025-05-18T00:00:00"/>
    <n v="8935"/>
    <n v="13353"/>
    <n v="0"/>
  </r>
  <r>
    <x v="946"/>
    <s v="BR018"/>
    <n v="38"/>
    <s v="F"/>
    <s v="3-6L"/>
    <s v="online"/>
    <x v="0"/>
    <s v="complete"/>
    <d v="2022-03-06T00:00:00"/>
    <n v="6185"/>
    <d v="2025-06-14T00:00:00"/>
    <n v="9693"/>
    <n v="15878"/>
    <n v="0"/>
  </r>
  <r>
    <x v="947"/>
    <s v="BR009"/>
    <n v="23"/>
    <s v="M"/>
    <s v="&gt;10L"/>
    <s v="branch"/>
    <x v="0"/>
    <s v="complete"/>
    <d v="2021-03-31T00:00:00"/>
    <n v="6021"/>
    <d v="2025-03-22T00:00:00"/>
    <n v="-1583"/>
    <n v="4438"/>
    <n v="0"/>
  </r>
  <r>
    <x v="948"/>
    <s v="BR016"/>
    <n v="18"/>
    <s v="M"/>
    <s v="&lt;3L"/>
    <s v="online"/>
    <x v="0"/>
    <s v="complete"/>
    <d v="2025-06-04T00:00:00"/>
    <n v="2858"/>
    <d v="2025-07-31T00:00:00"/>
    <n v="20572"/>
    <n v="23430"/>
    <n v="0"/>
  </r>
  <r>
    <x v="949"/>
    <s v="BR007"/>
    <n v="22"/>
    <s v="M"/>
    <s v="6-10L"/>
    <s v="branch"/>
    <x v="0"/>
    <s v="complete"/>
    <d v="2024-11-26T00:00:00"/>
    <n v="36060"/>
    <d v="2025-07-30T00:00:00"/>
    <n v="1361"/>
    <n v="37421"/>
    <n v="0"/>
  </r>
  <r>
    <x v="950"/>
    <s v="BR010"/>
    <n v="58"/>
    <s v="M"/>
    <s v="6-10L"/>
    <s v="online"/>
    <x v="0"/>
    <s v="complete"/>
    <d v="2025-03-08T00:00:00"/>
    <n v="19141"/>
    <d v="2025-07-21T00:00:00"/>
    <n v="-6279"/>
    <n v="12862"/>
    <n v="0"/>
  </r>
  <r>
    <x v="951"/>
    <s v="BR005"/>
    <n v="29"/>
    <s v="M"/>
    <s v="6-10L"/>
    <s v="branch"/>
    <x v="0"/>
    <s v="pending"/>
    <d v="2024-11-18T00:00:00"/>
    <n v="15402"/>
    <d v="2025-07-03T00:00:00"/>
    <n v="-4038"/>
    <n v="11364"/>
    <n v="0"/>
  </r>
  <r>
    <x v="952"/>
    <s v="BR007"/>
    <n v="43"/>
    <s v="M"/>
    <s v="3-6L"/>
    <s v="online"/>
    <x v="0"/>
    <s v="complete"/>
    <d v="2023-03-14T00:00:00"/>
    <n v="49244"/>
    <d v="2025-07-25T00:00:00"/>
    <n v="2484"/>
    <n v="51728"/>
    <n v="0"/>
  </r>
  <r>
    <x v="953"/>
    <s v="BR005"/>
    <n v="63"/>
    <s v="M"/>
    <s v="3-6L"/>
    <s v="branch"/>
    <x v="0"/>
    <s v="complete"/>
    <d v="2025-03-26T00:00:00"/>
    <n v="27388"/>
    <d v="2025-07-31T00:00:00"/>
    <n v="16858"/>
    <n v="44246"/>
    <n v="0"/>
  </r>
  <r>
    <x v="954"/>
    <s v="BR015"/>
    <n v="51"/>
    <s v="M"/>
    <s v="6-10L"/>
    <s v="branch"/>
    <x v="0"/>
    <s v="complete"/>
    <d v="2025-06-10T00:00:00"/>
    <n v="6066"/>
    <d v="2025-07-30T00:00:00"/>
    <n v="20344"/>
    <n v="26410"/>
    <n v="0"/>
  </r>
  <r>
    <x v="955"/>
    <s v="BR019"/>
    <n v="66"/>
    <s v="F"/>
    <s v="&lt;3L"/>
    <s v="online"/>
    <x v="0"/>
    <s v="complete"/>
    <d v="2023-04-21T00:00:00"/>
    <n v="43191"/>
    <d v="2025-06-09T00:00:00"/>
    <n v="11692"/>
    <n v="54883"/>
    <n v="0"/>
  </r>
  <r>
    <x v="956"/>
    <s v="BR010"/>
    <n v="31"/>
    <s v="F"/>
    <s v="&lt;3L"/>
    <s v="branch"/>
    <x v="1"/>
    <s v="complete"/>
    <d v="2021-10-21T00:00:00"/>
    <n v="35322"/>
    <d v="2025-07-02T00:00:00"/>
    <n v="-12669"/>
    <n v="22653"/>
    <n v="0"/>
  </r>
  <r>
    <x v="957"/>
    <s v="BR008"/>
    <n v="43"/>
    <s v="M"/>
    <s v="3-6L"/>
    <s v="online"/>
    <x v="0"/>
    <s v="complete"/>
    <d v="2024-01-07T00:00:00"/>
    <n v="4368"/>
    <d v="2025-07-07T00:00:00"/>
    <n v="31349"/>
    <n v="35717"/>
    <n v="0"/>
  </r>
  <r>
    <x v="958"/>
    <s v="BR009"/>
    <n v="62"/>
    <s v="M"/>
    <s v="3-6L"/>
    <s v="online"/>
    <x v="0"/>
    <s v="complete"/>
    <d v="2025-06-20T00:00:00"/>
    <n v="32951"/>
    <d v="2025-07-31T00:00:00"/>
    <n v="-2146"/>
    <n v="30805"/>
    <n v="0"/>
  </r>
  <r>
    <x v="959"/>
    <s v="BR011"/>
    <n v="44"/>
    <s v="M"/>
    <s v="3-6L"/>
    <s v="branch"/>
    <x v="0"/>
    <s v="pending"/>
    <d v="2024-12-30T00:00:00"/>
    <n v="8373"/>
    <d v="2025-07-24T00:00:00"/>
    <n v="20150"/>
    <n v="28523"/>
    <n v="0"/>
  </r>
  <r>
    <x v="960"/>
    <s v="BR002"/>
    <n v="26"/>
    <s v="O"/>
    <s v="3-6L"/>
    <s v="branch"/>
    <x v="0"/>
    <s v="complete"/>
    <d v="2024-12-12T00:00:00"/>
    <n v="36212"/>
    <d v="2025-07-31T00:00:00"/>
    <n v="12087"/>
    <n v="48299"/>
    <n v="0"/>
  </r>
  <r>
    <x v="961"/>
    <s v="BR003"/>
    <n v="43"/>
    <s v="M"/>
    <s v="3-6L"/>
    <s v="online"/>
    <x v="1"/>
    <s v="complete"/>
    <d v="2025-04-12T00:00:00"/>
    <n v="9529"/>
    <d v="2025-07-30T00:00:00"/>
    <n v="18725"/>
    <n v="28254"/>
    <n v="0"/>
  </r>
  <r>
    <x v="962"/>
    <s v="BR013"/>
    <n v="64"/>
    <s v="F"/>
    <s v="6-10L"/>
    <s v="online"/>
    <x v="0"/>
    <s v="complete"/>
    <d v="2025-02-04T00:00:00"/>
    <n v="7837"/>
    <d v="2025-07-24T00:00:00"/>
    <n v="5992"/>
    <n v="13829"/>
    <n v="0"/>
  </r>
  <r>
    <x v="963"/>
    <s v="BR011"/>
    <n v="39"/>
    <s v="O"/>
    <s v="6-10L"/>
    <s v="branch"/>
    <x v="1"/>
    <s v="complete"/>
    <d v="2024-07-22T00:00:00"/>
    <n v="8688"/>
    <d v="2025-06-02T00:00:00"/>
    <n v="24321"/>
    <n v="33009"/>
    <n v="0"/>
  </r>
  <r>
    <x v="964"/>
    <s v="BR010"/>
    <n v="64"/>
    <s v="F"/>
    <s v="6-10L"/>
    <s v="branch"/>
    <x v="0"/>
    <s v="complete"/>
    <d v="2024-04-16T00:00:00"/>
    <n v="5053"/>
    <d v="2025-07-29T00:00:00"/>
    <n v="-2654"/>
    <n v="2399"/>
    <n v="0"/>
  </r>
  <r>
    <x v="965"/>
    <s v="BR015"/>
    <n v="47"/>
    <s v="F"/>
    <s v="&gt;10L"/>
    <s v="branch"/>
    <x v="1"/>
    <s v="complete"/>
    <d v="2022-03-19T00:00:00"/>
    <n v="3040"/>
    <d v="2025-06-07T00:00:00"/>
    <n v="8027"/>
    <n v="11067"/>
    <n v="0"/>
  </r>
  <r>
    <x v="966"/>
    <s v="BR006"/>
    <n v="60"/>
    <s v="F"/>
    <s v="3-6L"/>
    <s v="branch"/>
    <x v="1"/>
    <s v="complete"/>
    <d v="2023-11-06T00:00:00"/>
    <n v="1098"/>
    <d v="2025-03-31T00:00:00"/>
    <n v="4538"/>
    <n v="5636"/>
    <n v="0"/>
  </r>
  <r>
    <x v="967"/>
    <s v="BR001"/>
    <n v="65"/>
    <s v="O"/>
    <s v="&lt;3L"/>
    <s v="online"/>
    <x v="1"/>
    <s v="complete"/>
    <d v="2023-05-23T00:00:00"/>
    <n v="4653"/>
    <d v="2025-06-26T00:00:00"/>
    <n v="-2375"/>
    <n v="2278"/>
    <n v="0"/>
  </r>
  <r>
    <x v="968"/>
    <s v="BR014"/>
    <n v="34"/>
    <s v="F"/>
    <s v="&lt;3L"/>
    <s v="branch"/>
    <x v="0"/>
    <s v="complete"/>
    <d v="2024-12-13T00:00:00"/>
    <n v="185465"/>
    <d v="2025-07-30T00:00:00"/>
    <n v="9434"/>
    <n v="194899"/>
    <n v="0"/>
  </r>
  <r>
    <x v="969"/>
    <s v="BR018"/>
    <n v="43"/>
    <s v="F"/>
    <s v="3-6L"/>
    <s v="online"/>
    <x v="0"/>
    <s v="pending"/>
    <d v="2023-04-03T00:00:00"/>
    <n v="21553"/>
    <d v="2025-06-10T00:00:00"/>
    <n v="15648"/>
    <n v="37201"/>
    <n v="0"/>
  </r>
  <r>
    <x v="970"/>
    <s v="BR011"/>
    <n v="53"/>
    <s v="F"/>
    <s v="&gt;10L"/>
    <s v="online"/>
    <x v="0"/>
    <s v="complete"/>
    <d v="2021-08-02T00:00:00"/>
    <n v="86183"/>
    <d v="2025-06-01T00:00:00"/>
    <n v="31244"/>
    <n v="117427"/>
    <n v="0"/>
  </r>
  <r>
    <x v="971"/>
    <s v="BR008"/>
    <n v="18"/>
    <s v="F"/>
    <s v="3-6L"/>
    <s v="online"/>
    <x v="0"/>
    <s v="complete"/>
    <d v="2021-01-09T00:00:00"/>
    <n v="9719"/>
    <d v="2025-04-24T00:00:00"/>
    <n v="-8368"/>
    <n v="1351"/>
    <n v="0"/>
  </r>
  <r>
    <x v="972"/>
    <s v="BR003"/>
    <n v="25"/>
    <s v="F"/>
    <s v="3-6L"/>
    <s v="online"/>
    <x v="1"/>
    <s v="complete"/>
    <d v="2024-02-09T00:00:00"/>
    <n v="8364"/>
    <d v="2025-07-26T00:00:00"/>
    <n v="18905"/>
    <n v="27269"/>
    <n v="0"/>
  </r>
  <r>
    <x v="973"/>
    <s v="BR014"/>
    <n v="66"/>
    <s v="M"/>
    <s v="3-6L"/>
    <s v="online"/>
    <x v="0"/>
    <s v="complete"/>
    <d v="2023-07-09T00:00:00"/>
    <n v="74350"/>
    <d v="2025-07-17T00:00:00"/>
    <n v="-10894"/>
    <n v="63456"/>
    <n v="0"/>
  </r>
  <r>
    <x v="974"/>
    <s v="BR002"/>
    <n v="52"/>
    <s v="M"/>
    <s v="3-6L"/>
    <s v="branch"/>
    <x v="1"/>
    <s v="complete"/>
    <d v="2022-07-08T00:00:00"/>
    <n v="19453"/>
    <d v="2025-04-14T00:00:00"/>
    <n v="3287"/>
    <n v="22740"/>
    <n v="0"/>
  </r>
  <r>
    <x v="975"/>
    <s v="BR016"/>
    <n v="69"/>
    <s v="M"/>
    <s v="6-10L"/>
    <s v="online"/>
    <x v="0"/>
    <s v="complete"/>
    <d v="2021-10-10T00:00:00"/>
    <n v="5140"/>
    <d v="2025-03-06T00:00:00"/>
    <n v="24974"/>
    <n v="30114"/>
    <n v="0"/>
  </r>
  <r>
    <x v="976"/>
    <s v="BR006"/>
    <n v="32"/>
    <s v="M"/>
    <s v="&lt;3L"/>
    <s v="online"/>
    <x v="0"/>
    <s v="complete"/>
    <d v="2023-02-20T00:00:00"/>
    <n v="25158"/>
    <d v="2025-06-10T00:00:00"/>
    <n v="2785"/>
    <n v="27943"/>
    <n v="0"/>
  </r>
  <r>
    <x v="977"/>
    <s v="BR001"/>
    <n v="64"/>
    <s v="M"/>
    <s v="&gt;10L"/>
    <s v="branch"/>
    <x v="0"/>
    <s v="complete"/>
    <d v="2021-06-17T00:00:00"/>
    <n v="46671"/>
    <d v="2025-06-18T00:00:00"/>
    <n v="7775"/>
    <n v="54446"/>
    <n v="0"/>
  </r>
  <r>
    <x v="978"/>
    <s v="BR014"/>
    <n v="39"/>
    <s v="M"/>
    <s v="3-6L"/>
    <s v="online"/>
    <x v="0"/>
    <s v="complete"/>
    <d v="2022-07-17T00:00:00"/>
    <n v="3204"/>
    <d v="2025-04-01T00:00:00"/>
    <n v="11652"/>
    <n v="14856"/>
    <n v="0"/>
  </r>
  <r>
    <x v="979"/>
    <s v="BR010"/>
    <n v="31"/>
    <s v="F"/>
    <s v="&lt;3L"/>
    <s v="online"/>
    <x v="0"/>
    <s v="complete"/>
    <d v="2022-09-27T00:00:00"/>
    <n v="21262"/>
    <d v="2025-07-29T00:00:00"/>
    <n v="28557"/>
    <n v="49819"/>
    <n v="0"/>
  </r>
  <r>
    <x v="980"/>
    <s v="BR006"/>
    <n v="43"/>
    <s v="M"/>
    <s v="6-10L"/>
    <s v="online"/>
    <x v="0"/>
    <s v="complete"/>
    <d v="2023-02-18T00:00:00"/>
    <n v="3423"/>
    <d v="2025-07-30T00:00:00"/>
    <n v="-5057"/>
    <n v="-1634"/>
    <n v="0"/>
  </r>
  <r>
    <x v="981"/>
    <s v="BR009"/>
    <n v="45"/>
    <s v="F"/>
    <s v="&lt;3L"/>
    <s v="branch"/>
    <x v="1"/>
    <s v="complete"/>
    <d v="2023-02-20T00:00:00"/>
    <n v="44212"/>
    <d v="2025-07-13T00:00:00"/>
    <n v="15375"/>
    <n v="59587"/>
    <n v="0"/>
  </r>
  <r>
    <x v="982"/>
    <s v="BR007"/>
    <n v="40"/>
    <s v="M"/>
    <s v="&gt;10L"/>
    <s v="online"/>
    <x v="0"/>
    <s v="complete"/>
    <d v="2022-03-06T00:00:00"/>
    <n v="16826"/>
    <d v="2025-03-24T00:00:00"/>
    <n v="1001"/>
    <n v="17827"/>
    <n v="0"/>
  </r>
  <r>
    <x v="983"/>
    <s v="BR002"/>
    <n v="31"/>
    <s v="M"/>
    <s v="&gt;10L"/>
    <s v="online"/>
    <x v="0"/>
    <s v="complete"/>
    <d v="2024-11-23T00:00:00"/>
    <n v="25076"/>
    <d v="2025-07-31T00:00:00"/>
    <n v="6102"/>
    <n v="31178"/>
    <n v="0"/>
  </r>
  <r>
    <x v="984"/>
    <s v="BR011"/>
    <n v="41"/>
    <s v="F"/>
    <s v="6-10L"/>
    <s v="online"/>
    <x v="0"/>
    <s v="complete"/>
    <d v="2022-08-18T00:00:00"/>
    <n v="10749"/>
    <d v="2025-07-19T00:00:00"/>
    <n v="33001"/>
    <n v="43750"/>
    <n v="0"/>
  </r>
  <r>
    <x v="985"/>
    <s v="BR014"/>
    <n v="19"/>
    <s v="F"/>
    <s v="6-10L"/>
    <s v="online"/>
    <x v="0"/>
    <s v="complete"/>
    <d v="2022-01-20T00:00:00"/>
    <n v="2249"/>
    <d v="2025-03-04T00:00:00"/>
    <n v="3363"/>
    <n v="5612"/>
    <n v="0"/>
  </r>
  <r>
    <x v="986"/>
    <s v="BR005"/>
    <n v="62"/>
    <s v="M"/>
    <s v="3-6L"/>
    <s v="online"/>
    <x v="0"/>
    <s v="complete"/>
    <d v="2021-10-22T00:00:00"/>
    <n v="8592"/>
    <d v="2025-07-31T00:00:00"/>
    <n v="20527"/>
    <n v="29119"/>
    <n v="0"/>
  </r>
  <r>
    <x v="987"/>
    <s v="BR009"/>
    <n v="43"/>
    <s v="F"/>
    <s v="&gt;10L"/>
    <s v="online"/>
    <x v="0"/>
    <s v="complete"/>
    <d v="2022-06-24T00:00:00"/>
    <n v="33855"/>
    <d v="2025-05-29T00:00:00"/>
    <n v="9239"/>
    <n v="43094"/>
    <n v="0"/>
  </r>
  <r>
    <x v="988"/>
    <s v="BR007"/>
    <n v="31"/>
    <s v="F"/>
    <s v="3-6L"/>
    <s v="online"/>
    <x v="0"/>
    <s v="complete"/>
    <d v="2021-04-24T00:00:00"/>
    <n v="98089"/>
    <d v="2025-05-25T00:00:00"/>
    <n v="21718"/>
    <n v="119807"/>
    <n v="0"/>
  </r>
  <r>
    <x v="989"/>
    <s v="BR014"/>
    <n v="68"/>
    <s v="M"/>
    <s v="6-10L"/>
    <s v="branch"/>
    <x v="0"/>
    <s v="pending"/>
    <d v="2021-02-25T00:00:00"/>
    <n v="17717"/>
    <d v="2025-04-06T00:00:00"/>
    <n v="34189"/>
    <n v="51906"/>
    <n v="0"/>
  </r>
  <r>
    <x v="990"/>
    <s v="BR016"/>
    <n v="24"/>
    <s v="M"/>
    <s v="&gt;10L"/>
    <s v="online"/>
    <x v="0"/>
    <s v="complete"/>
    <d v="2023-10-10T00:00:00"/>
    <n v="6725"/>
    <d v="2025-07-03T00:00:00"/>
    <n v="7671"/>
    <n v="14396"/>
    <n v="0"/>
  </r>
  <r>
    <x v="991"/>
    <s v="BR016"/>
    <n v="20"/>
    <s v="O"/>
    <s v="&gt;10L"/>
    <s v="online"/>
    <x v="1"/>
    <s v="complete"/>
    <d v="2023-11-02T00:00:00"/>
    <n v="22827"/>
    <d v="2025-07-22T00:00:00"/>
    <n v="10997"/>
    <n v="33824"/>
    <n v="0"/>
  </r>
  <r>
    <x v="992"/>
    <s v="BR007"/>
    <n v="64"/>
    <s v="F"/>
    <s v="6-10L"/>
    <s v="online"/>
    <x v="0"/>
    <s v="complete"/>
    <d v="2023-06-06T00:00:00"/>
    <n v="30943"/>
    <d v="2025-07-29T00:00:00"/>
    <n v="32952"/>
    <n v="63895"/>
    <n v="0"/>
  </r>
  <r>
    <x v="993"/>
    <s v="BR010"/>
    <n v="40"/>
    <s v="F"/>
    <s v="3-6L"/>
    <s v="online"/>
    <x v="0"/>
    <s v="complete"/>
    <d v="2024-06-29T00:00:00"/>
    <n v="15256"/>
    <d v="2025-07-30T00:00:00"/>
    <n v="14642"/>
    <n v="29898"/>
    <n v="0"/>
  </r>
  <r>
    <x v="994"/>
    <s v="BR006"/>
    <n v="63"/>
    <s v="F"/>
    <s v="&gt;10L"/>
    <s v="branch"/>
    <x v="0"/>
    <s v="complete"/>
    <d v="2021-03-07T00:00:00"/>
    <n v="14346"/>
    <d v="2025-02-27T00:00:00"/>
    <n v="8382"/>
    <n v="22728"/>
    <n v="0"/>
  </r>
  <r>
    <x v="995"/>
    <s v="BR017"/>
    <n v="60"/>
    <s v="M"/>
    <s v="3-6L"/>
    <s v="online"/>
    <x v="0"/>
    <s v="complete"/>
    <d v="2025-04-15T00:00:00"/>
    <n v="16541"/>
    <d v="2025-07-26T00:00:00"/>
    <n v="3802"/>
    <n v="20343"/>
    <n v="0"/>
  </r>
  <r>
    <x v="996"/>
    <s v="BR001"/>
    <n v="64"/>
    <s v="M"/>
    <s v="&gt;10L"/>
    <s v="online"/>
    <x v="0"/>
    <s v="complete"/>
    <d v="2021-06-09T00:00:00"/>
    <n v="13954"/>
    <d v="2025-07-31T00:00:00"/>
    <n v="30504"/>
    <n v="44458"/>
    <n v="0"/>
  </r>
  <r>
    <x v="997"/>
    <s v="BR002"/>
    <n v="62"/>
    <s v="M"/>
    <s v="6-10L"/>
    <s v="branch"/>
    <x v="0"/>
    <s v="complete"/>
    <d v="2024-02-02T00:00:00"/>
    <n v="17994"/>
    <d v="2025-07-09T00:00:00"/>
    <n v="-3472"/>
    <n v="14522"/>
    <n v="0"/>
  </r>
  <r>
    <x v="998"/>
    <s v="BR014"/>
    <n v="35"/>
    <s v="F"/>
    <s v="3-6L"/>
    <s v="online"/>
    <x v="0"/>
    <s v="complete"/>
    <d v="2021-08-12T00:00:00"/>
    <n v="83080"/>
    <d v="2024-10-01T00:00:00"/>
    <n v="-5018"/>
    <n v="78062"/>
    <n v="1"/>
  </r>
  <r>
    <x v="999"/>
    <s v="BR004"/>
    <n v="55"/>
    <s v="F"/>
    <s v="3-6L"/>
    <s v="online"/>
    <x v="0"/>
    <s v="complete"/>
    <d v="2025-01-12T00:00:00"/>
    <n v="1749"/>
    <d v="2025-07-24T00:00:00"/>
    <n v="-13981"/>
    <n v="-12232"/>
    <n v="0"/>
  </r>
  <r>
    <x v="1000"/>
    <s v="BR009"/>
    <n v="52"/>
    <s v="F"/>
    <s v="3-6L"/>
    <s v="online"/>
    <x v="0"/>
    <s v="complete"/>
    <d v="2023-05-05T00:00:00"/>
    <n v="10525"/>
    <d v="2025-06-21T00:00:00"/>
    <n v="32038"/>
    <n v="42563"/>
    <n v="0"/>
  </r>
  <r>
    <x v="1001"/>
    <s v="BR006"/>
    <n v="68"/>
    <s v="M"/>
    <s v="6-10L"/>
    <s v="online"/>
    <x v="0"/>
    <s v="complete"/>
    <d v="2021-05-18T00:00:00"/>
    <n v="5259"/>
    <d v="2025-06-08T00:00:00"/>
    <n v="9665"/>
    <n v="14924"/>
    <n v="0"/>
  </r>
  <r>
    <x v="1002"/>
    <s v="BR017"/>
    <n v="32"/>
    <s v="M"/>
    <s v="3-6L"/>
    <s v="online"/>
    <x v="0"/>
    <s v="complete"/>
    <d v="2023-10-29T00:00:00"/>
    <n v="43512"/>
    <d v="2025-07-15T00:00:00"/>
    <n v="-2467"/>
    <n v="41045"/>
    <n v="0"/>
  </r>
  <r>
    <x v="1003"/>
    <s v="BR011"/>
    <n v="42"/>
    <s v="F"/>
    <s v="3-6L"/>
    <s v="online"/>
    <x v="0"/>
    <s v="complete"/>
    <d v="2021-01-16T00:00:00"/>
    <n v="11604"/>
    <d v="2025-07-11T00:00:00"/>
    <n v="-591"/>
    <n v="11013"/>
    <n v="0"/>
  </r>
  <r>
    <x v="1004"/>
    <s v="BR004"/>
    <n v="54"/>
    <s v="F"/>
    <s v="3-6L"/>
    <s v="online"/>
    <x v="0"/>
    <s v="complete"/>
    <d v="2024-07-22T00:00:00"/>
    <n v="23382"/>
    <d v="2025-05-31T00:00:00"/>
    <n v="26703"/>
    <n v="50085"/>
    <n v="0"/>
  </r>
  <r>
    <x v="1005"/>
    <s v="BR009"/>
    <n v="45"/>
    <s v="F"/>
    <s v="6-10L"/>
    <s v="branch"/>
    <x v="0"/>
    <s v="complete"/>
    <d v="2023-12-25T00:00:00"/>
    <n v="55676"/>
    <d v="2025-06-26T00:00:00"/>
    <n v="-17069"/>
    <n v="38607"/>
    <n v="0"/>
  </r>
  <r>
    <x v="1006"/>
    <s v="BR016"/>
    <n v="27"/>
    <s v="M"/>
    <s v="3-6L"/>
    <s v="online"/>
    <x v="0"/>
    <s v="complete"/>
    <d v="2021-12-22T00:00:00"/>
    <n v="4532"/>
    <d v="2025-06-22T00:00:00"/>
    <n v="1420"/>
    <n v="5952"/>
    <n v="0"/>
  </r>
  <r>
    <x v="1007"/>
    <s v="BR003"/>
    <n v="56"/>
    <s v="F"/>
    <s v="&lt;3L"/>
    <s v="online"/>
    <x v="0"/>
    <s v="complete"/>
    <d v="2022-09-19T00:00:00"/>
    <n v="7883"/>
    <d v="2025-07-23T00:00:00"/>
    <n v="6857"/>
    <n v="14740"/>
    <n v="0"/>
  </r>
  <r>
    <x v="1008"/>
    <s v="BR004"/>
    <n v="34"/>
    <s v="M"/>
    <s v="&lt;3L"/>
    <s v="online"/>
    <x v="0"/>
    <s v="complete"/>
    <d v="2021-01-14T00:00:00"/>
    <n v="50216"/>
    <d v="2025-06-01T00:00:00"/>
    <n v="-1476"/>
    <n v="48740"/>
    <n v="0"/>
  </r>
  <r>
    <x v="1009"/>
    <s v="BR003"/>
    <n v="56"/>
    <s v="O"/>
    <s v="&lt;3L"/>
    <s v="online"/>
    <x v="1"/>
    <s v="complete"/>
    <d v="2024-03-06T00:00:00"/>
    <n v="4354"/>
    <d v="2025-07-31T00:00:00"/>
    <n v="20821"/>
    <n v="25175"/>
    <n v="0"/>
  </r>
  <r>
    <x v="1010"/>
    <s v="BR013"/>
    <n v="39"/>
    <s v="M"/>
    <s v="3-6L"/>
    <s v="online"/>
    <x v="0"/>
    <s v="complete"/>
    <d v="2022-06-24T00:00:00"/>
    <n v="8154"/>
    <d v="2025-07-30T00:00:00"/>
    <n v="-121"/>
    <n v="8033"/>
    <n v="0"/>
  </r>
  <r>
    <x v="1011"/>
    <s v="BR019"/>
    <n v="43"/>
    <s v="F"/>
    <s v="&lt;3L"/>
    <s v="branch"/>
    <x v="0"/>
    <s v="complete"/>
    <d v="2023-08-15T00:00:00"/>
    <n v="2696"/>
    <d v="2025-06-18T00:00:00"/>
    <n v="2744"/>
    <n v="5440"/>
    <n v="0"/>
  </r>
  <r>
    <x v="1012"/>
    <s v="BR001"/>
    <n v="61"/>
    <s v="M"/>
    <s v="&lt;3L"/>
    <s v="branch"/>
    <x v="0"/>
    <s v="complete"/>
    <d v="2025-05-20T00:00:00"/>
    <n v="52227"/>
    <d v="2025-07-30T00:00:00"/>
    <n v="25965"/>
    <n v="78192"/>
    <n v="0"/>
  </r>
  <r>
    <x v="1013"/>
    <s v="BR006"/>
    <n v="42"/>
    <s v="F"/>
    <s v="&gt;10L"/>
    <s v="branch"/>
    <x v="0"/>
    <s v="complete"/>
    <d v="2022-05-17T00:00:00"/>
    <n v="7471"/>
    <d v="2025-07-19T00:00:00"/>
    <n v="17529"/>
    <n v="25000"/>
    <n v="0"/>
  </r>
  <r>
    <x v="1014"/>
    <s v="BR003"/>
    <n v="34"/>
    <s v="F"/>
    <s v="6-10L"/>
    <s v="branch"/>
    <x v="0"/>
    <s v="complete"/>
    <d v="2025-07-15T00:00:00"/>
    <n v="18980"/>
    <d v="2025-07-31T00:00:00"/>
    <n v="25089"/>
    <n v="44069"/>
    <n v="0"/>
  </r>
  <r>
    <x v="1015"/>
    <s v="BR003"/>
    <n v="30"/>
    <s v="M"/>
    <s v="3-6L"/>
    <s v="online"/>
    <x v="0"/>
    <s v="complete"/>
    <d v="2023-11-25T00:00:00"/>
    <n v="26265"/>
    <d v="2025-07-11T00:00:00"/>
    <n v="16234"/>
    <n v="42499"/>
    <n v="0"/>
  </r>
  <r>
    <x v="1016"/>
    <s v="BR016"/>
    <n v="37"/>
    <s v="M"/>
    <s v="&gt;10L"/>
    <s v="online"/>
    <x v="0"/>
    <s v="complete"/>
    <d v="2022-02-10T00:00:00"/>
    <n v="5984"/>
    <d v="2025-05-09T00:00:00"/>
    <n v="12673"/>
    <n v="18657"/>
    <n v="0"/>
  </r>
  <r>
    <x v="1017"/>
    <s v="BR010"/>
    <n v="42"/>
    <s v="M"/>
    <s v="&lt;3L"/>
    <s v="online"/>
    <x v="1"/>
    <s v="complete"/>
    <d v="2023-01-01T00:00:00"/>
    <n v="1990"/>
    <d v="2025-07-05T00:00:00"/>
    <n v="7452"/>
    <n v="9442"/>
    <n v="0"/>
  </r>
  <r>
    <x v="1018"/>
    <s v="BR017"/>
    <n v="21"/>
    <s v="M"/>
    <s v="3-6L"/>
    <s v="online"/>
    <x v="0"/>
    <s v="complete"/>
    <d v="2024-05-23T00:00:00"/>
    <n v="10727"/>
    <d v="2025-07-24T00:00:00"/>
    <n v="2330"/>
    <n v="13057"/>
    <n v="0"/>
  </r>
  <r>
    <x v="1019"/>
    <s v="BR007"/>
    <n v="27"/>
    <s v="F"/>
    <s v="3-6L"/>
    <s v="branch"/>
    <x v="0"/>
    <s v="complete"/>
    <d v="2023-01-17T00:00:00"/>
    <n v="10553"/>
    <d v="2025-07-24T00:00:00"/>
    <n v="2527"/>
    <n v="13080"/>
    <n v="0"/>
  </r>
  <r>
    <x v="1020"/>
    <s v="BR013"/>
    <n v="20"/>
    <s v="M"/>
    <s v="3-6L"/>
    <s v="online"/>
    <x v="0"/>
    <s v="pending"/>
    <d v="2021-04-25T00:00:00"/>
    <n v="12575"/>
    <d v="2025-05-11T00:00:00"/>
    <n v="34968"/>
    <n v="47543"/>
    <n v="0"/>
  </r>
  <r>
    <x v="1021"/>
    <s v="BR011"/>
    <n v="58"/>
    <s v="F"/>
    <s v="3-6L"/>
    <s v="branch"/>
    <x v="0"/>
    <s v="complete"/>
    <d v="2021-10-10T00:00:00"/>
    <n v="12645"/>
    <d v="2025-03-17T00:00:00"/>
    <n v="-2193"/>
    <n v="10452"/>
    <n v="0"/>
  </r>
  <r>
    <x v="1022"/>
    <s v="BR010"/>
    <n v="62"/>
    <s v="F"/>
    <s v="3-6L"/>
    <s v="online"/>
    <x v="0"/>
    <s v="complete"/>
    <d v="2024-08-16T00:00:00"/>
    <n v="8113"/>
    <d v="2025-07-08T00:00:00"/>
    <n v="5861"/>
    <n v="13974"/>
    <n v="0"/>
  </r>
  <r>
    <x v="1023"/>
    <s v="BR007"/>
    <n v="35"/>
    <s v="F"/>
    <s v="3-6L"/>
    <s v="branch"/>
    <x v="0"/>
    <s v="complete"/>
    <d v="2023-12-21T00:00:00"/>
    <n v="7805"/>
    <d v="2025-07-31T00:00:00"/>
    <n v="24304"/>
    <n v="32109"/>
    <n v="0"/>
  </r>
  <r>
    <x v="1024"/>
    <s v="BR006"/>
    <n v="64"/>
    <s v="M"/>
    <s v="6-10L"/>
    <s v="branch"/>
    <x v="0"/>
    <s v="complete"/>
    <d v="2023-08-12T00:00:00"/>
    <n v="17992"/>
    <d v="2025-06-27T00:00:00"/>
    <n v="9903"/>
    <n v="27895"/>
    <n v="0"/>
  </r>
  <r>
    <x v="1025"/>
    <s v="BR001"/>
    <n v="53"/>
    <s v="M"/>
    <s v="&lt;3L"/>
    <s v="branch"/>
    <x v="0"/>
    <s v="complete"/>
    <d v="2021-10-08T00:00:00"/>
    <n v="5861"/>
    <d v="2025-07-07T00:00:00"/>
    <n v="6545"/>
    <n v="12406"/>
    <n v="0"/>
  </r>
  <r>
    <x v="1026"/>
    <s v="BR017"/>
    <n v="64"/>
    <s v="F"/>
    <s v="&lt;3L"/>
    <s v="branch"/>
    <x v="0"/>
    <s v="complete"/>
    <d v="2024-11-02T00:00:00"/>
    <n v="12145"/>
    <d v="2025-07-17T00:00:00"/>
    <n v="-49"/>
    <n v="12096"/>
    <n v="0"/>
  </r>
  <r>
    <x v="1027"/>
    <s v="BR012"/>
    <n v="39"/>
    <s v="O"/>
    <s v="&lt;3L"/>
    <s v="online"/>
    <x v="0"/>
    <s v="complete"/>
    <d v="2025-05-27T00:00:00"/>
    <n v="7609"/>
    <d v="2025-07-30T00:00:00"/>
    <n v="-6915"/>
    <n v="694"/>
    <n v="0"/>
  </r>
  <r>
    <x v="1028"/>
    <s v="BR004"/>
    <n v="51"/>
    <s v="M"/>
    <s v="3-6L"/>
    <s v="branch"/>
    <x v="1"/>
    <s v="complete"/>
    <d v="2021-03-10T00:00:00"/>
    <n v="17955"/>
    <d v="2025-07-26T00:00:00"/>
    <n v="3500"/>
    <n v="21455"/>
    <n v="0"/>
  </r>
  <r>
    <x v="1029"/>
    <s v="BR003"/>
    <n v="64"/>
    <s v="M"/>
    <s v="3-6L"/>
    <s v="branch"/>
    <x v="0"/>
    <s v="complete"/>
    <d v="2021-05-11T00:00:00"/>
    <n v="40481"/>
    <d v="2025-07-28T00:00:00"/>
    <n v="-9222"/>
    <n v="31259"/>
    <n v="0"/>
  </r>
  <r>
    <x v="1030"/>
    <s v="BR006"/>
    <n v="25"/>
    <s v="F"/>
    <s v="&lt;3L"/>
    <s v="branch"/>
    <x v="0"/>
    <s v="complete"/>
    <d v="2025-01-20T00:00:00"/>
    <n v="42166"/>
    <d v="2025-07-29T00:00:00"/>
    <n v="30490"/>
    <n v="72656"/>
    <n v="0"/>
  </r>
  <r>
    <x v="1031"/>
    <s v="BR016"/>
    <n v="57"/>
    <s v="O"/>
    <s v="6-10L"/>
    <s v="branch"/>
    <x v="0"/>
    <s v="complete"/>
    <d v="2024-09-26T00:00:00"/>
    <n v="48499"/>
    <d v="2025-07-26T00:00:00"/>
    <n v="19956"/>
    <n v="68455"/>
    <n v="0"/>
  </r>
  <r>
    <x v="1032"/>
    <s v="BR013"/>
    <n v="66"/>
    <s v="M"/>
    <s v="3-6L"/>
    <s v="branch"/>
    <x v="0"/>
    <s v="complete"/>
    <d v="2023-10-31T00:00:00"/>
    <n v="9565"/>
    <d v="2025-07-25T00:00:00"/>
    <n v="11146"/>
    <n v="20711"/>
    <n v="0"/>
  </r>
  <r>
    <x v="1033"/>
    <s v="BR009"/>
    <n v="61"/>
    <s v="M"/>
    <s v="&lt;3L"/>
    <s v="branch"/>
    <x v="0"/>
    <s v="complete"/>
    <d v="2025-04-30T00:00:00"/>
    <n v="10404"/>
    <d v="2025-07-31T00:00:00"/>
    <n v="24989"/>
    <n v="35393"/>
    <n v="0"/>
  </r>
  <r>
    <x v="1034"/>
    <s v="BR011"/>
    <n v="36"/>
    <s v="F"/>
    <s v="6-10L"/>
    <s v="online"/>
    <x v="0"/>
    <s v="complete"/>
    <d v="2023-12-18T00:00:00"/>
    <n v="3756"/>
    <d v="2025-06-14T00:00:00"/>
    <n v="8012"/>
    <n v="11768"/>
    <n v="0"/>
  </r>
  <r>
    <x v="1035"/>
    <s v="BR020"/>
    <n v="59"/>
    <s v="M"/>
    <s v="&lt;3L"/>
    <s v="branch"/>
    <x v="0"/>
    <s v="pending"/>
    <d v="2021-12-28T00:00:00"/>
    <n v="9485"/>
    <d v="2025-04-21T00:00:00"/>
    <n v="-797"/>
    <n v="8688"/>
    <n v="0"/>
  </r>
  <r>
    <x v="1036"/>
    <s v="BR013"/>
    <n v="58"/>
    <s v="M"/>
    <s v="3-6L"/>
    <s v="online"/>
    <x v="0"/>
    <s v="complete"/>
    <d v="2024-05-04T00:00:00"/>
    <n v="9830"/>
    <d v="2025-07-20T00:00:00"/>
    <n v="-1391"/>
    <n v="8439"/>
    <n v="0"/>
  </r>
  <r>
    <x v="1037"/>
    <s v="BR019"/>
    <n v="54"/>
    <s v="F"/>
    <s v="6-10L"/>
    <s v="online"/>
    <x v="0"/>
    <s v="complete"/>
    <d v="2023-12-17T00:00:00"/>
    <n v="7207"/>
    <d v="2025-07-26T00:00:00"/>
    <n v="4743"/>
    <n v="11950"/>
    <n v="0"/>
  </r>
  <r>
    <x v="1038"/>
    <s v="BR003"/>
    <n v="23"/>
    <s v="F"/>
    <s v="&lt;3L"/>
    <s v="online"/>
    <x v="0"/>
    <s v="complete"/>
    <d v="2025-07-08T00:00:00"/>
    <n v="7174"/>
    <d v="2025-07-31T00:00:00"/>
    <n v="2580"/>
    <n v="9754"/>
    <n v="0"/>
  </r>
  <r>
    <x v="1039"/>
    <s v="BR012"/>
    <n v="69"/>
    <s v="M"/>
    <s v="&lt;3L"/>
    <s v="online"/>
    <x v="0"/>
    <s v="pending"/>
    <d v="2021-12-24T00:00:00"/>
    <n v="2446"/>
    <d v="2025-07-28T00:00:00"/>
    <n v="24282"/>
    <n v="26728"/>
    <n v="0"/>
  </r>
  <r>
    <x v="1040"/>
    <s v="BR019"/>
    <n v="43"/>
    <s v="F"/>
    <s v="3-6L"/>
    <s v="online"/>
    <x v="0"/>
    <s v="complete"/>
    <d v="2023-09-28T00:00:00"/>
    <n v="3492"/>
    <d v="2025-07-20T00:00:00"/>
    <n v="2896"/>
    <n v="6388"/>
    <n v="0"/>
  </r>
  <r>
    <x v="1041"/>
    <s v="BR008"/>
    <n v="51"/>
    <s v="F"/>
    <s v="&lt;3L"/>
    <s v="online"/>
    <x v="1"/>
    <s v="complete"/>
    <d v="2024-07-29T00:00:00"/>
    <n v="13968"/>
    <d v="2025-07-19T00:00:00"/>
    <n v="6050"/>
    <n v="20018"/>
    <n v="0"/>
  </r>
  <r>
    <x v="1042"/>
    <s v="BR014"/>
    <n v="62"/>
    <s v="F"/>
    <s v="&lt;3L"/>
    <s v="online"/>
    <x v="0"/>
    <s v="pending"/>
    <d v="2022-07-22T00:00:00"/>
    <n v="14502"/>
    <d v="2025-06-15T00:00:00"/>
    <n v="17144"/>
    <n v="31646"/>
    <n v="0"/>
  </r>
  <r>
    <x v="1043"/>
    <s v="BR009"/>
    <n v="23"/>
    <s v="F"/>
    <s v="3-6L"/>
    <s v="online"/>
    <x v="1"/>
    <s v="complete"/>
    <d v="2022-09-28T00:00:00"/>
    <n v="21656"/>
    <d v="2025-04-02T00:00:00"/>
    <n v="32369"/>
    <n v="54025"/>
    <n v="0"/>
  </r>
  <r>
    <x v="1044"/>
    <s v="BR017"/>
    <n v="54"/>
    <s v="F"/>
    <s v="3-6L"/>
    <s v="online"/>
    <x v="0"/>
    <s v="complete"/>
    <d v="2025-01-25T00:00:00"/>
    <n v="10312"/>
    <d v="2025-07-11T00:00:00"/>
    <n v="22691"/>
    <n v="33003"/>
    <n v="0"/>
  </r>
  <r>
    <x v="1045"/>
    <s v="BR006"/>
    <n v="50"/>
    <s v="M"/>
    <s v="3-6L"/>
    <s v="branch"/>
    <x v="0"/>
    <s v="complete"/>
    <d v="2022-11-08T00:00:00"/>
    <n v="13516"/>
    <d v="2025-07-05T00:00:00"/>
    <n v="7826"/>
    <n v="21342"/>
    <n v="0"/>
  </r>
  <r>
    <x v="1046"/>
    <s v="BR004"/>
    <n v="39"/>
    <s v="F"/>
    <s v="6-10L"/>
    <s v="branch"/>
    <x v="0"/>
    <s v="complete"/>
    <d v="2023-11-12T00:00:00"/>
    <n v="46654"/>
    <d v="2025-07-31T00:00:00"/>
    <n v="34738"/>
    <n v="81392"/>
    <n v="0"/>
  </r>
  <r>
    <x v="1047"/>
    <s v="BR004"/>
    <n v="38"/>
    <s v="F"/>
    <s v="3-6L"/>
    <s v="branch"/>
    <x v="0"/>
    <s v="complete"/>
    <d v="2025-01-27T00:00:00"/>
    <n v="12671"/>
    <d v="2025-07-29T00:00:00"/>
    <n v="-16199"/>
    <n v="-3528"/>
    <n v="0"/>
  </r>
  <r>
    <x v="1048"/>
    <s v="BR019"/>
    <n v="23"/>
    <s v="F"/>
    <s v="&lt;3L"/>
    <s v="branch"/>
    <x v="0"/>
    <s v="complete"/>
    <d v="2021-12-18T00:00:00"/>
    <n v="7101"/>
    <d v="2025-01-14T00:00:00"/>
    <n v="-1489"/>
    <n v="5612"/>
    <n v="1"/>
  </r>
  <r>
    <x v="1049"/>
    <s v="BR012"/>
    <n v="23"/>
    <s v="F"/>
    <s v="&lt;3L"/>
    <s v="branch"/>
    <x v="0"/>
    <s v="complete"/>
    <d v="2025-07-01T00:00:00"/>
    <n v="4060"/>
    <d v="2025-07-31T00:00:00"/>
    <n v="20280"/>
    <n v="24340"/>
    <n v="0"/>
  </r>
  <r>
    <x v="1050"/>
    <s v="BR002"/>
    <n v="65"/>
    <s v="M"/>
    <s v="6-10L"/>
    <s v="online"/>
    <x v="0"/>
    <s v="complete"/>
    <d v="2024-03-20T00:00:00"/>
    <n v="29658"/>
    <d v="2025-06-12T00:00:00"/>
    <n v="13842"/>
    <n v="43500"/>
    <n v="0"/>
  </r>
  <r>
    <x v="1051"/>
    <s v="BR017"/>
    <n v="21"/>
    <s v="F"/>
    <s v="3-6L"/>
    <s v="branch"/>
    <x v="1"/>
    <s v="complete"/>
    <d v="2023-04-11T00:00:00"/>
    <n v="2432"/>
    <d v="2025-07-25T00:00:00"/>
    <n v="-2941"/>
    <n v="-509"/>
    <n v="0"/>
  </r>
  <r>
    <x v="1052"/>
    <s v="BR015"/>
    <n v="47"/>
    <s v="F"/>
    <s v="6-10L"/>
    <s v="branch"/>
    <x v="0"/>
    <s v="complete"/>
    <d v="2022-12-22T00:00:00"/>
    <n v="5777"/>
    <d v="2025-07-11T00:00:00"/>
    <n v="22415"/>
    <n v="28192"/>
    <n v="0"/>
  </r>
  <r>
    <x v="1053"/>
    <s v="BR010"/>
    <n v="28"/>
    <s v="M"/>
    <s v="3-6L"/>
    <s v="online"/>
    <x v="0"/>
    <s v="complete"/>
    <d v="2025-05-16T00:00:00"/>
    <n v="20304"/>
    <d v="2025-07-27T00:00:00"/>
    <n v="16520"/>
    <n v="36824"/>
    <n v="0"/>
  </r>
  <r>
    <x v="1054"/>
    <s v="BR003"/>
    <n v="47"/>
    <s v="F"/>
    <s v="3-6L"/>
    <s v="online"/>
    <x v="0"/>
    <s v="complete"/>
    <d v="2021-12-11T00:00:00"/>
    <n v="1985"/>
    <d v="2025-07-13T00:00:00"/>
    <n v="3475"/>
    <n v="5460"/>
    <n v="0"/>
  </r>
  <r>
    <x v="1055"/>
    <s v="BR020"/>
    <n v="48"/>
    <s v="M"/>
    <s v="3-6L"/>
    <s v="branch"/>
    <x v="0"/>
    <s v="complete"/>
    <d v="2022-06-06T00:00:00"/>
    <n v="7227"/>
    <d v="2025-06-05T00:00:00"/>
    <n v="690"/>
    <n v="7917"/>
    <n v="0"/>
  </r>
  <r>
    <x v="1056"/>
    <s v="BR004"/>
    <n v="41"/>
    <s v="M"/>
    <s v="3-6L"/>
    <s v="online"/>
    <x v="0"/>
    <s v="complete"/>
    <d v="2022-05-30T00:00:00"/>
    <n v="15202"/>
    <d v="2025-04-13T00:00:00"/>
    <n v="11777"/>
    <n v="26979"/>
    <n v="0"/>
  </r>
  <r>
    <x v="1057"/>
    <s v="BR001"/>
    <n v="26"/>
    <s v="M"/>
    <s v="3-6L"/>
    <s v="branch"/>
    <x v="0"/>
    <s v="complete"/>
    <d v="2022-04-29T00:00:00"/>
    <n v="9106"/>
    <d v="2025-07-31T00:00:00"/>
    <n v="4529"/>
    <n v="13635"/>
    <n v="0"/>
  </r>
  <r>
    <x v="1058"/>
    <s v="BR001"/>
    <n v="20"/>
    <s v="M"/>
    <s v="3-6L"/>
    <s v="online"/>
    <x v="0"/>
    <s v="complete"/>
    <d v="2023-02-23T00:00:00"/>
    <n v="5001"/>
    <d v="2025-07-13T00:00:00"/>
    <n v="26412"/>
    <n v="31413"/>
    <n v="0"/>
  </r>
  <r>
    <x v="1059"/>
    <s v="BR018"/>
    <n v="68"/>
    <s v="M"/>
    <s v="&lt;3L"/>
    <s v="online"/>
    <x v="0"/>
    <s v="complete"/>
    <d v="2025-07-13T00:00:00"/>
    <n v="7380"/>
    <d v="2025-07-31T00:00:00"/>
    <n v="24724"/>
    <n v="32104"/>
    <n v="0"/>
  </r>
  <r>
    <x v="1060"/>
    <s v="BR004"/>
    <n v="48"/>
    <s v="F"/>
    <s v="3-6L"/>
    <s v="online"/>
    <x v="0"/>
    <s v="complete"/>
    <d v="2025-01-26T00:00:00"/>
    <n v="30242"/>
    <d v="2025-07-31T00:00:00"/>
    <n v="38206"/>
    <n v="68448"/>
    <n v="0"/>
  </r>
  <r>
    <x v="1061"/>
    <s v="BR015"/>
    <n v="57"/>
    <s v="M"/>
    <s v="6-10L"/>
    <s v="online"/>
    <x v="1"/>
    <s v="complete"/>
    <d v="2022-07-03T00:00:00"/>
    <n v="83398"/>
    <d v="2025-05-05T00:00:00"/>
    <n v="36192"/>
    <n v="119590"/>
    <n v="0"/>
  </r>
  <r>
    <x v="1062"/>
    <s v="BR010"/>
    <n v="54"/>
    <s v="F"/>
    <s v="&gt;10L"/>
    <s v="online"/>
    <x v="0"/>
    <s v="complete"/>
    <d v="2022-12-09T00:00:00"/>
    <n v="15359"/>
    <d v="2025-06-21T00:00:00"/>
    <n v="5186"/>
    <n v="20545"/>
    <n v="0"/>
  </r>
  <r>
    <x v="1063"/>
    <s v="BR017"/>
    <n v="53"/>
    <s v="F"/>
    <s v="3-6L"/>
    <s v="branch"/>
    <x v="0"/>
    <s v="complete"/>
    <d v="2024-01-26T00:00:00"/>
    <n v="1829"/>
    <d v="2025-07-27T00:00:00"/>
    <n v="24224"/>
    <n v="26053"/>
    <n v="0"/>
  </r>
  <r>
    <x v="1064"/>
    <s v="BR012"/>
    <n v="41"/>
    <s v="F"/>
    <s v="3-6L"/>
    <s v="branch"/>
    <x v="0"/>
    <s v="complete"/>
    <d v="2021-01-29T00:00:00"/>
    <n v="23579"/>
    <d v="2025-07-19T00:00:00"/>
    <n v="9803"/>
    <n v="33382"/>
    <n v="0"/>
  </r>
  <r>
    <x v="1065"/>
    <s v="BR020"/>
    <n v="48"/>
    <s v="F"/>
    <s v="&lt;3L"/>
    <s v="branch"/>
    <x v="1"/>
    <s v="complete"/>
    <d v="2024-10-04T00:00:00"/>
    <n v="8988"/>
    <d v="2025-07-17T00:00:00"/>
    <n v="7508"/>
    <n v="16496"/>
    <n v="0"/>
  </r>
  <r>
    <x v="1066"/>
    <s v="BR012"/>
    <n v="23"/>
    <s v="M"/>
    <s v="6-10L"/>
    <s v="online"/>
    <x v="0"/>
    <s v="complete"/>
    <d v="2025-01-11T00:00:00"/>
    <n v="4467"/>
    <d v="2025-07-24T00:00:00"/>
    <n v="-1705"/>
    <n v="2762"/>
    <n v="0"/>
  </r>
  <r>
    <x v="1067"/>
    <s v="BR016"/>
    <n v="19"/>
    <s v="F"/>
    <s v="3-6L"/>
    <s v="branch"/>
    <x v="1"/>
    <s v="complete"/>
    <d v="2024-12-05T00:00:00"/>
    <n v="6001"/>
    <d v="2025-07-12T00:00:00"/>
    <n v="9770"/>
    <n v="15771"/>
    <n v="0"/>
  </r>
  <r>
    <x v="1068"/>
    <s v="BR005"/>
    <n v="37"/>
    <s v="M"/>
    <s v="&gt;10L"/>
    <s v="online"/>
    <x v="1"/>
    <s v="complete"/>
    <d v="2022-09-20T00:00:00"/>
    <n v="6262"/>
    <d v="2025-07-08T00:00:00"/>
    <n v="-1799"/>
    <n v="4463"/>
    <n v="0"/>
  </r>
  <r>
    <x v="1069"/>
    <s v="BR016"/>
    <n v="45"/>
    <s v="F"/>
    <s v="3-6L"/>
    <s v="online"/>
    <x v="1"/>
    <s v="complete"/>
    <d v="2023-02-12T00:00:00"/>
    <n v="3259"/>
    <d v="2025-07-31T00:00:00"/>
    <n v="15506"/>
    <n v="18765"/>
    <n v="0"/>
  </r>
  <r>
    <x v="1070"/>
    <s v="BR017"/>
    <n v="28"/>
    <s v="F"/>
    <s v="3-6L"/>
    <s v="online"/>
    <x v="0"/>
    <s v="complete"/>
    <d v="2021-01-21T00:00:00"/>
    <n v="12543"/>
    <d v="2025-07-09T00:00:00"/>
    <n v="-2415"/>
    <n v="10128"/>
    <n v="0"/>
  </r>
  <r>
    <x v="1071"/>
    <s v="BR015"/>
    <n v="21"/>
    <s v="M"/>
    <s v="3-6L"/>
    <s v="online"/>
    <x v="0"/>
    <s v="complete"/>
    <d v="2022-10-31T00:00:00"/>
    <n v="83129"/>
    <d v="2025-07-14T00:00:00"/>
    <n v="-8936"/>
    <n v="74193"/>
    <n v="0"/>
  </r>
  <r>
    <x v="1072"/>
    <s v="BR013"/>
    <n v="32"/>
    <s v="M"/>
    <s v="6-10L"/>
    <s v="online"/>
    <x v="0"/>
    <s v="complete"/>
    <d v="2023-02-10T00:00:00"/>
    <n v="4451"/>
    <d v="2025-07-22T00:00:00"/>
    <n v="-2553"/>
    <n v="1898"/>
    <n v="0"/>
  </r>
  <r>
    <x v="1073"/>
    <s v="BR008"/>
    <n v="23"/>
    <s v="F"/>
    <s v="3-6L"/>
    <s v="online"/>
    <x v="0"/>
    <s v="complete"/>
    <d v="2025-02-26T00:00:00"/>
    <n v="80608"/>
    <d v="2025-06-18T00:00:00"/>
    <n v="936"/>
    <n v="81544"/>
    <n v="0"/>
  </r>
  <r>
    <x v="1074"/>
    <s v="BR002"/>
    <n v="66"/>
    <s v="F"/>
    <s v="3-6L"/>
    <s v="branch"/>
    <x v="0"/>
    <s v="complete"/>
    <d v="2025-02-04T00:00:00"/>
    <n v="16451"/>
    <d v="2025-07-29T00:00:00"/>
    <n v="6442"/>
    <n v="22893"/>
    <n v="0"/>
  </r>
  <r>
    <x v="1075"/>
    <s v="BR008"/>
    <n v="47"/>
    <s v="F"/>
    <s v="&gt;10L"/>
    <s v="branch"/>
    <x v="0"/>
    <s v="complete"/>
    <d v="2025-06-05T00:00:00"/>
    <n v="12175"/>
    <d v="2025-07-26T00:00:00"/>
    <n v="7081"/>
    <n v="19256"/>
    <n v="0"/>
  </r>
  <r>
    <x v="1076"/>
    <s v="BR010"/>
    <n v="55"/>
    <s v="M"/>
    <s v="&lt;3L"/>
    <s v="online"/>
    <x v="0"/>
    <s v="complete"/>
    <d v="2025-01-20T00:00:00"/>
    <n v="9682"/>
    <d v="2025-07-30T00:00:00"/>
    <n v="12339"/>
    <n v="22021"/>
    <n v="0"/>
  </r>
  <r>
    <x v="1077"/>
    <s v="BR007"/>
    <n v="68"/>
    <s v="F"/>
    <s v="6-10L"/>
    <s v="online"/>
    <x v="0"/>
    <s v="complete"/>
    <d v="2021-01-14T00:00:00"/>
    <n v="5966"/>
    <d v="2025-03-28T00:00:00"/>
    <n v="-3521"/>
    <n v="2445"/>
    <n v="0"/>
  </r>
  <r>
    <x v="1078"/>
    <s v="BR010"/>
    <n v="19"/>
    <s v="M"/>
    <s v="&lt;3L"/>
    <s v="online"/>
    <x v="0"/>
    <s v="complete"/>
    <d v="2023-12-10T00:00:00"/>
    <n v="17887"/>
    <d v="2025-05-17T00:00:00"/>
    <n v="12641"/>
    <n v="30528"/>
    <n v="0"/>
  </r>
  <r>
    <x v="1079"/>
    <s v="BR004"/>
    <n v="32"/>
    <s v="F"/>
    <s v="6-10L"/>
    <s v="online"/>
    <x v="0"/>
    <s v="pending"/>
    <d v="2021-04-25T00:00:00"/>
    <n v="22516"/>
    <d v="2025-04-24T00:00:00"/>
    <n v="25933"/>
    <n v="48449"/>
    <n v="0"/>
  </r>
  <r>
    <x v="1080"/>
    <s v="BR011"/>
    <n v="28"/>
    <s v="O"/>
    <s v="3-6L"/>
    <s v="branch"/>
    <x v="0"/>
    <s v="complete"/>
    <d v="2022-04-02T00:00:00"/>
    <n v="1182"/>
    <d v="2025-07-27T00:00:00"/>
    <n v="4990"/>
    <n v="6172"/>
    <n v="0"/>
  </r>
  <r>
    <x v="1081"/>
    <s v="BR009"/>
    <n v="25"/>
    <s v="F"/>
    <s v="3-6L"/>
    <s v="online"/>
    <x v="0"/>
    <s v="complete"/>
    <d v="2023-08-26T00:00:00"/>
    <n v="169912"/>
    <d v="2025-07-06T00:00:00"/>
    <n v="48036"/>
    <n v="217948"/>
    <n v="0"/>
  </r>
  <r>
    <x v="1082"/>
    <s v="BR004"/>
    <n v="43"/>
    <s v="F"/>
    <s v="6-10L"/>
    <s v="branch"/>
    <x v="0"/>
    <s v="complete"/>
    <d v="2024-03-18T00:00:00"/>
    <n v="2184"/>
    <d v="2025-07-07T00:00:00"/>
    <n v="35450"/>
    <n v="37634"/>
    <n v="0"/>
  </r>
  <r>
    <x v="1083"/>
    <s v="BR003"/>
    <n v="68"/>
    <s v="M"/>
    <s v="&lt;3L"/>
    <s v="branch"/>
    <x v="1"/>
    <s v="complete"/>
    <d v="2024-01-01T00:00:00"/>
    <n v="7924"/>
    <d v="2025-05-24T00:00:00"/>
    <n v="6333"/>
    <n v="14257"/>
    <n v="0"/>
  </r>
  <r>
    <x v="1084"/>
    <s v="BR011"/>
    <n v="62"/>
    <s v="F"/>
    <s v="&lt;3L"/>
    <s v="online"/>
    <x v="0"/>
    <s v="complete"/>
    <d v="2021-03-24T00:00:00"/>
    <n v="1035"/>
    <d v="2025-06-21T00:00:00"/>
    <n v="11400"/>
    <n v="12435"/>
    <n v="0"/>
  </r>
  <r>
    <x v="1085"/>
    <s v="BR003"/>
    <n v="61"/>
    <s v="F"/>
    <s v="3-6L"/>
    <s v="branch"/>
    <x v="0"/>
    <s v="complete"/>
    <d v="2021-06-23T00:00:00"/>
    <n v="10220"/>
    <d v="2025-05-01T00:00:00"/>
    <n v="9828"/>
    <n v="20048"/>
    <n v="0"/>
  </r>
  <r>
    <x v="1086"/>
    <s v="BR018"/>
    <n v="22"/>
    <s v="M"/>
    <s v="3-6L"/>
    <s v="online"/>
    <x v="0"/>
    <s v="complete"/>
    <d v="2021-08-04T00:00:00"/>
    <n v="8421"/>
    <d v="2025-07-24T00:00:00"/>
    <n v="12272"/>
    <n v="20693"/>
    <n v="0"/>
  </r>
  <r>
    <x v="1087"/>
    <s v="BR019"/>
    <n v="23"/>
    <s v="F"/>
    <s v="3-6L"/>
    <s v="online"/>
    <x v="0"/>
    <s v="complete"/>
    <d v="2021-06-02T00:00:00"/>
    <n v="8009"/>
    <d v="2025-07-19T00:00:00"/>
    <n v="40276"/>
    <n v="48285"/>
    <n v="0"/>
  </r>
  <r>
    <x v="1088"/>
    <s v="BR014"/>
    <n v="43"/>
    <s v="M"/>
    <s v="&lt;3L"/>
    <s v="online"/>
    <x v="0"/>
    <s v="complete"/>
    <d v="2021-10-26T00:00:00"/>
    <n v="18112"/>
    <d v="2025-07-24T00:00:00"/>
    <n v="11710"/>
    <n v="29822"/>
    <n v="0"/>
  </r>
  <r>
    <x v="1089"/>
    <s v="BR011"/>
    <n v="21"/>
    <s v="F"/>
    <s v="&lt;3L"/>
    <s v="online"/>
    <x v="0"/>
    <s v="complete"/>
    <d v="2024-02-26T00:00:00"/>
    <n v="10469"/>
    <d v="2025-07-06T00:00:00"/>
    <n v="878"/>
    <n v="11347"/>
    <n v="0"/>
  </r>
  <r>
    <x v="1090"/>
    <s v="BR002"/>
    <n v="36"/>
    <s v="F"/>
    <s v="&lt;3L"/>
    <s v="online"/>
    <x v="0"/>
    <s v="complete"/>
    <d v="2024-10-21T00:00:00"/>
    <n v="22889"/>
    <d v="2025-07-30T00:00:00"/>
    <n v="16109"/>
    <n v="38998"/>
    <n v="0"/>
  </r>
  <r>
    <x v="1091"/>
    <s v="BR002"/>
    <n v="37"/>
    <s v="F"/>
    <s v="&lt;3L"/>
    <s v="online"/>
    <x v="0"/>
    <s v="pending"/>
    <d v="2022-11-15T00:00:00"/>
    <n v="3876"/>
    <d v="2025-05-24T00:00:00"/>
    <n v="11162"/>
    <n v="15038"/>
    <n v="0"/>
  </r>
  <r>
    <x v="1092"/>
    <s v="BR002"/>
    <n v="50"/>
    <s v="M"/>
    <s v="3-6L"/>
    <s v="branch"/>
    <x v="0"/>
    <s v="complete"/>
    <d v="2024-03-05T00:00:00"/>
    <n v="14435"/>
    <d v="2025-06-30T00:00:00"/>
    <n v="24779"/>
    <n v="39214"/>
    <n v="0"/>
  </r>
  <r>
    <x v="1093"/>
    <s v="BR010"/>
    <n v="37"/>
    <s v="F"/>
    <s v="6-10L"/>
    <s v="branch"/>
    <x v="0"/>
    <s v="complete"/>
    <d v="2021-12-01T00:00:00"/>
    <n v="7103"/>
    <d v="2025-07-24T00:00:00"/>
    <n v="23494"/>
    <n v="30597"/>
    <n v="0"/>
  </r>
  <r>
    <x v="1094"/>
    <s v="BR015"/>
    <n v="66"/>
    <s v="F"/>
    <s v="&gt;10L"/>
    <s v="branch"/>
    <x v="0"/>
    <s v="complete"/>
    <d v="2025-06-17T00:00:00"/>
    <n v="9225"/>
    <d v="2025-07-30T00:00:00"/>
    <n v="26807"/>
    <n v="36032"/>
    <n v="0"/>
  </r>
  <r>
    <x v="1095"/>
    <s v="BR012"/>
    <n v="29"/>
    <s v="F"/>
    <s v="6-10L"/>
    <s v="online"/>
    <x v="0"/>
    <s v="complete"/>
    <d v="2022-08-09T00:00:00"/>
    <n v="17507"/>
    <d v="2025-07-04T00:00:00"/>
    <n v="9896"/>
    <n v="27403"/>
    <n v="0"/>
  </r>
  <r>
    <x v="1096"/>
    <s v="BR011"/>
    <n v="64"/>
    <s v="M"/>
    <s v="&lt;3L"/>
    <s v="branch"/>
    <x v="0"/>
    <s v="pending"/>
    <d v="2024-11-16T00:00:00"/>
    <n v="8068"/>
    <d v="2025-07-24T00:00:00"/>
    <n v="-12664"/>
    <n v="-4596"/>
    <n v="0"/>
  </r>
  <r>
    <x v="1097"/>
    <s v="BR017"/>
    <n v="18"/>
    <s v="M"/>
    <s v="3-6L"/>
    <s v="branch"/>
    <x v="0"/>
    <s v="complete"/>
    <d v="2025-05-01T00:00:00"/>
    <n v="12026"/>
    <d v="2025-07-24T00:00:00"/>
    <n v="7954"/>
    <n v="19980"/>
    <n v="0"/>
  </r>
  <r>
    <x v="1098"/>
    <s v="BR018"/>
    <n v="43"/>
    <s v="F"/>
    <s v="&lt;3L"/>
    <s v="branch"/>
    <x v="0"/>
    <s v="complete"/>
    <d v="2024-12-17T00:00:00"/>
    <n v="4212"/>
    <d v="2025-07-15T00:00:00"/>
    <n v="11895"/>
    <n v="16107"/>
    <n v="0"/>
  </r>
  <r>
    <x v="1099"/>
    <s v="BR014"/>
    <n v="31"/>
    <s v="M"/>
    <s v="3-6L"/>
    <s v="branch"/>
    <x v="1"/>
    <s v="pending"/>
    <d v="2021-04-23T00:00:00"/>
    <n v="39955"/>
    <d v="2025-05-18T00:00:00"/>
    <n v="15255"/>
    <n v="55210"/>
    <n v="0"/>
  </r>
  <r>
    <x v="1100"/>
    <s v="BR017"/>
    <n v="55"/>
    <s v="F"/>
    <s v="3-6L"/>
    <s v="branch"/>
    <x v="0"/>
    <s v="complete"/>
    <d v="2023-12-24T00:00:00"/>
    <n v="27679"/>
    <d v="2025-03-20T00:00:00"/>
    <n v="41124"/>
    <n v="68803"/>
    <n v="0"/>
  </r>
  <r>
    <x v="1101"/>
    <s v="BR015"/>
    <n v="54"/>
    <s v="F"/>
    <s v="&lt;3L"/>
    <s v="online"/>
    <x v="0"/>
    <s v="complete"/>
    <d v="2021-07-20T00:00:00"/>
    <n v="14765"/>
    <d v="2025-07-15T00:00:00"/>
    <n v="9268"/>
    <n v="24033"/>
    <n v="0"/>
  </r>
  <r>
    <x v="1102"/>
    <s v="BR012"/>
    <n v="28"/>
    <s v="F"/>
    <s v="&lt;3L"/>
    <s v="branch"/>
    <x v="1"/>
    <s v="complete"/>
    <d v="2021-01-10T00:00:00"/>
    <n v="10481"/>
    <d v="2025-02-09T00:00:00"/>
    <n v="5707"/>
    <n v="16188"/>
    <n v="0"/>
  </r>
  <r>
    <x v="1103"/>
    <s v="BR016"/>
    <n v="53"/>
    <s v="F"/>
    <s v="&gt;10L"/>
    <s v="online"/>
    <x v="0"/>
    <s v="complete"/>
    <d v="2021-03-28T00:00:00"/>
    <n v="12036"/>
    <d v="2025-06-09T00:00:00"/>
    <n v="-8645"/>
    <n v="3391"/>
    <n v="0"/>
  </r>
  <r>
    <x v="1104"/>
    <s v="BR006"/>
    <n v="30"/>
    <s v="F"/>
    <s v="3-6L"/>
    <s v="branch"/>
    <x v="0"/>
    <s v="complete"/>
    <d v="2025-03-13T00:00:00"/>
    <n v="39106"/>
    <d v="2025-07-29T00:00:00"/>
    <n v="28400"/>
    <n v="67506"/>
    <n v="0"/>
  </r>
  <r>
    <x v="1105"/>
    <s v="BR002"/>
    <n v="60"/>
    <s v="M"/>
    <s v="3-6L"/>
    <s v="online"/>
    <x v="1"/>
    <s v="complete"/>
    <d v="2025-02-28T00:00:00"/>
    <n v="25786"/>
    <d v="2025-07-27T00:00:00"/>
    <n v="4336"/>
    <n v="30122"/>
    <n v="0"/>
  </r>
  <r>
    <x v="1106"/>
    <s v="BR002"/>
    <n v="20"/>
    <s v="M"/>
    <s v="&lt;3L"/>
    <s v="online"/>
    <x v="0"/>
    <s v="complete"/>
    <d v="2022-01-13T00:00:00"/>
    <n v="39769"/>
    <d v="2025-07-23T00:00:00"/>
    <n v="36901"/>
    <n v="76670"/>
    <n v="0"/>
  </r>
  <r>
    <x v="1107"/>
    <s v="BR016"/>
    <n v="50"/>
    <s v="M"/>
    <s v="&lt;3L"/>
    <s v="online"/>
    <x v="0"/>
    <s v="complete"/>
    <d v="2023-07-05T00:00:00"/>
    <n v="9491"/>
    <d v="2025-05-12T00:00:00"/>
    <n v="18343"/>
    <n v="27834"/>
    <n v="0"/>
  </r>
  <r>
    <x v="1108"/>
    <s v="BR002"/>
    <n v="23"/>
    <s v="M"/>
    <s v="6-10L"/>
    <s v="branch"/>
    <x v="0"/>
    <s v="complete"/>
    <d v="2025-05-17T00:00:00"/>
    <n v="21664"/>
    <d v="2025-07-31T00:00:00"/>
    <n v="19534"/>
    <n v="41198"/>
    <n v="0"/>
  </r>
  <r>
    <x v="1109"/>
    <s v="BR008"/>
    <n v="67"/>
    <s v="F"/>
    <s v="&lt;3L"/>
    <s v="online"/>
    <x v="0"/>
    <s v="complete"/>
    <d v="2023-04-11T00:00:00"/>
    <n v="43856"/>
    <d v="2025-07-22T00:00:00"/>
    <n v="31982"/>
    <n v="75838"/>
    <n v="0"/>
  </r>
  <r>
    <x v="1110"/>
    <s v="BR007"/>
    <n v="27"/>
    <s v="F"/>
    <s v="3-6L"/>
    <s v="online"/>
    <x v="0"/>
    <s v="complete"/>
    <d v="2022-10-21T00:00:00"/>
    <n v="5291"/>
    <d v="2025-04-30T00:00:00"/>
    <n v="12260"/>
    <n v="17551"/>
    <n v="0"/>
  </r>
  <r>
    <x v="1111"/>
    <s v="BR001"/>
    <n v="22"/>
    <s v="F"/>
    <s v="&lt;3L"/>
    <s v="branch"/>
    <x v="1"/>
    <s v="complete"/>
    <d v="2023-03-20T00:00:00"/>
    <n v="4969"/>
    <d v="2025-07-17T00:00:00"/>
    <n v="-4769"/>
    <n v="200"/>
    <n v="0"/>
  </r>
  <r>
    <x v="1112"/>
    <s v="BR004"/>
    <n v="40"/>
    <s v="F"/>
    <s v="3-6L"/>
    <s v="branch"/>
    <x v="0"/>
    <s v="complete"/>
    <d v="2024-08-15T00:00:00"/>
    <n v="17592"/>
    <d v="2025-07-30T00:00:00"/>
    <n v="6754"/>
    <n v="24346"/>
    <n v="0"/>
  </r>
  <r>
    <x v="1113"/>
    <s v="BR011"/>
    <n v="27"/>
    <s v="O"/>
    <s v="&lt;3L"/>
    <s v="online"/>
    <x v="0"/>
    <s v="complete"/>
    <d v="2023-03-10T00:00:00"/>
    <n v="3886"/>
    <d v="2025-07-06T00:00:00"/>
    <n v="17766"/>
    <n v="21652"/>
    <n v="0"/>
  </r>
  <r>
    <x v="1114"/>
    <s v="BR020"/>
    <n v="61"/>
    <s v="F"/>
    <s v="6-10L"/>
    <s v="online"/>
    <x v="1"/>
    <s v="complete"/>
    <d v="2024-08-03T00:00:00"/>
    <n v="2174"/>
    <d v="2025-07-09T00:00:00"/>
    <n v="18354"/>
    <n v="20528"/>
    <n v="0"/>
  </r>
  <r>
    <x v="1115"/>
    <s v="BR007"/>
    <n v="19"/>
    <s v="F"/>
    <s v="6-10L"/>
    <s v="branch"/>
    <x v="0"/>
    <s v="complete"/>
    <d v="2022-12-24T00:00:00"/>
    <n v="43245"/>
    <d v="2025-07-11T00:00:00"/>
    <n v="4630"/>
    <n v="47875"/>
    <n v="0"/>
  </r>
  <r>
    <x v="1116"/>
    <s v="BR018"/>
    <n v="30"/>
    <s v="F"/>
    <s v="6-10L"/>
    <s v="branch"/>
    <x v="0"/>
    <s v="complete"/>
    <d v="2022-02-26T00:00:00"/>
    <n v="51477"/>
    <d v="2025-07-20T00:00:00"/>
    <n v="9916"/>
    <n v="61393"/>
    <n v="0"/>
  </r>
  <r>
    <x v="1117"/>
    <s v="BR004"/>
    <n v="57"/>
    <s v="M"/>
    <s v="3-6L"/>
    <s v="online"/>
    <x v="0"/>
    <s v="complete"/>
    <d v="2022-07-01T00:00:00"/>
    <n v="4105"/>
    <d v="2025-05-20T00:00:00"/>
    <n v="28008"/>
    <n v="32113"/>
    <n v="0"/>
  </r>
  <r>
    <x v="1118"/>
    <s v="BR017"/>
    <n v="19"/>
    <s v="M"/>
    <s v="6-10L"/>
    <s v="branch"/>
    <x v="0"/>
    <s v="complete"/>
    <d v="2021-05-11T00:00:00"/>
    <n v="3191"/>
    <d v="2025-07-05T00:00:00"/>
    <n v="15238"/>
    <n v="18429"/>
    <n v="0"/>
  </r>
  <r>
    <x v="1119"/>
    <s v="BR011"/>
    <n v="37"/>
    <s v="M"/>
    <s v="3-6L"/>
    <s v="online"/>
    <x v="0"/>
    <s v="complete"/>
    <d v="2023-04-13T00:00:00"/>
    <n v="6952"/>
    <d v="2025-07-26T00:00:00"/>
    <n v="1706"/>
    <n v="8658"/>
    <n v="0"/>
  </r>
  <r>
    <x v="1120"/>
    <s v="BR011"/>
    <n v="18"/>
    <s v="F"/>
    <s v="3-6L"/>
    <s v="branch"/>
    <x v="0"/>
    <s v="complete"/>
    <d v="2021-09-05T00:00:00"/>
    <n v="46761"/>
    <d v="2025-07-03T00:00:00"/>
    <n v="7107"/>
    <n v="53868"/>
    <n v="0"/>
  </r>
  <r>
    <x v="1121"/>
    <s v="BR020"/>
    <n v="54"/>
    <s v="F"/>
    <s v="3-6L"/>
    <s v="branch"/>
    <x v="1"/>
    <s v="complete"/>
    <d v="2024-09-19T00:00:00"/>
    <n v="8860"/>
    <d v="2025-07-20T00:00:00"/>
    <n v="4203"/>
    <n v="13063"/>
    <n v="0"/>
  </r>
  <r>
    <x v="1122"/>
    <s v="BR011"/>
    <n v="26"/>
    <s v="M"/>
    <s v="&lt;3L"/>
    <s v="online"/>
    <x v="1"/>
    <s v="complete"/>
    <d v="2022-12-05T00:00:00"/>
    <n v="14687"/>
    <d v="2025-07-01T00:00:00"/>
    <n v="26069"/>
    <n v="40756"/>
    <n v="0"/>
  </r>
  <r>
    <x v="1123"/>
    <s v="BR015"/>
    <n v="34"/>
    <s v="F"/>
    <s v="&lt;3L"/>
    <s v="online"/>
    <x v="0"/>
    <s v="complete"/>
    <d v="2024-07-03T00:00:00"/>
    <n v="18489"/>
    <d v="2025-07-23T00:00:00"/>
    <n v="-3984"/>
    <n v="14505"/>
    <n v="0"/>
  </r>
  <r>
    <x v="1124"/>
    <s v="BR014"/>
    <n v="26"/>
    <s v="F"/>
    <s v="6-10L"/>
    <s v="branch"/>
    <x v="0"/>
    <s v="complete"/>
    <d v="2025-05-16T00:00:00"/>
    <n v="15896"/>
    <d v="2025-07-31T00:00:00"/>
    <n v="8727"/>
    <n v="24623"/>
    <n v="0"/>
  </r>
  <r>
    <x v="1125"/>
    <s v="BR017"/>
    <n v="28"/>
    <s v="M"/>
    <s v="&lt;3L"/>
    <s v="branch"/>
    <x v="0"/>
    <s v="pending"/>
    <d v="2024-11-22T00:00:00"/>
    <n v="59520"/>
    <d v="2025-07-25T00:00:00"/>
    <n v="8738"/>
    <n v="68258"/>
    <n v="0"/>
  </r>
  <r>
    <x v="1126"/>
    <s v="BR002"/>
    <n v="32"/>
    <s v="M"/>
    <s v="3-6L"/>
    <s v="online"/>
    <x v="0"/>
    <s v="complete"/>
    <d v="2025-05-11T00:00:00"/>
    <n v="6504"/>
    <d v="2025-07-31T00:00:00"/>
    <n v="-3685"/>
    <n v="2819"/>
    <n v="0"/>
  </r>
  <r>
    <x v="1127"/>
    <s v="BR018"/>
    <n v="41"/>
    <s v="F"/>
    <s v="3-6L"/>
    <s v="branch"/>
    <x v="0"/>
    <s v="complete"/>
    <d v="2023-08-09T00:00:00"/>
    <n v="12062"/>
    <d v="2025-06-25T00:00:00"/>
    <n v="2432"/>
    <n v="14494"/>
    <n v="0"/>
  </r>
  <r>
    <x v="1128"/>
    <s v="BR016"/>
    <n v="55"/>
    <s v="M"/>
    <s v="6-10L"/>
    <s v="branch"/>
    <x v="0"/>
    <s v="complete"/>
    <d v="2021-10-04T00:00:00"/>
    <n v="16855"/>
    <d v="2025-07-31T00:00:00"/>
    <n v="27958"/>
    <n v="44813"/>
    <n v="0"/>
  </r>
  <r>
    <x v="1129"/>
    <s v="BR012"/>
    <n v="52"/>
    <s v="M"/>
    <s v="&gt;10L"/>
    <s v="online"/>
    <x v="0"/>
    <s v="complete"/>
    <d v="2025-04-14T00:00:00"/>
    <n v="12721"/>
    <d v="2025-07-30T00:00:00"/>
    <n v="14173"/>
    <n v="26894"/>
    <n v="0"/>
  </r>
  <r>
    <x v="1130"/>
    <s v="BR010"/>
    <n v="47"/>
    <s v="F"/>
    <s v="6-10L"/>
    <s v="branch"/>
    <x v="0"/>
    <s v="complete"/>
    <d v="2024-12-24T00:00:00"/>
    <n v="3948"/>
    <d v="2025-07-24T00:00:00"/>
    <n v="9042"/>
    <n v="12990"/>
    <n v="0"/>
  </r>
  <r>
    <x v="1131"/>
    <s v="BR016"/>
    <n v="48"/>
    <s v="F"/>
    <s v="3-6L"/>
    <s v="online"/>
    <x v="0"/>
    <s v="complete"/>
    <d v="2024-12-17T00:00:00"/>
    <n v="3064"/>
    <d v="2025-06-28T00:00:00"/>
    <n v="-4612"/>
    <n v="-1548"/>
    <n v="0"/>
  </r>
  <r>
    <x v="1132"/>
    <s v="BR003"/>
    <n v="66"/>
    <s v="F"/>
    <s v="&lt;3L"/>
    <s v="branch"/>
    <x v="0"/>
    <s v="complete"/>
    <d v="2024-03-05T00:00:00"/>
    <n v="3000"/>
    <d v="2025-06-29T00:00:00"/>
    <n v="13217"/>
    <n v="16217"/>
    <n v="0"/>
  </r>
  <r>
    <x v="1133"/>
    <s v="BR008"/>
    <n v="22"/>
    <s v="M"/>
    <s v="3-6L"/>
    <s v="online"/>
    <x v="0"/>
    <s v="complete"/>
    <d v="2023-11-12T00:00:00"/>
    <n v="27619"/>
    <d v="2025-07-29T00:00:00"/>
    <n v="-24"/>
    <n v="27595"/>
    <n v="0"/>
  </r>
  <r>
    <x v="1134"/>
    <s v="BR002"/>
    <n v="61"/>
    <s v="M"/>
    <s v="&lt;3L"/>
    <s v="online"/>
    <x v="0"/>
    <s v="complete"/>
    <d v="2021-01-25T00:00:00"/>
    <n v="5882"/>
    <d v="2025-04-16T00:00:00"/>
    <n v="-4817"/>
    <n v="1065"/>
    <n v="0"/>
  </r>
  <r>
    <x v="1135"/>
    <s v="BR001"/>
    <n v="67"/>
    <s v="F"/>
    <s v="&lt;3L"/>
    <s v="online"/>
    <x v="0"/>
    <s v="complete"/>
    <d v="2024-06-05T00:00:00"/>
    <n v="21360"/>
    <d v="2025-07-31T00:00:00"/>
    <n v="-4397"/>
    <n v="16963"/>
    <n v="0"/>
  </r>
  <r>
    <x v="1136"/>
    <s v="BR014"/>
    <n v="31"/>
    <s v="F"/>
    <s v="3-6L"/>
    <s v="branch"/>
    <x v="0"/>
    <s v="complete"/>
    <d v="2021-06-03T00:00:00"/>
    <n v="14570"/>
    <d v="2025-06-08T00:00:00"/>
    <n v="24722"/>
    <n v="39292"/>
    <n v="0"/>
  </r>
  <r>
    <x v="1137"/>
    <s v="BR004"/>
    <n v="28"/>
    <s v="F"/>
    <s v="3-6L"/>
    <s v="branch"/>
    <x v="0"/>
    <s v="complete"/>
    <d v="2022-03-11T00:00:00"/>
    <n v="5040"/>
    <d v="2025-07-13T00:00:00"/>
    <n v="19724"/>
    <n v="24764"/>
    <n v="0"/>
  </r>
  <r>
    <x v="1138"/>
    <s v="BR004"/>
    <n v="26"/>
    <s v="M"/>
    <s v="&gt;10L"/>
    <s v="branch"/>
    <x v="0"/>
    <s v="complete"/>
    <d v="2023-07-12T00:00:00"/>
    <n v="5167"/>
    <d v="2025-06-20T00:00:00"/>
    <n v="-7914"/>
    <n v="-2747"/>
    <n v="0"/>
  </r>
  <r>
    <x v="1139"/>
    <s v="BR009"/>
    <n v="51"/>
    <s v="F"/>
    <s v="&lt;3L"/>
    <s v="branch"/>
    <x v="0"/>
    <s v="complete"/>
    <d v="2023-01-26T00:00:00"/>
    <n v="15276"/>
    <d v="2025-07-14T00:00:00"/>
    <n v="13934"/>
    <n v="29210"/>
    <n v="0"/>
  </r>
  <r>
    <x v="1140"/>
    <s v="BR003"/>
    <n v="29"/>
    <s v="M"/>
    <s v="3-6L"/>
    <s v="online"/>
    <x v="0"/>
    <s v="complete"/>
    <d v="2021-01-27T00:00:00"/>
    <n v="14439"/>
    <d v="2025-06-18T00:00:00"/>
    <n v="11386"/>
    <n v="25825"/>
    <n v="0"/>
  </r>
  <r>
    <x v="1141"/>
    <s v="BR005"/>
    <n v="52"/>
    <s v="M"/>
    <s v="&lt;3L"/>
    <s v="branch"/>
    <x v="0"/>
    <s v="complete"/>
    <d v="2024-10-10T00:00:00"/>
    <n v="21852"/>
    <d v="2025-07-12T00:00:00"/>
    <n v="36576"/>
    <n v="58428"/>
    <n v="0"/>
  </r>
  <r>
    <x v="1142"/>
    <s v="BR001"/>
    <n v="52"/>
    <s v="M"/>
    <s v="&gt;10L"/>
    <s v="online"/>
    <x v="0"/>
    <s v="complete"/>
    <d v="2025-01-10T00:00:00"/>
    <n v="8455"/>
    <d v="2025-07-25T00:00:00"/>
    <n v="9127"/>
    <n v="17582"/>
    <n v="0"/>
  </r>
  <r>
    <x v="1143"/>
    <s v="BR019"/>
    <n v="18"/>
    <s v="M"/>
    <s v="6-10L"/>
    <s v="branch"/>
    <x v="0"/>
    <s v="complete"/>
    <d v="2024-02-15T00:00:00"/>
    <n v="5729"/>
    <d v="2025-07-14T00:00:00"/>
    <n v="19254"/>
    <n v="24983"/>
    <n v="0"/>
  </r>
  <r>
    <x v="1144"/>
    <s v="BR001"/>
    <n v="57"/>
    <s v="F"/>
    <s v="6-10L"/>
    <s v="online"/>
    <x v="1"/>
    <s v="complete"/>
    <d v="2023-06-25T00:00:00"/>
    <n v="14911"/>
    <d v="2025-05-30T00:00:00"/>
    <n v="11334"/>
    <n v="26245"/>
    <n v="0"/>
  </r>
  <r>
    <x v="1145"/>
    <s v="BR010"/>
    <n v="39"/>
    <s v="F"/>
    <s v="&gt;10L"/>
    <s v="branch"/>
    <x v="0"/>
    <s v="complete"/>
    <d v="2025-05-27T00:00:00"/>
    <n v="55266"/>
    <d v="2025-07-29T00:00:00"/>
    <n v="-340"/>
    <n v="54926"/>
    <n v="0"/>
  </r>
  <r>
    <x v="1146"/>
    <s v="BR012"/>
    <n v="46"/>
    <s v="M"/>
    <s v="3-6L"/>
    <s v="branch"/>
    <x v="1"/>
    <s v="complete"/>
    <d v="2021-07-20T00:00:00"/>
    <n v="2045"/>
    <d v="2025-07-01T00:00:00"/>
    <n v="38842"/>
    <n v="40887"/>
    <n v="0"/>
  </r>
  <r>
    <x v="1147"/>
    <s v="BR010"/>
    <n v="25"/>
    <s v="F"/>
    <s v="3-6L"/>
    <s v="branch"/>
    <x v="0"/>
    <s v="complete"/>
    <d v="2024-05-19T00:00:00"/>
    <n v="6009"/>
    <d v="2025-07-01T00:00:00"/>
    <n v="26306"/>
    <n v="32315"/>
    <n v="0"/>
  </r>
  <r>
    <x v="1148"/>
    <s v="BR002"/>
    <n v="28"/>
    <s v="M"/>
    <s v="3-6L"/>
    <s v="online"/>
    <x v="0"/>
    <s v="complete"/>
    <d v="2021-08-03T00:00:00"/>
    <n v="24111"/>
    <d v="2025-07-25T00:00:00"/>
    <n v="5628"/>
    <n v="29739"/>
    <n v="0"/>
  </r>
  <r>
    <x v="1149"/>
    <s v="BR016"/>
    <n v="58"/>
    <s v="F"/>
    <s v="3-6L"/>
    <s v="online"/>
    <x v="0"/>
    <s v="complete"/>
    <d v="2022-10-01T00:00:00"/>
    <n v="16589"/>
    <d v="2025-05-17T00:00:00"/>
    <n v="28399"/>
    <n v="44988"/>
    <n v="0"/>
  </r>
  <r>
    <x v="1150"/>
    <s v="BR008"/>
    <n v="54"/>
    <s v="F"/>
    <s v="3-6L"/>
    <s v="online"/>
    <x v="0"/>
    <s v="complete"/>
    <d v="2023-09-07T00:00:00"/>
    <n v="24466"/>
    <d v="2025-07-09T00:00:00"/>
    <n v="-15888"/>
    <n v="8578"/>
    <n v="0"/>
  </r>
  <r>
    <x v="1151"/>
    <s v="BR014"/>
    <n v="31"/>
    <s v="M"/>
    <s v="3-6L"/>
    <s v="branch"/>
    <x v="0"/>
    <s v="complete"/>
    <d v="2024-05-18T00:00:00"/>
    <n v="8694"/>
    <d v="2025-06-30T00:00:00"/>
    <n v="12808"/>
    <n v="21502"/>
    <n v="0"/>
  </r>
  <r>
    <x v="1152"/>
    <s v="BR015"/>
    <n v="47"/>
    <s v="F"/>
    <s v="&gt;10L"/>
    <s v="online"/>
    <x v="0"/>
    <s v="complete"/>
    <d v="2021-01-07T00:00:00"/>
    <n v="2665"/>
    <d v="2025-05-01T00:00:00"/>
    <n v="10577"/>
    <n v="13242"/>
    <n v="0"/>
  </r>
  <r>
    <x v="1153"/>
    <s v="BR016"/>
    <n v="52"/>
    <s v="M"/>
    <s v="&gt;10L"/>
    <s v="branch"/>
    <x v="0"/>
    <s v="complete"/>
    <d v="2022-03-12T00:00:00"/>
    <n v="71075"/>
    <d v="2025-07-11T00:00:00"/>
    <n v="28038"/>
    <n v="99113"/>
    <n v="0"/>
  </r>
  <r>
    <x v="1154"/>
    <s v="BR011"/>
    <n v="38"/>
    <s v="M"/>
    <s v="6-10L"/>
    <s v="online"/>
    <x v="0"/>
    <s v="complete"/>
    <d v="2023-06-20T00:00:00"/>
    <n v="39491"/>
    <d v="2025-06-20T00:00:00"/>
    <n v="10035"/>
    <n v="49526"/>
    <n v="0"/>
  </r>
  <r>
    <x v="1155"/>
    <s v="BR012"/>
    <n v="54"/>
    <s v="M"/>
    <s v="6-10L"/>
    <s v="online"/>
    <x v="0"/>
    <s v="pending"/>
    <d v="2023-06-11T00:00:00"/>
    <n v="13041"/>
    <d v="2025-07-09T00:00:00"/>
    <n v="4321"/>
    <n v="17362"/>
    <n v="0"/>
  </r>
  <r>
    <x v="1156"/>
    <s v="BR002"/>
    <n v="22"/>
    <s v="F"/>
    <s v="6-10L"/>
    <s v="branch"/>
    <x v="0"/>
    <s v="complete"/>
    <d v="2023-12-03T00:00:00"/>
    <n v="5758"/>
    <d v="2025-05-12T00:00:00"/>
    <n v="18039"/>
    <n v="23797"/>
    <n v="0"/>
  </r>
  <r>
    <x v="1157"/>
    <s v="BR004"/>
    <n v="36"/>
    <s v="F"/>
    <s v="&lt;3L"/>
    <s v="online"/>
    <x v="0"/>
    <s v="complete"/>
    <d v="2022-05-24T00:00:00"/>
    <n v="8180"/>
    <d v="2025-05-17T00:00:00"/>
    <n v="2063"/>
    <n v="10243"/>
    <n v="0"/>
  </r>
  <r>
    <x v="1158"/>
    <s v="BR003"/>
    <n v="31"/>
    <s v="M"/>
    <s v="&lt;3L"/>
    <s v="branch"/>
    <x v="0"/>
    <s v="complete"/>
    <d v="2023-06-24T00:00:00"/>
    <n v="16799"/>
    <d v="2025-06-15T00:00:00"/>
    <n v="28053"/>
    <n v="44852"/>
    <n v="0"/>
  </r>
  <r>
    <x v="1159"/>
    <s v="BR009"/>
    <n v="43"/>
    <s v="F"/>
    <s v="6-10L"/>
    <s v="branch"/>
    <x v="0"/>
    <s v="complete"/>
    <d v="2021-11-14T00:00:00"/>
    <n v="10388"/>
    <d v="2025-07-11T00:00:00"/>
    <n v="26388"/>
    <n v="36776"/>
    <n v="0"/>
  </r>
  <r>
    <x v="1160"/>
    <s v="BR018"/>
    <n v="21"/>
    <s v="F"/>
    <s v="6-10L"/>
    <s v="online"/>
    <x v="1"/>
    <s v="complete"/>
    <d v="2021-11-09T00:00:00"/>
    <n v="13167"/>
    <d v="2025-05-06T00:00:00"/>
    <n v="19246"/>
    <n v="32413"/>
    <n v="0"/>
  </r>
  <r>
    <x v="1161"/>
    <s v="BR019"/>
    <n v="42"/>
    <s v="F"/>
    <s v="&lt;3L"/>
    <s v="online"/>
    <x v="0"/>
    <s v="complete"/>
    <d v="2023-08-23T00:00:00"/>
    <n v="66845"/>
    <d v="2025-01-12T00:00:00"/>
    <n v="-325"/>
    <n v="66520"/>
    <n v="1"/>
  </r>
  <r>
    <x v="1162"/>
    <s v="BR007"/>
    <n v="62"/>
    <s v="F"/>
    <s v="&gt;10L"/>
    <s v="online"/>
    <x v="0"/>
    <s v="complete"/>
    <d v="2024-02-21T00:00:00"/>
    <n v="33647"/>
    <d v="2025-07-28T00:00:00"/>
    <n v="2518"/>
    <n v="36165"/>
    <n v="0"/>
  </r>
  <r>
    <x v="1163"/>
    <s v="BR004"/>
    <n v="59"/>
    <s v="F"/>
    <s v="&lt;3L"/>
    <s v="online"/>
    <x v="0"/>
    <s v="complete"/>
    <d v="2021-07-21T00:00:00"/>
    <n v="4143"/>
    <d v="2025-07-14T00:00:00"/>
    <n v="12698"/>
    <n v="16841"/>
    <n v="0"/>
  </r>
  <r>
    <x v="1164"/>
    <s v="BR006"/>
    <n v="42"/>
    <s v="M"/>
    <s v="3-6L"/>
    <s v="branch"/>
    <x v="0"/>
    <s v="complete"/>
    <d v="2021-07-25T00:00:00"/>
    <n v="14428"/>
    <d v="2025-06-28T00:00:00"/>
    <n v="27122"/>
    <n v="41550"/>
    <n v="0"/>
  </r>
  <r>
    <x v="1165"/>
    <s v="BR019"/>
    <n v="35"/>
    <s v="M"/>
    <s v="6-10L"/>
    <s v="online"/>
    <x v="0"/>
    <s v="complete"/>
    <d v="2023-08-04T00:00:00"/>
    <n v="7940"/>
    <d v="2025-07-05T00:00:00"/>
    <n v="4789"/>
    <n v="12729"/>
    <n v="0"/>
  </r>
  <r>
    <x v="1166"/>
    <s v="BR001"/>
    <n v="57"/>
    <s v="O"/>
    <s v="&lt;3L"/>
    <s v="online"/>
    <x v="1"/>
    <s v="pending"/>
    <d v="2022-03-28T00:00:00"/>
    <n v="17997"/>
    <d v="2025-07-31T00:00:00"/>
    <n v="22448"/>
    <n v="40445"/>
    <n v="0"/>
  </r>
  <r>
    <x v="1167"/>
    <s v="BR016"/>
    <n v="25"/>
    <s v="M"/>
    <s v="&lt;3L"/>
    <s v="online"/>
    <x v="0"/>
    <s v="complete"/>
    <d v="2022-10-19T00:00:00"/>
    <n v="12540"/>
    <d v="2025-06-29T00:00:00"/>
    <n v="3613"/>
    <n v="16153"/>
    <n v="0"/>
  </r>
  <r>
    <x v="1168"/>
    <s v="BR011"/>
    <n v="56"/>
    <s v="O"/>
    <s v="3-6L"/>
    <s v="online"/>
    <x v="0"/>
    <s v="complete"/>
    <d v="2022-11-02T00:00:00"/>
    <n v="259808"/>
    <d v="2025-06-15T00:00:00"/>
    <n v="-16209"/>
    <n v="243599"/>
    <n v="0"/>
  </r>
  <r>
    <x v="1169"/>
    <s v="BR004"/>
    <n v="57"/>
    <s v="F"/>
    <s v="6-10L"/>
    <s v="online"/>
    <x v="1"/>
    <s v="complete"/>
    <d v="2021-10-26T00:00:00"/>
    <n v="20522"/>
    <d v="2025-07-03T00:00:00"/>
    <n v="35459"/>
    <n v="55981"/>
    <n v="0"/>
  </r>
  <r>
    <x v="1170"/>
    <s v="BR018"/>
    <n v="31"/>
    <s v="M"/>
    <s v="3-6L"/>
    <s v="branch"/>
    <x v="1"/>
    <s v="complete"/>
    <d v="2021-01-03T00:00:00"/>
    <n v="11682"/>
    <d v="2025-07-31T00:00:00"/>
    <n v="19836"/>
    <n v="31518"/>
    <n v="0"/>
  </r>
  <r>
    <x v="1171"/>
    <s v="BR005"/>
    <n v="49"/>
    <s v="M"/>
    <s v="6-10L"/>
    <s v="branch"/>
    <x v="0"/>
    <s v="complete"/>
    <d v="2024-11-28T00:00:00"/>
    <n v="84373"/>
    <d v="2025-07-19T00:00:00"/>
    <n v="10954"/>
    <n v="95327"/>
    <n v="0"/>
  </r>
  <r>
    <x v="1172"/>
    <s v="BR006"/>
    <n v="68"/>
    <s v="M"/>
    <s v="3-6L"/>
    <s v="branch"/>
    <x v="0"/>
    <s v="complete"/>
    <d v="2024-04-11T00:00:00"/>
    <n v="16408"/>
    <d v="2025-07-22T00:00:00"/>
    <n v="41793"/>
    <n v="58201"/>
    <n v="0"/>
  </r>
  <r>
    <x v="1173"/>
    <s v="BR002"/>
    <n v="55"/>
    <s v="F"/>
    <s v="&lt;3L"/>
    <s v="branch"/>
    <x v="0"/>
    <s v="complete"/>
    <d v="2024-03-01T00:00:00"/>
    <n v="2926"/>
    <d v="2025-07-08T00:00:00"/>
    <n v="2802"/>
    <n v="5728"/>
    <n v="0"/>
  </r>
  <r>
    <x v="1174"/>
    <s v="BR012"/>
    <n v="50"/>
    <s v="M"/>
    <s v="&gt;10L"/>
    <s v="online"/>
    <x v="0"/>
    <s v="complete"/>
    <d v="2023-07-04T00:00:00"/>
    <n v="11796"/>
    <d v="2025-07-18T00:00:00"/>
    <n v="5401"/>
    <n v="17197"/>
    <n v="0"/>
  </r>
  <r>
    <x v="1175"/>
    <s v="BR009"/>
    <n v="40"/>
    <s v="M"/>
    <s v="&lt;3L"/>
    <s v="branch"/>
    <x v="0"/>
    <s v="complete"/>
    <d v="2024-03-18T00:00:00"/>
    <n v="24679"/>
    <d v="2025-07-31T00:00:00"/>
    <n v="298"/>
    <n v="24977"/>
    <n v="0"/>
  </r>
  <r>
    <x v="1176"/>
    <s v="BR020"/>
    <n v="32"/>
    <s v="M"/>
    <s v="&gt;10L"/>
    <s v="online"/>
    <x v="0"/>
    <s v="complete"/>
    <d v="2025-04-15T00:00:00"/>
    <n v="21688"/>
    <d v="2025-07-29T00:00:00"/>
    <n v="11915"/>
    <n v="33603"/>
    <n v="0"/>
  </r>
  <r>
    <x v="1177"/>
    <s v="BR012"/>
    <n v="50"/>
    <s v="M"/>
    <s v="3-6L"/>
    <s v="online"/>
    <x v="1"/>
    <s v="complete"/>
    <d v="2024-01-19T00:00:00"/>
    <n v="36504"/>
    <d v="2025-07-11T00:00:00"/>
    <n v="22205"/>
    <n v="58709"/>
    <n v="0"/>
  </r>
  <r>
    <x v="1178"/>
    <s v="BR013"/>
    <n v="42"/>
    <s v="F"/>
    <s v="&gt;10L"/>
    <s v="online"/>
    <x v="0"/>
    <s v="complete"/>
    <d v="2022-03-20T00:00:00"/>
    <n v="15580"/>
    <d v="2025-07-07T00:00:00"/>
    <n v="15951"/>
    <n v="31531"/>
    <n v="0"/>
  </r>
  <r>
    <x v="1179"/>
    <s v="BR017"/>
    <n v="34"/>
    <s v="M"/>
    <s v="&lt;3L"/>
    <s v="online"/>
    <x v="0"/>
    <s v="complete"/>
    <d v="2023-08-13T00:00:00"/>
    <n v="14518"/>
    <d v="2025-05-12T00:00:00"/>
    <n v="-12528"/>
    <n v="1990"/>
    <n v="0"/>
  </r>
  <r>
    <x v="1180"/>
    <s v="BR005"/>
    <n v="50"/>
    <s v="F"/>
    <s v="3-6L"/>
    <s v="branch"/>
    <x v="0"/>
    <s v="complete"/>
    <d v="2023-01-11T00:00:00"/>
    <n v="3286"/>
    <d v="2025-07-22T00:00:00"/>
    <n v="7875"/>
    <n v="11161"/>
    <n v="0"/>
  </r>
  <r>
    <x v="1181"/>
    <s v="BR020"/>
    <n v="64"/>
    <s v="M"/>
    <s v="&lt;3L"/>
    <s v="online"/>
    <x v="0"/>
    <s v="complete"/>
    <d v="2023-07-20T00:00:00"/>
    <n v="61600"/>
    <d v="2025-07-08T00:00:00"/>
    <n v="13291"/>
    <n v="74891"/>
    <n v="0"/>
  </r>
  <r>
    <x v="1182"/>
    <s v="BR013"/>
    <n v="19"/>
    <s v="M"/>
    <s v="&lt;3L"/>
    <s v="branch"/>
    <x v="0"/>
    <s v="complete"/>
    <d v="2023-05-16T00:00:00"/>
    <n v="9842"/>
    <d v="2025-06-09T00:00:00"/>
    <n v="-1498"/>
    <n v="8344"/>
    <n v="0"/>
  </r>
  <r>
    <x v="1183"/>
    <s v="BR013"/>
    <n v="31"/>
    <s v="F"/>
    <s v="3-6L"/>
    <s v="online"/>
    <x v="1"/>
    <s v="complete"/>
    <d v="2024-12-07T00:00:00"/>
    <n v="5016"/>
    <d v="2025-07-29T00:00:00"/>
    <n v="5768"/>
    <n v="10784"/>
    <n v="0"/>
  </r>
  <r>
    <x v="1184"/>
    <s v="BR010"/>
    <n v="57"/>
    <s v="M"/>
    <s v="&lt;3L"/>
    <s v="online"/>
    <x v="0"/>
    <s v="complete"/>
    <d v="2023-12-27T00:00:00"/>
    <n v="184962"/>
    <d v="2025-07-31T00:00:00"/>
    <n v="-3493"/>
    <n v="181469"/>
    <n v="0"/>
  </r>
  <r>
    <x v="1185"/>
    <s v="BR015"/>
    <n v="57"/>
    <s v="O"/>
    <s v="3-6L"/>
    <s v="branch"/>
    <x v="0"/>
    <s v="complete"/>
    <d v="2021-11-12T00:00:00"/>
    <n v="71689"/>
    <d v="2025-07-15T00:00:00"/>
    <n v="18413"/>
    <n v="90102"/>
    <n v="0"/>
  </r>
  <r>
    <x v="1186"/>
    <s v="BR015"/>
    <n v="68"/>
    <s v="F"/>
    <s v="&lt;3L"/>
    <s v="online"/>
    <x v="0"/>
    <s v="pending"/>
    <d v="2021-04-16T00:00:00"/>
    <n v="8538"/>
    <d v="2025-06-28T00:00:00"/>
    <n v="15909"/>
    <n v="24447"/>
    <n v="0"/>
  </r>
  <r>
    <x v="1187"/>
    <s v="BR018"/>
    <n v="56"/>
    <s v="M"/>
    <s v="3-6L"/>
    <s v="online"/>
    <x v="0"/>
    <s v="complete"/>
    <d v="2022-12-11T00:00:00"/>
    <n v="2037"/>
    <d v="2025-07-15T00:00:00"/>
    <n v="11150"/>
    <n v="13187"/>
    <n v="0"/>
  </r>
  <r>
    <x v="1188"/>
    <s v="BR018"/>
    <n v="68"/>
    <s v="F"/>
    <s v="6-10L"/>
    <s v="online"/>
    <x v="0"/>
    <s v="pending"/>
    <d v="2021-01-27T00:00:00"/>
    <n v="6513"/>
    <d v="2025-01-30T00:00:00"/>
    <n v="8002"/>
    <n v="14515"/>
    <n v="1"/>
  </r>
  <r>
    <x v="1189"/>
    <s v="BR002"/>
    <n v="23"/>
    <s v="M"/>
    <s v="3-6L"/>
    <s v="branch"/>
    <x v="0"/>
    <s v="complete"/>
    <d v="2022-06-17T00:00:00"/>
    <n v="64805"/>
    <d v="2025-03-31T00:00:00"/>
    <n v="7283"/>
    <n v="72088"/>
    <n v="0"/>
  </r>
  <r>
    <x v="1190"/>
    <s v="BR011"/>
    <n v="23"/>
    <s v="M"/>
    <s v="3-6L"/>
    <s v="branch"/>
    <x v="0"/>
    <s v="complete"/>
    <d v="2022-09-08T00:00:00"/>
    <n v="15942"/>
    <d v="2025-07-07T00:00:00"/>
    <n v="55959"/>
    <n v="71901"/>
    <n v="0"/>
  </r>
  <r>
    <x v="1191"/>
    <s v="BR013"/>
    <n v="20"/>
    <s v="O"/>
    <s v="3-6L"/>
    <s v="online"/>
    <x v="0"/>
    <s v="complete"/>
    <d v="2022-09-21T00:00:00"/>
    <n v="3465"/>
    <d v="2025-06-21T00:00:00"/>
    <n v="12825"/>
    <n v="16290"/>
    <n v="0"/>
  </r>
  <r>
    <x v="1192"/>
    <s v="BR011"/>
    <n v="24"/>
    <s v="F"/>
    <s v="6-10L"/>
    <s v="branch"/>
    <x v="0"/>
    <s v="complete"/>
    <d v="2025-06-27T00:00:00"/>
    <n v="29260"/>
    <d v="2025-07-29T00:00:00"/>
    <n v="17055"/>
    <n v="46315"/>
    <n v="0"/>
  </r>
  <r>
    <x v="1193"/>
    <s v="BR004"/>
    <n v="68"/>
    <s v="O"/>
    <s v="3-6L"/>
    <s v="branch"/>
    <x v="0"/>
    <s v="complete"/>
    <d v="2022-05-24T00:00:00"/>
    <n v="10831"/>
    <d v="2025-05-03T00:00:00"/>
    <n v="14273"/>
    <n v="25104"/>
    <n v="0"/>
  </r>
  <r>
    <x v="1194"/>
    <s v="BR015"/>
    <n v="25"/>
    <s v="F"/>
    <s v="6-10L"/>
    <s v="branch"/>
    <x v="0"/>
    <s v="complete"/>
    <d v="2022-03-20T00:00:00"/>
    <n v="6983"/>
    <d v="2025-07-02T00:00:00"/>
    <n v="38660"/>
    <n v="45643"/>
    <n v="0"/>
  </r>
  <r>
    <x v="1195"/>
    <s v="BR011"/>
    <n v="59"/>
    <s v="F"/>
    <s v="&gt;10L"/>
    <s v="branch"/>
    <x v="0"/>
    <s v="complete"/>
    <d v="2021-08-05T00:00:00"/>
    <n v="7534"/>
    <d v="2025-04-19T00:00:00"/>
    <n v="607"/>
    <n v="8141"/>
    <n v="0"/>
  </r>
  <r>
    <x v="1196"/>
    <s v="BR018"/>
    <n v="69"/>
    <s v="M"/>
    <s v="6-10L"/>
    <s v="online"/>
    <x v="0"/>
    <s v="complete"/>
    <d v="2023-05-05T00:00:00"/>
    <n v="49335"/>
    <d v="2025-06-20T00:00:00"/>
    <n v="7722"/>
    <n v="57057"/>
    <n v="0"/>
  </r>
  <r>
    <x v="1197"/>
    <s v="BR016"/>
    <n v="32"/>
    <s v="M"/>
    <s v="3-6L"/>
    <s v="branch"/>
    <x v="0"/>
    <s v="complete"/>
    <d v="2021-09-15T00:00:00"/>
    <n v="23078"/>
    <d v="2025-07-13T00:00:00"/>
    <n v="38781"/>
    <n v="61859"/>
    <n v="0"/>
  </r>
  <r>
    <x v="1198"/>
    <s v="BR010"/>
    <n v="64"/>
    <s v="F"/>
    <s v="3-6L"/>
    <s v="online"/>
    <x v="0"/>
    <s v="complete"/>
    <d v="2023-10-29T00:00:00"/>
    <n v="3023"/>
    <d v="2025-07-25T00:00:00"/>
    <n v="390"/>
    <n v="3413"/>
    <n v="0"/>
  </r>
  <r>
    <x v="1199"/>
    <s v="BR012"/>
    <n v="46"/>
    <s v="M"/>
    <s v="6-10L"/>
    <s v="online"/>
    <x v="0"/>
    <s v="complete"/>
    <d v="2021-09-17T00:00:00"/>
    <n v="19287"/>
    <d v="2025-07-27T00:00:00"/>
    <n v="14757"/>
    <n v="34044"/>
    <n v="0"/>
  </r>
  <r>
    <x v="1200"/>
    <s v="BR013"/>
    <n v="50"/>
    <s v="F"/>
    <s v="3-6L"/>
    <s v="branch"/>
    <x v="0"/>
    <s v="complete"/>
    <d v="2023-08-23T00:00:00"/>
    <n v="14878"/>
    <d v="2025-07-14T00:00:00"/>
    <n v="10695"/>
    <n v="25573"/>
    <n v="0"/>
  </r>
  <r>
    <x v="1201"/>
    <s v="BR009"/>
    <n v="69"/>
    <s v="F"/>
    <s v="&lt;3L"/>
    <s v="branch"/>
    <x v="1"/>
    <s v="complete"/>
    <d v="2024-10-14T00:00:00"/>
    <n v="8774"/>
    <d v="2025-07-12T00:00:00"/>
    <n v="-51"/>
    <n v="8723"/>
    <n v="0"/>
  </r>
  <r>
    <x v="1202"/>
    <s v="BR013"/>
    <n v="47"/>
    <s v="M"/>
    <s v="&lt;3L"/>
    <s v="online"/>
    <x v="0"/>
    <s v="complete"/>
    <d v="2021-03-13T00:00:00"/>
    <n v="9249"/>
    <d v="2025-05-27T00:00:00"/>
    <n v="16741"/>
    <n v="25990"/>
    <n v="0"/>
  </r>
  <r>
    <x v="1203"/>
    <s v="BR006"/>
    <n v="56"/>
    <s v="F"/>
    <s v="6-10L"/>
    <s v="online"/>
    <x v="0"/>
    <s v="complete"/>
    <d v="2022-12-04T00:00:00"/>
    <n v="5625"/>
    <d v="2025-05-23T00:00:00"/>
    <n v="-9915"/>
    <n v="-4290"/>
    <n v="0"/>
  </r>
  <r>
    <x v="1204"/>
    <s v="BR006"/>
    <n v="44"/>
    <s v="F"/>
    <s v="3-6L"/>
    <s v="branch"/>
    <x v="0"/>
    <s v="complete"/>
    <d v="2023-02-11T00:00:00"/>
    <n v="6888"/>
    <d v="2025-07-27T00:00:00"/>
    <n v="24746"/>
    <n v="31634"/>
    <n v="0"/>
  </r>
  <r>
    <x v="1205"/>
    <s v="BR011"/>
    <n v="53"/>
    <s v="M"/>
    <s v="6-10L"/>
    <s v="online"/>
    <x v="1"/>
    <s v="complete"/>
    <d v="2024-08-16T00:00:00"/>
    <n v="17849"/>
    <d v="2025-07-29T00:00:00"/>
    <n v="4202"/>
    <n v="22051"/>
    <n v="0"/>
  </r>
  <r>
    <x v="1206"/>
    <s v="BR019"/>
    <n v="46"/>
    <s v="F"/>
    <s v="3-6L"/>
    <s v="online"/>
    <x v="0"/>
    <s v="complete"/>
    <d v="2023-02-22T00:00:00"/>
    <n v="10122"/>
    <d v="2025-07-08T00:00:00"/>
    <n v="-11220"/>
    <n v="-1098"/>
    <n v="0"/>
  </r>
  <r>
    <x v="1207"/>
    <s v="BR011"/>
    <n v="55"/>
    <s v="F"/>
    <s v="3-6L"/>
    <s v="online"/>
    <x v="0"/>
    <s v="complete"/>
    <d v="2023-08-08T00:00:00"/>
    <n v="23056"/>
    <d v="2025-05-16T00:00:00"/>
    <n v="9268"/>
    <n v="32324"/>
    <n v="0"/>
  </r>
  <r>
    <x v="1208"/>
    <s v="BR010"/>
    <n v="50"/>
    <s v="M"/>
    <s v="&lt;3L"/>
    <s v="online"/>
    <x v="1"/>
    <s v="complete"/>
    <d v="2024-08-16T00:00:00"/>
    <n v="6094"/>
    <d v="2025-07-18T00:00:00"/>
    <n v="16269"/>
    <n v="22363"/>
    <n v="0"/>
  </r>
  <r>
    <x v="1209"/>
    <s v="BR015"/>
    <n v="54"/>
    <s v="F"/>
    <s v="&lt;3L"/>
    <s v="branch"/>
    <x v="1"/>
    <s v="complete"/>
    <d v="2023-07-26T00:00:00"/>
    <n v="27106"/>
    <d v="2025-07-15T00:00:00"/>
    <n v="16992"/>
    <n v="44098"/>
    <n v="0"/>
  </r>
  <r>
    <x v="1210"/>
    <s v="BR013"/>
    <n v="44"/>
    <s v="O"/>
    <s v="&gt;10L"/>
    <s v="online"/>
    <x v="0"/>
    <s v="complete"/>
    <d v="2022-08-23T00:00:00"/>
    <n v="49734"/>
    <d v="2025-07-28T00:00:00"/>
    <n v="-8426"/>
    <n v="41308"/>
    <n v="0"/>
  </r>
  <r>
    <x v="1211"/>
    <s v="BR008"/>
    <n v="50"/>
    <s v="M"/>
    <s v="6-10L"/>
    <s v="branch"/>
    <x v="0"/>
    <s v="complete"/>
    <d v="2021-05-24T00:00:00"/>
    <n v="13269"/>
    <d v="2025-06-19T00:00:00"/>
    <n v="27900"/>
    <n v="41169"/>
    <n v="0"/>
  </r>
  <r>
    <x v="1212"/>
    <s v="BR005"/>
    <n v="21"/>
    <s v="F"/>
    <s v="6-10L"/>
    <s v="online"/>
    <x v="0"/>
    <s v="complete"/>
    <d v="2024-05-06T00:00:00"/>
    <n v="22486"/>
    <d v="2025-07-06T00:00:00"/>
    <n v="27551"/>
    <n v="50037"/>
    <n v="0"/>
  </r>
  <r>
    <x v="1213"/>
    <s v="BR002"/>
    <n v="39"/>
    <s v="M"/>
    <s v="3-6L"/>
    <s v="branch"/>
    <x v="0"/>
    <s v="complete"/>
    <d v="2024-12-28T00:00:00"/>
    <n v="23380"/>
    <d v="2025-07-22T00:00:00"/>
    <n v="-5071"/>
    <n v="18309"/>
    <n v="0"/>
  </r>
  <r>
    <x v="1214"/>
    <s v="BR016"/>
    <n v="19"/>
    <s v="F"/>
    <s v="6-10L"/>
    <s v="branch"/>
    <x v="0"/>
    <s v="complete"/>
    <d v="2025-06-11T00:00:00"/>
    <n v="8086"/>
    <d v="2025-07-29T00:00:00"/>
    <n v="7158"/>
    <n v="15244"/>
    <n v="0"/>
  </r>
  <r>
    <x v="1215"/>
    <s v="BR013"/>
    <n v="27"/>
    <s v="F"/>
    <s v="3-6L"/>
    <s v="branch"/>
    <x v="0"/>
    <s v="complete"/>
    <d v="2025-03-31T00:00:00"/>
    <n v="23467"/>
    <d v="2025-07-18T00:00:00"/>
    <n v="14701"/>
    <n v="38168"/>
    <n v="0"/>
  </r>
  <r>
    <x v="1216"/>
    <s v="BR019"/>
    <n v="22"/>
    <s v="M"/>
    <s v="3-6L"/>
    <s v="branch"/>
    <x v="0"/>
    <s v="complete"/>
    <d v="2024-08-27T00:00:00"/>
    <n v="1382"/>
    <d v="2025-07-14T00:00:00"/>
    <n v="5659"/>
    <n v="7041"/>
    <n v="0"/>
  </r>
  <r>
    <x v="1217"/>
    <s v="BR009"/>
    <n v="27"/>
    <s v="M"/>
    <s v="&lt;3L"/>
    <s v="branch"/>
    <x v="0"/>
    <s v="complete"/>
    <d v="2023-12-13T00:00:00"/>
    <n v="928"/>
    <d v="2025-07-14T00:00:00"/>
    <n v="22187"/>
    <n v="23115"/>
    <n v="0"/>
  </r>
  <r>
    <x v="1218"/>
    <s v="BR015"/>
    <n v="50"/>
    <s v="F"/>
    <s v="3-6L"/>
    <s v="online"/>
    <x v="0"/>
    <s v="complete"/>
    <d v="2024-07-31T00:00:00"/>
    <n v="9610"/>
    <d v="2025-07-29T00:00:00"/>
    <n v="8298"/>
    <n v="17908"/>
    <n v="0"/>
  </r>
  <r>
    <x v="1219"/>
    <s v="BR006"/>
    <n v="55"/>
    <s v="F"/>
    <s v="6-10L"/>
    <s v="branch"/>
    <x v="1"/>
    <s v="complete"/>
    <d v="2022-12-24T00:00:00"/>
    <n v="25171"/>
    <d v="2025-06-05T00:00:00"/>
    <n v="582"/>
    <n v="25753"/>
    <n v="0"/>
  </r>
  <r>
    <x v="1220"/>
    <s v="BR008"/>
    <n v="30"/>
    <s v="F"/>
    <s v="&gt;10L"/>
    <s v="branch"/>
    <x v="0"/>
    <s v="complete"/>
    <d v="2023-09-23T00:00:00"/>
    <n v="12270"/>
    <d v="2025-07-29T00:00:00"/>
    <n v="-9753"/>
    <n v="2517"/>
    <n v="0"/>
  </r>
  <r>
    <x v="1221"/>
    <s v="BR014"/>
    <n v="48"/>
    <s v="M"/>
    <s v="&lt;3L"/>
    <s v="online"/>
    <x v="0"/>
    <s v="complete"/>
    <d v="2022-08-07T00:00:00"/>
    <n v="28166"/>
    <d v="2025-05-08T00:00:00"/>
    <n v="14170"/>
    <n v="42336"/>
    <n v="0"/>
  </r>
  <r>
    <x v="1222"/>
    <s v="BR005"/>
    <n v="64"/>
    <s v="F"/>
    <s v="6-10L"/>
    <s v="online"/>
    <x v="0"/>
    <s v="complete"/>
    <d v="2022-07-01T00:00:00"/>
    <n v="4017"/>
    <d v="2025-05-05T00:00:00"/>
    <n v="11446"/>
    <n v="15463"/>
    <n v="0"/>
  </r>
  <r>
    <x v="1223"/>
    <s v="BR017"/>
    <n v="53"/>
    <s v="F"/>
    <s v="3-6L"/>
    <s v="branch"/>
    <x v="1"/>
    <s v="complete"/>
    <d v="2024-06-19T00:00:00"/>
    <n v="32301"/>
    <d v="2025-06-14T00:00:00"/>
    <n v="4754"/>
    <n v="37055"/>
    <n v="0"/>
  </r>
  <r>
    <x v="1224"/>
    <s v="BR007"/>
    <n v="62"/>
    <s v="F"/>
    <s v="3-6L"/>
    <s v="branch"/>
    <x v="0"/>
    <s v="complete"/>
    <d v="2023-01-30T00:00:00"/>
    <n v="68105"/>
    <d v="2025-05-27T00:00:00"/>
    <n v="8630"/>
    <n v="76735"/>
    <n v="0"/>
  </r>
  <r>
    <x v="1225"/>
    <s v="BR009"/>
    <n v="41"/>
    <s v="M"/>
    <s v="&lt;3L"/>
    <s v="online"/>
    <x v="0"/>
    <s v="complete"/>
    <d v="2021-12-21T00:00:00"/>
    <n v="6658"/>
    <d v="2025-07-22T00:00:00"/>
    <n v="16178"/>
    <n v="22836"/>
    <n v="0"/>
  </r>
  <r>
    <x v="1226"/>
    <s v="BR016"/>
    <n v="69"/>
    <s v="F"/>
    <s v="3-6L"/>
    <s v="online"/>
    <x v="0"/>
    <s v="complete"/>
    <d v="2021-12-04T00:00:00"/>
    <n v="28883"/>
    <d v="2025-02-12T00:00:00"/>
    <n v="-2458"/>
    <n v="26425"/>
    <n v="0"/>
  </r>
  <r>
    <x v="1227"/>
    <s v="BR018"/>
    <n v="32"/>
    <s v="F"/>
    <s v="3-6L"/>
    <s v="branch"/>
    <x v="0"/>
    <s v="complete"/>
    <d v="2024-12-08T00:00:00"/>
    <n v="13668"/>
    <d v="2025-07-24T00:00:00"/>
    <n v="-8234"/>
    <n v="5434"/>
    <n v="0"/>
  </r>
  <r>
    <x v="1228"/>
    <s v="BR013"/>
    <n v="46"/>
    <s v="M"/>
    <s v="3-6L"/>
    <s v="online"/>
    <x v="1"/>
    <s v="complete"/>
    <d v="2024-02-08T00:00:00"/>
    <n v="20782"/>
    <d v="2025-07-26T00:00:00"/>
    <n v="-1066"/>
    <n v="19716"/>
    <n v="0"/>
  </r>
  <r>
    <x v="1229"/>
    <s v="BR018"/>
    <n v="25"/>
    <s v="F"/>
    <s v="6-10L"/>
    <s v="branch"/>
    <x v="0"/>
    <s v="complete"/>
    <d v="2023-07-03T00:00:00"/>
    <n v="67969"/>
    <d v="2025-06-10T00:00:00"/>
    <n v="15547"/>
    <n v="83516"/>
    <n v="0"/>
  </r>
  <r>
    <x v="1230"/>
    <s v="BR010"/>
    <n v="22"/>
    <s v="M"/>
    <s v="6-10L"/>
    <s v="branch"/>
    <x v="0"/>
    <s v="complete"/>
    <d v="2022-11-02T00:00:00"/>
    <n v="18533"/>
    <d v="2025-07-17T00:00:00"/>
    <n v="19111"/>
    <n v="37644"/>
    <n v="0"/>
  </r>
  <r>
    <x v="1231"/>
    <s v="BR001"/>
    <n v="46"/>
    <s v="F"/>
    <s v="3-6L"/>
    <s v="branch"/>
    <x v="0"/>
    <s v="complete"/>
    <d v="2022-12-22T00:00:00"/>
    <n v="28694"/>
    <d v="2025-07-20T00:00:00"/>
    <n v="14491"/>
    <n v="43185"/>
    <n v="0"/>
  </r>
  <r>
    <x v="1232"/>
    <s v="BR018"/>
    <n v="64"/>
    <s v="F"/>
    <s v="&gt;10L"/>
    <s v="online"/>
    <x v="0"/>
    <s v="complete"/>
    <d v="2021-04-07T00:00:00"/>
    <n v="3778"/>
    <d v="2025-07-17T00:00:00"/>
    <n v="37214"/>
    <n v="40992"/>
    <n v="0"/>
  </r>
  <r>
    <x v="1233"/>
    <s v="BR019"/>
    <n v="21"/>
    <s v="M"/>
    <s v="3-6L"/>
    <s v="branch"/>
    <x v="0"/>
    <s v="pending"/>
    <d v="2023-02-01T00:00:00"/>
    <n v="27824"/>
    <d v="2025-05-13T00:00:00"/>
    <n v="11798"/>
    <n v="39622"/>
    <n v="0"/>
  </r>
  <r>
    <x v="1234"/>
    <s v="BR002"/>
    <n v="29"/>
    <s v="F"/>
    <s v="&lt;3L"/>
    <s v="branch"/>
    <x v="0"/>
    <s v="complete"/>
    <d v="2024-08-23T00:00:00"/>
    <n v="66837"/>
    <d v="2025-07-25T00:00:00"/>
    <n v="8081"/>
    <n v="74918"/>
    <n v="0"/>
  </r>
  <r>
    <x v="1235"/>
    <s v="BR004"/>
    <n v="62"/>
    <s v="F"/>
    <s v="6-10L"/>
    <s v="branch"/>
    <x v="0"/>
    <s v="complete"/>
    <d v="2022-10-12T00:00:00"/>
    <n v="5306"/>
    <d v="2025-07-29T00:00:00"/>
    <n v="-3362"/>
    <n v="1944"/>
    <n v="0"/>
  </r>
  <r>
    <x v="1236"/>
    <s v="BR011"/>
    <n v="19"/>
    <s v="M"/>
    <s v="&lt;3L"/>
    <s v="online"/>
    <x v="0"/>
    <s v="complete"/>
    <d v="2022-10-04T00:00:00"/>
    <n v="9672"/>
    <d v="2025-05-25T00:00:00"/>
    <n v="-2573"/>
    <n v="7099"/>
    <n v="0"/>
  </r>
  <r>
    <x v="1237"/>
    <s v="BR003"/>
    <n v="44"/>
    <s v="O"/>
    <s v="3-6L"/>
    <s v="online"/>
    <x v="0"/>
    <s v="complete"/>
    <d v="2021-01-27T00:00:00"/>
    <n v="26533"/>
    <d v="2025-05-10T00:00:00"/>
    <n v="33528"/>
    <n v="60061"/>
    <n v="0"/>
  </r>
  <r>
    <x v="1238"/>
    <s v="BR009"/>
    <n v="48"/>
    <s v="F"/>
    <s v="&lt;3L"/>
    <s v="branch"/>
    <x v="0"/>
    <s v="complete"/>
    <d v="2023-02-05T00:00:00"/>
    <n v="20906"/>
    <d v="2025-06-25T00:00:00"/>
    <n v="8448"/>
    <n v="29354"/>
    <n v="0"/>
  </r>
  <r>
    <x v="1239"/>
    <s v="BR010"/>
    <n v="68"/>
    <s v="F"/>
    <s v="&lt;3L"/>
    <s v="online"/>
    <x v="0"/>
    <s v="complete"/>
    <d v="2021-02-12T00:00:00"/>
    <n v="3430"/>
    <d v="2025-07-31T00:00:00"/>
    <n v="29383"/>
    <n v="32813"/>
    <n v="0"/>
  </r>
  <r>
    <x v="1240"/>
    <s v="BR002"/>
    <n v="68"/>
    <s v="M"/>
    <s v="6-10L"/>
    <s v="online"/>
    <x v="0"/>
    <s v="complete"/>
    <d v="2023-08-13T00:00:00"/>
    <n v="15755"/>
    <d v="2025-07-12T00:00:00"/>
    <n v="22176"/>
    <n v="37931"/>
    <n v="0"/>
  </r>
  <r>
    <x v="1241"/>
    <s v="BR007"/>
    <n v="53"/>
    <s v="F"/>
    <s v="3-6L"/>
    <s v="online"/>
    <x v="0"/>
    <s v="complete"/>
    <d v="2023-04-28T00:00:00"/>
    <n v="9579"/>
    <d v="2025-07-26T00:00:00"/>
    <n v="17712"/>
    <n v="27291"/>
    <n v="0"/>
  </r>
  <r>
    <x v="1242"/>
    <s v="BR015"/>
    <n v="53"/>
    <s v="F"/>
    <s v="3-6L"/>
    <s v="branch"/>
    <x v="0"/>
    <s v="complete"/>
    <d v="2024-11-06T00:00:00"/>
    <n v="5071"/>
    <d v="2025-07-29T00:00:00"/>
    <n v="12828"/>
    <n v="17899"/>
    <n v="0"/>
  </r>
  <r>
    <x v="1243"/>
    <s v="BR019"/>
    <n v="43"/>
    <s v="M"/>
    <s v="&lt;3L"/>
    <s v="online"/>
    <x v="1"/>
    <s v="complete"/>
    <d v="2023-09-01T00:00:00"/>
    <n v="51882"/>
    <d v="2025-04-29T00:00:00"/>
    <n v="-2151"/>
    <n v="49731"/>
    <n v="0"/>
  </r>
  <r>
    <x v="1244"/>
    <s v="BR010"/>
    <n v="60"/>
    <s v="F"/>
    <s v="6-10L"/>
    <s v="online"/>
    <x v="0"/>
    <s v="complete"/>
    <d v="2022-06-26T00:00:00"/>
    <n v="13433"/>
    <d v="2025-07-19T00:00:00"/>
    <n v="-5478"/>
    <n v="7955"/>
    <n v="0"/>
  </r>
  <r>
    <x v="1245"/>
    <s v="BR020"/>
    <n v="44"/>
    <s v="F"/>
    <s v="3-6L"/>
    <s v="online"/>
    <x v="0"/>
    <s v="complete"/>
    <d v="2023-05-14T00:00:00"/>
    <n v="35705"/>
    <d v="2025-06-06T00:00:00"/>
    <n v="3155"/>
    <n v="38860"/>
    <n v="0"/>
  </r>
  <r>
    <x v="1246"/>
    <s v="BR014"/>
    <n v="22"/>
    <s v="F"/>
    <s v="6-10L"/>
    <s v="branch"/>
    <x v="1"/>
    <s v="complete"/>
    <d v="2024-03-16T00:00:00"/>
    <n v="4132"/>
    <d v="2025-07-02T00:00:00"/>
    <n v="13875"/>
    <n v="18007"/>
    <n v="0"/>
  </r>
  <r>
    <x v="1247"/>
    <s v="BR004"/>
    <n v="37"/>
    <s v="M"/>
    <s v="3-6L"/>
    <s v="online"/>
    <x v="1"/>
    <s v="complete"/>
    <d v="2021-06-07T00:00:00"/>
    <n v="24075"/>
    <d v="2025-06-08T00:00:00"/>
    <n v="4208"/>
    <n v="28283"/>
    <n v="0"/>
  </r>
  <r>
    <x v="1248"/>
    <s v="BR011"/>
    <n v="28"/>
    <s v="F"/>
    <s v="&lt;3L"/>
    <s v="online"/>
    <x v="1"/>
    <s v="complete"/>
    <d v="2023-11-06T00:00:00"/>
    <n v="38626"/>
    <d v="2025-07-04T00:00:00"/>
    <n v="15183"/>
    <n v="53809"/>
    <n v="0"/>
  </r>
  <r>
    <x v="1249"/>
    <s v="BR003"/>
    <n v="27"/>
    <s v="F"/>
    <s v="3-6L"/>
    <s v="online"/>
    <x v="0"/>
    <s v="complete"/>
    <d v="2025-03-14T00:00:00"/>
    <n v="10487"/>
    <d v="2025-07-30T00:00:00"/>
    <n v="7613"/>
    <n v="18100"/>
    <n v="0"/>
  </r>
  <r>
    <x v="1250"/>
    <s v="BR017"/>
    <n v="57"/>
    <s v="M"/>
    <s v="&lt;3L"/>
    <s v="branch"/>
    <x v="0"/>
    <s v="complete"/>
    <d v="2022-05-16T00:00:00"/>
    <n v="8126"/>
    <d v="2025-07-24T00:00:00"/>
    <n v="-3571"/>
    <n v="4555"/>
    <n v="0"/>
  </r>
  <r>
    <x v="1251"/>
    <s v="BR007"/>
    <n v="55"/>
    <s v="F"/>
    <s v="3-6L"/>
    <s v="online"/>
    <x v="0"/>
    <s v="complete"/>
    <d v="2023-11-15T00:00:00"/>
    <n v="3625"/>
    <d v="2025-07-28T00:00:00"/>
    <n v="4585"/>
    <n v="8210"/>
    <n v="0"/>
  </r>
  <r>
    <x v="1252"/>
    <s v="BR011"/>
    <n v="23"/>
    <s v="F"/>
    <s v="3-6L"/>
    <s v="online"/>
    <x v="0"/>
    <s v="complete"/>
    <d v="2024-10-06T00:00:00"/>
    <n v="5608"/>
    <d v="2025-07-28T00:00:00"/>
    <n v="7563"/>
    <n v="13171"/>
    <n v="0"/>
  </r>
  <r>
    <x v="1253"/>
    <s v="BR018"/>
    <n v="25"/>
    <s v="F"/>
    <s v="&gt;10L"/>
    <s v="online"/>
    <x v="0"/>
    <s v="complete"/>
    <d v="2023-05-07T00:00:00"/>
    <n v="8496"/>
    <d v="2025-07-22T00:00:00"/>
    <n v="6027"/>
    <n v="14523"/>
    <n v="0"/>
  </r>
  <r>
    <x v="1254"/>
    <s v="BR014"/>
    <n v="40"/>
    <s v="M"/>
    <s v="&lt;3L"/>
    <s v="branch"/>
    <x v="1"/>
    <s v="complete"/>
    <d v="2024-04-16T00:00:00"/>
    <n v="5035"/>
    <d v="2025-06-17T00:00:00"/>
    <n v="11685"/>
    <n v="16720"/>
    <n v="0"/>
  </r>
  <r>
    <x v="1255"/>
    <s v="BR014"/>
    <n v="64"/>
    <s v="F"/>
    <s v="6-10L"/>
    <s v="branch"/>
    <x v="0"/>
    <s v="complete"/>
    <d v="2022-06-05T00:00:00"/>
    <n v="6198"/>
    <d v="2025-03-12T00:00:00"/>
    <n v="28358"/>
    <n v="34556"/>
    <n v="0"/>
  </r>
  <r>
    <x v="1256"/>
    <s v="BR006"/>
    <n v="43"/>
    <s v="F"/>
    <s v="&lt;3L"/>
    <s v="branch"/>
    <x v="0"/>
    <s v="complete"/>
    <d v="2022-05-28T00:00:00"/>
    <n v="15648"/>
    <d v="2025-06-19T00:00:00"/>
    <n v="9221"/>
    <n v="24869"/>
    <n v="0"/>
  </r>
  <r>
    <x v="1257"/>
    <s v="BR009"/>
    <n v="63"/>
    <s v="F"/>
    <s v="3-6L"/>
    <s v="branch"/>
    <x v="1"/>
    <s v="complete"/>
    <d v="2024-01-22T00:00:00"/>
    <n v="17638"/>
    <d v="2025-07-19T00:00:00"/>
    <n v="4447"/>
    <n v="22085"/>
    <n v="0"/>
  </r>
  <r>
    <x v="1258"/>
    <s v="BR003"/>
    <n v="60"/>
    <s v="F"/>
    <s v="3-6L"/>
    <s v="online"/>
    <x v="0"/>
    <s v="complete"/>
    <d v="2024-03-26T00:00:00"/>
    <n v="39769"/>
    <d v="2025-07-06T00:00:00"/>
    <n v="8171"/>
    <n v="47940"/>
    <n v="0"/>
  </r>
  <r>
    <x v="1259"/>
    <s v="BR017"/>
    <n v="29"/>
    <s v="O"/>
    <s v="&gt;10L"/>
    <s v="branch"/>
    <x v="0"/>
    <s v="complete"/>
    <d v="2025-04-17T00:00:00"/>
    <n v="6237"/>
    <d v="2025-07-29T00:00:00"/>
    <n v="35430"/>
    <n v="41667"/>
    <n v="0"/>
  </r>
  <r>
    <x v="1260"/>
    <s v="BR012"/>
    <n v="43"/>
    <s v="M"/>
    <s v="&lt;3L"/>
    <s v="online"/>
    <x v="0"/>
    <s v="complete"/>
    <d v="2022-01-12T00:00:00"/>
    <n v="13673"/>
    <d v="2025-05-25T00:00:00"/>
    <n v="6448"/>
    <n v="20121"/>
    <n v="0"/>
  </r>
  <r>
    <x v="1261"/>
    <s v="BR004"/>
    <n v="30"/>
    <s v="M"/>
    <s v="&lt;3L"/>
    <s v="online"/>
    <x v="0"/>
    <s v="complete"/>
    <d v="2023-02-23T00:00:00"/>
    <n v="8798"/>
    <d v="2025-07-15T00:00:00"/>
    <n v="19661"/>
    <n v="28459"/>
    <n v="0"/>
  </r>
  <r>
    <x v="1262"/>
    <s v="BR020"/>
    <n v="57"/>
    <s v="F"/>
    <s v="3-6L"/>
    <s v="online"/>
    <x v="0"/>
    <s v="complete"/>
    <d v="2022-02-24T00:00:00"/>
    <n v="8198"/>
    <d v="2025-07-16T00:00:00"/>
    <n v="17528"/>
    <n v="25726"/>
    <n v="0"/>
  </r>
  <r>
    <x v="1263"/>
    <s v="BR016"/>
    <n v="35"/>
    <s v="M"/>
    <s v="&lt;3L"/>
    <s v="online"/>
    <x v="1"/>
    <s v="complete"/>
    <d v="2021-05-14T00:00:00"/>
    <n v="9739"/>
    <d v="2025-07-31T00:00:00"/>
    <n v="17183"/>
    <n v="26922"/>
    <n v="0"/>
  </r>
  <r>
    <x v="1264"/>
    <s v="BR010"/>
    <n v="42"/>
    <s v="M"/>
    <s v="&lt;3L"/>
    <s v="branch"/>
    <x v="1"/>
    <s v="complete"/>
    <d v="2022-11-06T00:00:00"/>
    <n v="10980"/>
    <d v="2025-03-04T00:00:00"/>
    <n v="17615"/>
    <n v="28595"/>
    <n v="0"/>
  </r>
  <r>
    <x v="1265"/>
    <s v="BR007"/>
    <n v="50"/>
    <s v="M"/>
    <s v="3-6L"/>
    <s v="online"/>
    <x v="1"/>
    <s v="complete"/>
    <d v="2022-09-18T00:00:00"/>
    <n v="17161"/>
    <d v="2025-06-20T00:00:00"/>
    <n v="11501"/>
    <n v="28662"/>
    <n v="0"/>
  </r>
  <r>
    <x v="1266"/>
    <s v="BR010"/>
    <n v="64"/>
    <s v="M"/>
    <s v="&lt;3L"/>
    <s v="branch"/>
    <x v="0"/>
    <s v="complete"/>
    <d v="2022-03-29T00:00:00"/>
    <n v="9601"/>
    <d v="2025-07-08T00:00:00"/>
    <n v="6226"/>
    <n v="15827"/>
    <n v="0"/>
  </r>
  <r>
    <x v="1267"/>
    <s v="BR007"/>
    <n v="57"/>
    <s v="M"/>
    <s v="&lt;3L"/>
    <s v="online"/>
    <x v="1"/>
    <s v="complete"/>
    <d v="2022-05-12T00:00:00"/>
    <n v="45585"/>
    <d v="2025-05-06T00:00:00"/>
    <n v="8581"/>
    <n v="54166"/>
    <n v="0"/>
  </r>
  <r>
    <x v="1268"/>
    <s v="BR018"/>
    <n v="60"/>
    <s v="O"/>
    <s v="6-10L"/>
    <s v="online"/>
    <x v="0"/>
    <s v="complete"/>
    <d v="2022-08-26T00:00:00"/>
    <n v="2430"/>
    <d v="2025-07-23T00:00:00"/>
    <n v="6704"/>
    <n v="9134"/>
    <n v="0"/>
  </r>
  <r>
    <x v="1269"/>
    <s v="BR009"/>
    <n v="29"/>
    <s v="M"/>
    <s v="3-6L"/>
    <s v="branch"/>
    <x v="0"/>
    <s v="complete"/>
    <d v="2025-07-13T00:00:00"/>
    <n v="38329"/>
    <d v="2025-07-31T00:00:00"/>
    <n v="-7186"/>
    <n v="31143"/>
    <n v="0"/>
  </r>
  <r>
    <x v="1270"/>
    <s v="BR018"/>
    <n v="61"/>
    <s v="F"/>
    <s v="&lt;3L"/>
    <s v="branch"/>
    <x v="0"/>
    <s v="complete"/>
    <d v="2024-08-02T00:00:00"/>
    <n v="9242"/>
    <d v="2025-07-30T00:00:00"/>
    <n v="13096"/>
    <n v="22338"/>
    <n v="0"/>
  </r>
  <r>
    <x v="1271"/>
    <s v="BR017"/>
    <n v="53"/>
    <s v="F"/>
    <s v="3-6L"/>
    <s v="branch"/>
    <x v="0"/>
    <s v="complete"/>
    <d v="2021-04-30T00:00:00"/>
    <n v="11061"/>
    <d v="2025-03-10T00:00:00"/>
    <n v="12001"/>
    <n v="23062"/>
    <n v="0"/>
  </r>
  <r>
    <x v="1272"/>
    <s v="BR011"/>
    <n v="65"/>
    <s v="F"/>
    <s v="3-6L"/>
    <s v="online"/>
    <x v="0"/>
    <s v="complete"/>
    <d v="2024-12-30T00:00:00"/>
    <n v="13232"/>
    <d v="2025-07-31T00:00:00"/>
    <n v="-4409"/>
    <n v="8823"/>
    <n v="0"/>
  </r>
  <r>
    <x v="1273"/>
    <s v="BR001"/>
    <n v="21"/>
    <s v="M"/>
    <s v="3-6L"/>
    <s v="online"/>
    <x v="0"/>
    <s v="complete"/>
    <d v="2023-11-26T00:00:00"/>
    <n v="27055"/>
    <d v="2025-07-12T00:00:00"/>
    <n v="26799"/>
    <n v="53854"/>
    <n v="0"/>
  </r>
  <r>
    <x v="1274"/>
    <s v="BR017"/>
    <n v="22"/>
    <s v="F"/>
    <s v="3-6L"/>
    <s v="branch"/>
    <x v="0"/>
    <s v="complete"/>
    <d v="2025-01-29T00:00:00"/>
    <n v="5540"/>
    <d v="2025-07-03T00:00:00"/>
    <n v="8268"/>
    <n v="13808"/>
    <n v="0"/>
  </r>
  <r>
    <x v="1275"/>
    <s v="BR004"/>
    <n v="54"/>
    <s v="F"/>
    <s v="&lt;3L"/>
    <s v="branch"/>
    <x v="0"/>
    <s v="complete"/>
    <d v="2022-07-26T00:00:00"/>
    <n v="6927"/>
    <d v="2025-03-14T00:00:00"/>
    <n v="3072"/>
    <n v="9999"/>
    <n v="0"/>
  </r>
  <r>
    <x v="1276"/>
    <s v="BR004"/>
    <n v="25"/>
    <s v="F"/>
    <s v="3-6L"/>
    <s v="online"/>
    <x v="0"/>
    <s v="pending"/>
    <d v="2023-02-17T00:00:00"/>
    <n v="22039"/>
    <d v="2025-07-23T00:00:00"/>
    <n v="27946"/>
    <n v="49985"/>
    <n v="0"/>
  </r>
  <r>
    <x v="1277"/>
    <s v="BR014"/>
    <n v="59"/>
    <s v="F"/>
    <s v="3-6L"/>
    <s v="branch"/>
    <x v="0"/>
    <s v="complete"/>
    <d v="2025-02-08T00:00:00"/>
    <n v="2445"/>
    <d v="2025-07-30T00:00:00"/>
    <n v="15228"/>
    <n v="17673"/>
    <n v="0"/>
  </r>
  <r>
    <x v="1278"/>
    <s v="BR009"/>
    <n v="66"/>
    <s v="F"/>
    <s v="3-6L"/>
    <s v="branch"/>
    <x v="0"/>
    <s v="complete"/>
    <d v="2022-04-02T00:00:00"/>
    <n v="12911"/>
    <d v="2025-05-04T00:00:00"/>
    <n v="-5176"/>
    <n v="7735"/>
    <n v="0"/>
  </r>
  <r>
    <x v="1279"/>
    <s v="BR013"/>
    <n v="45"/>
    <s v="M"/>
    <s v="6-10L"/>
    <s v="branch"/>
    <x v="0"/>
    <s v="complete"/>
    <d v="2025-03-12T00:00:00"/>
    <n v="6017"/>
    <d v="2025-07-30T00:00:00"/>
    <n v="18259"/>
    <n v="24276"/>
    <n v="0"/>
  </r>
  <r>
    <x v="1280"/>
    <s v="BR016"/>
    <n v="48"/>
    <s v="F"/>
    <s v="3-6L"/>
    <s v="branch"/>
    <x v="0"/>
    <s v="complete"/>
    <d v="2024-10-18T00:00:00"/>
    <n v="4874"/>
    <d v="2025-07-24T00:00:00"/>
    <n v="17116"/>
    <n v="21990"/>
    <n v="0"/>
  </r>
  <r>
    <x v="1281"/>
    <s v="BR001"/>
    <n v="26"/>
    <s v="F"/>
    <s v="3-6L"/>
    <s v="branch"/>
    <x v="0"/>
    <s v="complete"/>
    <d v="2025-06-29T00:00:00"/>
    <n v="2596"/>
    <d v="2025-07-31T00:00:00"/>
    <n v="-8902"/>
    <n v="-6306"/>
    <n v="0"/>
  </r>
  <r>
    <x v="1282"/>
    <s v="BR003"/>
    <n v="68"/>
    <s v="F"/>
    <s v="3-6L"/>
    <s v="online"/>
    <x v="0"/>
    <s v="complete"/>
    <d v="2022-06-27T00:00:00"/>
    <n v="28920"/>
    <d v="2025-06-30T00:00:00"/>
    <n v="21557"/>
    <n v="50477"/>
    <n v="0"/>
  </r>
  <r>
    <x v="1283"/>
    <s v="BR019"/>
    <n v="46"/>
    <s v="O"/>
    <s v="3-6L"/>
    <s v="online"/>
    <x v="0"/>
    <s v="complete"/>
    <d v="2022-01-30T00:00:00"/>
    <n v="15659"/>
    <d v="2025-07-14T00:00:00"/>
    <n v="1852"/>
    <n v="17511"/>
    <n v="0"/>
  </r>
  <r>
    <x v="1284"/>
    <s v="BR008"/>
    <n v="31"/>
    <s v="M"/>
    <s v="&lt;3L"/>
    <s v="branch"/>
    <x v="1"/>
    <s v="complete"/>
    <d v="2022-07-08T00:00:00"/>
    <n v="6821"/>
    <d v="2025-07-19T00:00:00"/>
    <n v="11990"/>
    <n v="18811"/>
    <n v="0"/>
  </r>
  <r>
    <x v="1285"/>
    <s v="BR018"/>
    <n v="57"/>
    <s v="O"/>
    <s v="&lt;3L"/>
    <s v="online"/>
    <x v="0"/>
    <s v="complete"/>
    <d v="2025-05-17T00:00:00"/>
    <n v="11333"/>
    <d v="2025-07-27T00:00:00"/>
    <n v="10753"/>
    <n v="22086"/>
    <n v="0"/>
  </r>
  <r>
    <x v="1286"/>
    <s v="BR006"/>
    <n v="58"/>
    <s v="M"/>
    <s v="6-10L"/>
    <s v="online"/>
    <x v="0"/>
    <s v="complete"/>
    <d v="2022-07-12T00:00:00"/>
    <n v="4479"/>
    <d v="2025-07-17T00:00:00"/>
    <n v="38754"/>
    <n v="43233"/>
    <n v="0"/>
  </r>
  <r>
    <x v="1287"/>
    <s v="BR020"/>
    <n v="39"/>
    <s v="M"/>
    <s v="3-6L"/>
    <s v="online"/>
    <x v="0"/>
    <s v="complete"/>
    <d v="2023-08-04T00:00:00"/>
    <n v="7815"/>
    <d v="2025-07-22T00:00:00"/>
    <n v="4461"/>
    <n v="12276"/>
    <n v="0"/>
  </r>
  <r>
    <x v="1288"/>
    <s v="BR006"/>
    <n v="28"/>
    <s v="M"/>
    <s v="3-6L"/>
    <s v="online"/>
    <x v="0"/>
    <s v="complete"/>
    <d v="2022-11-07T00:00:00"/>
    <n v="10956"/>
    <d v="2025-06-26T00:00:00"/>
    <n v="-16427"/>
    <n v="-5471"/>
    <n v="0"/>
  </r>
  <r>
    <x v="1289"/>
    <s v="BR005"/>
    <n v="40"/>
    <s v="M"/>
    <s v="3-6L"/>
    <s v="branch"/>
    <x v="0"/>
    <s v="complete"/>
    <d v="2022-10-25T00:00:00"/>
    <n v="14242"/>
    <d v="2025-05-17T00:00:00"/>
    <n v="13003"/>
    <n v="27245"/>
    <n v="0"/>
  </r>
  <r>
    <x v="1290"/>
    <s v="BR012"/>
    <n v="18"/>
    <s v="F"/>
    <s v="3-6L"/>
    <s v="branch"/>
    <x v="0"/>
    <s v="complete"/>
    <d v="2021-11-20T00:00:00"/>
    <n v="19773"/>
    <d v="2025-05-29T00:00:00"/>
    <n v="19050"/>
    <n v="38823"/>
    <n v="0"/>
  </r>
  <r>
    <x v="1291"/>
    <s v="BR009"/>
    <n v="63"/>
    <s v="M"/>
    <s v="&lt;3L"/>
    <s v="online"/>
    <x v="0"/>
    <s v="complete"/>
    <d v="2023-06-18T00:00:00"/>
    <n v="2195"/>
    <d v="2025-03-13T00:00:00"/>
    <n v="9058"/>
    <n v="11253"/>
    <n v="0"/>
  </r>
  <r>
    <x v="1292"/>
    <s v="BR009"/>
    <n v="54"/>
    <s v="M"/>
    <s v="6-10L"/>
    <s v="online"/>
    <x v="1"/>
    <s v="pending"/>
    <d v="2024-11-22T00:00:00"/>
    <n v="19834"/>
    <d v="2025-07-28T00:00:00"/>
    <n v="40379"/>
    <n v="60213"/>
    <n v="0"/>
  </r>
  <r>
    <x v="1293"/>
    <s v="BR017"/>
    <n v="38"/>
    <s v="F"/>
    <s v="&lt;3L"/>
    <s v="branch"/>
    <x v="0"/>
    <s v="complete"/>
    <d v="2021-03-24T00:00:00"/>
    <n v="2379"/>
    <d v="2025-01-16T00:00:00"/>
    <n v="14972"/>
    <n v="17351"/>
    <n v="1"/>
  </r>
  <r>
    <x v="1294"/>
    <s v="BR019"/>
    <n v="43"/>
    <s v="F"/>
    <s v="6-10L"/>
    <s v="branch"/>
    <x v="0"/>
    <s v="complete"/>
    <d v="2025-01-27T00:00:00"/>
    <n v="20569"/>
    <d v="2025-07-28T00:00:00"/>
    <n v="23929"/>
    <n v="44498"/>
    <n v="0"/>
  </r>
  <r>
    <x v="1295"/>
    <s v="BR017"/>
    <n v="63"/>
    <s v="F"/>
    <s v="6-10L"/>
    <s v="branch"/>
    <x v="0"/>
    <s v="complete"/>
    <d v="2024-01-19T00:00:00"/>
    <n v="10793"/>
    <d v="2025-07-25T00:00:00"/>
    <n v="4865"/>
    <n v="15658"/>
    <n v="0"/>
  </r>
  <r>
    <x v="1296"/>
    <s v="BR016"/>
    <n v="53"/>
    <s v="F"/>
    <s v="6-10L"/>
    <s v="online"/>
    <x v="0"/>
    <s v="complete"/>
    <d v="2023-10-29T00:00:00"/>
    <n v="39794"/>
    <d v="2025-07-17T00:00:00"/>
    <n v="32240"/>
    <n v="72034"/>
    <n v="0"/>
  </r>
  <r>
    <x v="1297"/>
    <s v="BR012"/>
    <n v="40"/>
    <s v="F"/>
    <s v="3-6L"/>
    <s v="online"/>
    <x v="1"/>
    <s v="complete"/>
    <d v="2023-11-14T00:00:00"/>
    <n v="6806"/>
    <d v="2025-07-29T00:00:00"/>
    <n v="-13872"/>
    <n v="-7066"/>
    <n v="0"/>
  </r>
  <r>
    <x v="1298"/>
    <s v="BR003"/>
    <n v="18"/>
    <s v="M"/>
    <s v="&lt;3L"/>
    <s v="online"/>
    <x v="0"/>
    <s v="complete"/>
    <d v="2022-05-11T00:00:00"/>
    <n v="29168"/>
    <d v="2025-04-19T00:00:00"/>
    <n v="21439"/>
    <n v="50607"/>
    <n v="0"/>
  </r>
  <r>
    <x v="1299"/>
    <s v="BR014"/>
    <n v="68"/>
    <s v="M"/>
    <s v="3-6L"/>
    <s v="branch"/>
    <x v="0"/>
    <s v="complete"/>
    <d v="2022-11-26T00:00:00"/>
    <n v="4157"/>
    <d v="2025-03-09T00:00:00"/>
    <n v="10730"/>
    <n v="14887"/>
    <n v="0"/>
  </r>
  <r>
    <x v="1300"/>
    <s v="BR017"/>
    <n v="57"/>
    <s v="F"/>
    <s v="3-6L"/>
    <s v="branch"/>
    <x v="0"/>
    <s v="complete"/>
    <d v="2024-08-30T00:00:00"/>
    <n v="14852"/>
    <d v="2025-07-30T00:00:00"/>
    <n v="-13788"/>
    <n v="1064"/>
    <n v="0"/>
  </r>
  <r>
    <x v="1301"/>
    <s v="BR016"/>
    <n v="32"/>
    <s v="M"/>
    <s v="3-6L"/>
    <s v="branch"/>
    <x v="0"/>
    <s v="complete"/>
    <d v="2022-05-28T00:00:00"/>
    <n v="1741"/>
    <d v="2025-07-26T00:00:00"/>
    <n v="17435"/>
    <n v="19176"/>
    <n v="0"/>
  </r>
  <r>
    <x v="1302"/>
    <s v="BR012"/>
    <n v="38"/>
    <s v="F"/>
    <s v="6-10L"/>
    <s v="online"/>
    <x v="0"/>
    <s v="complete"/>
    <d v="2023-02-26T00:00:00"/>
    <n v="32308"/>
    <d v="2025-06-21T00:00:00"/>
    <n v="11027"/>
    <n v="43335"/>
    <n v="0"/>
  </r>
  <r>
    <x v="1303"/>
    <s v="BR002"/>
    <n v="64"/>
    <s v="M"/>
    <s v="3-6L"/>
    <s v="branch"/>
    <x v="0"/>
    <s v="complete"/>
    <d v="2021-02-02T00:00:00"/>
    <n v="75122"/>
    <d v="2025-07-30T00:00:00"/>
    <n v="15011"/>
    <n v="90133"/>
    <n v="0"/>
  </r>
  <r>
    <x v="1304"/>
    <s v="BR008"/>
    <n v="26"/>
    <s v="M"/>
    <s v="3-6L"/>
    <s v="branch"/>
    <x v="1"/>
    <s v="complete"/>
    <d v="2024-05-12T00:00:00"/>
    <n v="6646"/>
    <d v="2025-07-28T00:00:00"/>
    <n v="18215"/>
    <n v="24861"/>
    <n v="0"/>
  </r>
  <r>
    <x v="1305"/>
    <s v="BR012"/>
    <n v="26"/>
    <s v="F"/>
    <s v="3-6L"/>
    <s v="online"/>
    <x v="1"/>
    <s v="complete"/>
    <d v="2022-11-30T00:00:00"/>
    <n v="15103"/>
    <d v="2025-06-19T00:00:00"/>
    <n v="13766"/>
    <n v="28869"/>
    <n v="0"/>
  </r>
  <r>
    <x v="1306"/>
    <s v="BR016"/>
    <n v="27"/>
    <s v="F"/>
    <s v="3-6L"/>
    <s v="online"/>
    <x v="0"/>
    <s v="complete"/>
    <d v="2023-05-29T00:00:00"/>
    <n v="20824"/>
    <d v="2025-07-21T00:00:00"/>
    <n v="-5672"/>
    <n v="15152"/>
    <n v="0"/>
  </r>
  <r>
    <x v="1307"/>
    <s v="BR008"/>
    <n v="69"/>
    <s v="F"/>
    <s v="3-6L"/>
    <s v="online"/>
    <x v="0"/>
    <s v="complete"/>
    <d v="2021-07-11T00:00:00"/>
    <n v="2835"/>
    <d v="2025-07-27T00:00:00"/>
    <n v="-7253"/>
    <n v="-4418"/>
    <n v="0"/>
  </r>
  <r>
    <x v="1308"/>
    <s v="BR016"/>
    <n v="43"/>
    <s v="F"/>
    <s v="6-10L"/>
    <s v="online"/>
    <x v="0"/>
    <s v="complete"/>
    <d v="2025-07-18T00:00:00"/>
    <n v="6316"/>
    <d v="2025-07-31T00:00:00"/>
    <n v="6178"/>
    <n v="12494"/>
    <n v="0"/>
  </r>
  <r>
    <x v="1309"/>
    <s v="BR010"/>
    <n v="58"/>
    <s v="M"/>
    <s v="6-10L"/>
    <s v="online"/>
    <x v="1"/>
    <s v="complete"/>
    <d v="2022-05-22T00:00:00"/>
    <n v="5937"/>
    <d v="2025-07-01T00:00:00"/>
    <n v="17863"/>
    <n v="23800"/>
    <n v="0"/>
  </r>
  <r>
    <x v="1310"/>
    <s v="BR020"/>
    <n v="52"/>
    <s v="M"/>
    <s v="6-10L"/>
    <s v="online"/>
    <x v="0"/>
    <s v="complete"/>
    <d v="2023-11-29T00:00:00"/>
    <n v="148311"/>
    <d v="2025-07-13T00:00:00"/>
    <n v="-1131"/>
    <n v="147180"/>
    <n v="0"/>
  </r>
  <r>
    <x v="1311"/>
    <s v="BR015"/>
    <n v="69"/>
    <s v="F"/>
    <s v="6-10L"/>
    <s v="online"/>
    <x v="0"/>
    <s v="complete"/>
    <d v="2023-08-31T00:00:00"/>
    <n v="38018"/>
    <d v="2025-05-22T00:00:00"/>
    <n v="33723"/>
    <n v="71741"/>
    <n v="0"/>
  </r>
  <r>
    <x v="1312"/>
    <s v="BR004"/>
    <n v="42"/>
    <s v="F"/>
    <s v="6-10L"/>
    <s v="online"/>
    <x v="0"/>
    <s v="complete"/>
    <d v="2024-08-06T00:00:00"/>
    <n v="10753"/>
    <d v="2025-07-06T00:00:00"/>
    <n v="20901"/>
    <n v="31654"/>
    <n v="0"/>
  </r>
  <r>
    <x v="1313"/>
    <s v="BR015"/>
    <n v="43"/>
    <s v="M"/>
    <s v="&lt;3L"/>
    <s v="online"/>
    <x v="0"/>
    <s v="complete"/>
    <d v="2022-05-07T00:00:00"/>
    <n v="29116"/>
    <d v="2025-06-06T00:00:00"/>
    <n v="8581"/>
    <n v="37697"/>
    <n v="0"/>
  </r>
  <r>
    <x v="1314"/>
    <s v="BR004"/>
    <n v="28"/>
    <s v="F"/>
    <s v="6-10L"/>
    <s v="branch"/>
    <x v="0"/>
    <s v="complete"/>
    <d v="2024-06-18T00:00:00"/>
    <n v="16502"/>
    <d v="2025-07-23T00:00:00"/>
    <n v="3046"/>
    <n v="19548"/>
    <n v="0"/>
  </r>
  <r>
    <x v="1315"/>
    <s v="BR011"/>
    <n v="55"/>
    <s v="M"/>
    <s v="&lt;3L"/>
    <s v="online"/>
    <x v="0"/>
    <s v="complete"/>
    <d v="2022-10-02T00:00:00"/>
    <n v="24174"/>
    <d v="2025-06-30T00:00:00"/>
    <n v="-3637"/>
    <n v="20537"/>
    <n v="0"/>
  </r>
  <r>
    <x v="1316"/>
    <s v="BR006"/>
    <n v="19"/>
    <s v="F"/>
    <s v="&lt;3L"/>
    <s v="branch"/>
    <x v="1"/>
    <s v="complete"/>
    <d v="2022-11-19T00:00:00"/>
    <n v="4659"/>
    <d v="2025-07-04T00:00:00"/>
    <n v="1183"/>
    <n v="5842"/>
    <n v="0"/>
  </r>
  <r>
    <x v="1317"/>
    <s v="BR004"/>
    <n v="24"/>
    <s v="M"/>
    <s v="3-6L"/>
    <s v="online"/>
    <x v="0"/>
    <s v="complete"/>
    <d v="2024-01-31T00:00:00"/>
    <n v="52753"/>
    <d v="2025-07-29T00:00:00"/>
    <n v="7393"/>
    <n v="60146"/>
    <n v="0"/>
  </r>
  <r>
    <x v="1318"/>
    <s v="BR009"/>
    <n v="35"/>
    <s v="F"/>
    <s v="3-6L"/>
    <s v="branch"/>
    <x v="0"/>
    <s v="complete"/>
    <d v="2024-08-05T00:00:00"/>
    <n v="6200"/>
    <d v="2025-07-20T00:00:00"/>
    <n v="19509"/>
    <n v="25709"/>
    <n v="0"/>
  </r>
  <r>
    <x v="1319"/>
    <s v="BR009"/>
    <n v="44"/>
    <s v="F"/>
    <s v="&lt;3L"/>
    <s v="online"/>
    <x v="0"/>
    <s v="pending"/>
    <d v="2024-01-21T00:00:00"/>
    <n v="6529"/>
    <d v="2025-07-29T00:00:00"/>
    <n v="32691"/>
    <n v="39220"/>
    <n v="0"/>
  </r>
  <r>
    <x v="1320"/>
    <s v="BR003"/>
    <n v="51"/>
    <s v="M"/>
    <s v="&lt;3L"/>
    <s v="branch"/>
    <x v="0"/>
    <s v="complete"/>
    <d v="2025-02-14T00:00:00"/>
    <n v="24106"/>
    <d v="2025-07-28T00:00:00"/>
    <n v="14858"/>
    <n v="38964"/>
    <n v="0"/>
  </r>
  <r>
    <x v="1321"/>
    <s v="BR005"/>
    <n v="44"/>
    <s v="F"/>
    <s v="&lt;3L"/>
    <s v="online"/>
    <x v="0"/>
    <s v="complete"/>
    <d v="2022-04-23T00:00:00"/>
    <n v="18878"/>
    <d v="2025-07-07T00:00:00"/>
    <n v="4707"/>
    <n v="23585"/>
    <n v="0"/>
  </r>
  <r>
    <x v="1322"/>
    <s v="BR015"/>
    <n v="34"/>
    <s v="M"/>
    <s v="&gt;10L"/>
    <s v="branch"/>
    <x v="0"/>
    <s v="complete"/>
    <d v="2025-02-15T00:00:00"/>
    <n v="13673"/>
    <d v="2025-07-31T00:00:00"/>
    <n v="1747"/>
    <n v="15420"/>
    <n v="0"/>
  </r>
  <r>
    <x v="1323"/>
    <s v="BR009"/>
    <n v="60"/>
    <s v="M"/>
    <s v="&lt;3L"/>
    <s v="online"/>
    <x v="0"/>
    <s v="complete"/>
    <d v="2021-08-07T00:00:00"/>
    <n v="30934"/>
    <d v="2025-05-01T00:00:00"/>
    <n v="7865"/>
    <n v="38799"/>
    <n v="0"/>
  </r>
  <r>
    <x v="1324"/>
    <s v="BR002"/>
    <n v="61"/>
    <s v="M"/>
    <s v="&lt;3L"/>
    <s v="branch"/>
    <x v="1"/>
    <s v="complete"/>
    <d v="2024-01-09T00:00:00"/>
    <n v="4184"/>
    <d v="2025-07-08T00:00:00"/>
    <n v="3710"/>
    <n v="7894"/>
    <n v="0"/>
  </r>
  <r>
    <x v="1325"/>
    <s v="BR003"/>
    <n v="68"/>
    <s v="M"/>
    <s v="3-6L"/>
    <s v="online"/>
    <x v="0"/>
    <s v="complete"/>
    <d v="2023-07-06T00:00:00"/>
    <n v="84487"/>
    <d v="2025-06-30T00:00:00"/>
    <n v="785"/>
    <n v="85272"/>
    <n v="0"/>
  </r>
  <r>
    <x v="1326"/>
    <s v="BR012"/>
    <n v="41"/>
    <s v="M"/>
    <s v="3-6L"/>
    <s v="online"/>
    <x v="0"/>
    <s v="complete"/>
    <d v="2023-04-08T00:00:00"/>
    <n v="8098"/>
    <d v="2025-07-04T00:00:00"/>
    <n v="14599"/>
    <n v="22697"/>
    <n v="0"/>
  </r>
  <r>
    <x v="1327"/>
    <s v="BR016"/>
    <n v="42"/>
    <s v="F"/>
    <s v="&gt;10L"/>
    <s v="online"/>
    <x v="0"/>
    <s v="complete"/>
    <d v="2022-06-05T00:00:00"/>
    <n v="12229"/>
    <d v="2025-07-30T00:00:00"/>
    <n v="14399"/>
    <n v="26628"/>
    <n v="0"/>
  </r>
  <r>
    <x v="1328"/>
    <s v="BR005"/>
    <n v="24"/>
    <s v="F"/>
    <s v="&lt;3L"/>
    <s v="branch"/>
    <x v="0"/>
    <s v="complete"/>
    <d v="2023-04-23T00:00:00"/>
    <n v="85805"/>
    <d v="2025-07-20T00:00:00"/>
    <n v="17710"/>
    <n v="103515"/>
    <n v="0"/>
  </r>
  <r>
    <x v="1329"/>
    <s v="BR010"/>
    <n v="69"/>
    <s v="F"/>
    <s v="3-6L"/>
    <s v="branch"/>
    <x v="1"/>
    <s v="complete"/>
    <d v="2021-09-28T00:00:00"/>
    <n v="6572"/>
    <d v="2025-03-22T00:00:00"/>
    <n v="571"/>
    <n v="7143"/>
    <n v="0"/>
  </r>
  <r>
    <x v="1330"/>
    <s v="BR015"/>
    <n v="23"/>
    <s v="M"/>
    <s v="6-10L"/>
    <s v="branch"/>
    <x v="0"/>
    <s v="complete"/>
    <d v="2022-09-10T00:00:00"/>
    <n v="37162"/>
    <d v="2025-05-21T00:00:00"/>
    <n v="-5611"/>
    <n v="31551"/>
    <n v="0"/>
  </r>
  <r>
    <x v="1331"/>
    <s v="BR014"/>
    <n v="41"/>
    <s v="M"/>
    <s v="&gt;10L"/>
    <s v="online"/>
    <x v="0"/>
    <s v="complete"/>
    <d v="2021-06-15T00:00:00"/>
    <n v="10782"/>
    <d v="2025-07-16T00:00:00"/>
    <n v="10435"/>
    <n v="21217"/>
    <n v="0"/>
  </r>
  <r>
    <x v="1332"/>
    <s v="BR014"/>
    <n v="50"/>
    <s v="M"/>
    <s v="3-6L"/>
    <s v="online"/>
    <x v="0"/>
    <s v="complete"/>
    <d v="2023-08-15T00:00:00"/>
    <n v="5757"/>
    <d v="2025-04-30T00:00:00"/>
    <n v="10705"/>
    <n v="16462"/>
    <n v="0"/>
  </r>
  <r>
    <x v="1333"/>
    <s v="BR013"/>
    <n v="66"/>
    <s v="M"/>
    <s v="6-10L"/>
    <s v="branch"/>
    <x v="0"/>
    <s v="complete"/>
    <d v="2021-06-10T00:00:00"/>
    <n v="9102"/>
    <d v="2025-05-17T00:00:00"/>
    <n v="13577"/>
    <n v="22679"/>
    <n v="0"/>
  </r>
  <r>
    <x v="1334"/>
    <s v="BR016"/>
    <n v="46"/>
    <s v="F"/>
    <s v="&lt;3L"/>
    <s v="online"/>
    <x v="0"/>
    <s v="complete"/>
    <d v="2021-09-26T00:00:00"/>
    <n v="23536"/>
    <d v="2025-07-08T00:00:00"/>
    <n v="15086"/>
    <n v="38622"/>
    <n v="0"/>
  </r>
  <r>
    <x v="1335"/>
    <s v="BR008"/>
    <n v="60"/>
    <s v="M"/>
    <s v="3-6L"/>
    <s v="branch"/>
    <x v="0"/>
    <s v="complete"/>
    <d v="2021-05-23T00:00:00"/>
    <n v="36837"/>
    <d v="2025-02-15T00:00:00"/>
    <n v="9913"/>
    <n v="46750"/>
    <n v="0"/>
  </r>
  <r>
    <x v="1336"/>
    <s v="BR008"/>
    <n v="39"/>
    <s v="F"/>
    <s v="3-6L"/>
    <s v="branch"/>
    <x v="0"/>
    <s v="complete"/>
    <d v="2022-09-30T00:00:00"/>
    <n v="16741"/>
    <d v="2025-06-15T00:00:00"/>
    <n v="22594"/>
    <n v="39335"/>
    <n v="0"/>
  </r>
  <r>
    <x v="1337"/>
    <s v="BR017"/>
    <n v="43"/>
    <s v="F"/>
    <s v="6-10L"/>
    <s v="branch"/>
    <x v="0"/>
    <s v="complete"/>
    <d v="2024-11-09T00:00:00"/>
    <n v="2703"/>
    <d v="2025-07-26T00:00:00"/>
    <n v="-1093"/>
    <n v="1610"/>
    <n v="0"/>
  </r>
  <r>
    <x v="1338"/>
    <s v="BR017"/>
    <n v="45"/>
    <s v="F"/>
    <s v="&lt;3L"/>
    <s v="online"/>
    <x v="0"/>
    <s v="complete"/>
    <d v="2025-02-26T00:00:00"/>
    <n v="25224"/>
    <d v="2025-07-31T00:00:00"/>
    <n v="6895"/>
    <n v="32119"/>
    <n v="0"/>
  </r>
  <r>
    <x v="1339"/>
    <s v="BR003"/>
    <n v="67"/>
    <s v="F"/>
    <s v="&lt;3L"/>
    <s v="online"/>
    <x v="0"/>
    <s v="complete"/>
    <d v="2021-05-01T00:00:00"/>
    <n v="11590"/>
    <d v="2025-07-08T00:00:00"/>
    <n v="21659"/>
    <n v="33249"/>
    <n v="0"/>
  </r>
  <r>
    <x v="1340"/>
    <s v="BR001"/>
    <n v="38"/>
    <s v="F"/>
    <s v="3-6L"/>
    <s v="online"/>
    <x v="0"/>
    <s v="complete"/>
    <d v="2023-11-28T00:00:00"/>
    <n v="4436"/>
    <d v="2025-07-02T00:00:00"/>
    <n v="17106"/>
    <n v="21542"/>
    <n v="0"/>
  </r>
  <r>
    <x v="1341"/>
    <s v="BR017"/>
    <n v="66"/>
    <s v="F"/>
    <s v="&lt;3L"/>
    <s v="branch"/>
    <x v="0"/>
    <s v="complete"/>
    <d v="2024-02-19T00:00:00"/>
    <n v="18890"/>
    <d v="2025-06-18T00:00:00"/>
    <n v="399"/>
    <n v="19289"/>
    <n v="0"/>
  </r>
  <r>
    <x v="1342"/>
    <s v="BR016"/>
    <n v="24"/>
    <s v="F"/>
    <s v="&lt;3L"/>
    <s v="online"/>
    <x v="0"/>
    <s v="complete"/>
    <d v="2023-06-12T00:00:00"/>
    <n v="41516"/>
    <d v="2025-07-17T00:00:00"/>
    <n v="7726"/>
    <n v="49242"/>
    <n v="0"/>
  </r>
  <r>
    <x v="1343"/>
    <s v="BR017"/>
    <n v="34"/>
    <s v="F"/>
    <s v="&gt;10L"/>
    <s v="online"/>
    <x v="0"/>
    <s v="complete"/>
    <d v="2024-01-21T00:00:00"/>
    <n v="13450"/>
    <d v="2025-07-16T00:00:00"/>
    <n v="16785"/>
    <n v="30235"/>
    <n v="0"/>
  </r>
  <r>
    <x v="1344"/>
    <s v="BR002"/>
    <n v="37"/>
    <s v="M"/>
    <s v="3-6L"/>
    <s v="online"/>
    <x v="0"/>
    <s v="complete"/>
    <d v="2022-01-26T00:00:00"/>
    <n v="33635"/>
    <d v="2025-05-28T00:00:00"/>
    <n v="12230"/>
    <n v="45865"/>
    <n v="0"/>
  </r>
  <r>
    <x v="1345"/>
    <s v="BR014"/>
    <n v="58"/>
    <s v="M"/>
    <s v="3-6L"/>
    <s v="online"/>
    <x v="0"/>
    <s v="complete"/>
    <d v="2023-03-31T00:00:00"/>
    <n v="21214"/>
    <d v="2025-06-26T00:00:00"/>
    <n v="22262"/>
    <n v="43476"/>
    <n v="0"/>
  </r>
  <r>
    <x v="1346"/>
    <s v="BR007"/>
    <n v="66"/>
    <s v="M"/>
    <s v="6-10L"/>
    <s v="branch"/>
    <x v="0"/>
    <s v="complete"/>
    <d v="2022-10-16T00:00:00"/>
    <n v="21489"/>
    <d v="2025-06-21T00:00:00"/>
    <n v="26077"/>
    <n v="47566"/>
    <n v="0"/>
  </r>
  <r>
    <x v="1347"/>
    <s v="BR019"/>
    <n v="37"/>
    <s v="F"/>
    <s v="3-6L"/>
    <s v="branch"/>
    <x v="0"/>
    <s v="complete"/>
    <d v="2021-05-31T00:00:00"/>
    <n v="9843"/>
    <d v="2025-06-18T00:00:00"/>
    <n v="14530"/>
    <n v="24373"/>
    <n v="0"/>
  </r>
  <r>
    <x v="1348"/>
    <s v="BR001"/>
    <n v="39"/>
    <s v="M"/>
    <s v="&lt;3L"/>
    <s v="online"/>
    <x v="0"/>
    <s v="complete"/>
    <d v="2023-11-13T00:00:00"/>
    <n v="30294"/>
    <d v="2025-07-30T00:00:00"/>
    <n v="12093"/>
    <n v="42387"/>
    <n v="0"/>
  </r>
  <r>
    <x v="1349"/>
    <s v="BR017"/>
    <n v="45"/>
    <s v="F"/>
    <s v="&lt;3L"/>
    <s v="online"/>
    <x v="0"/>
    <s v="complete"/>
    <d v="2023-04-09T00:00:00"/>
    <n v="33329"/>
    <d v="2025-07-26T00:00:00"/>
    <n v="2825"/>
    <n v="36154"/>
    <n v="0"/>
  </r>
  <r>
    <x v="1350"/>
    <s v="BR010"/>
    <n v="57"/>
    <s v="F"/>
    <s v="3-6L"/>
    <s v="branch"/>
    <x v="1"/>
    <s v="complete"/>
    <d v="2022-04-06T00:00:00"/>
    <n v="29515"/>
    <d v="2025-07-21T00:00:00"/>
    <n v="20108"/>
    <n v="49623"/>
    <n v="0"/>
  </r>
  <r>
    <x v="1351"/>
    <s v="BR006"/>
    <n v="66"/>
    <s v="M"/>
    <s v="3-6L"/>
    <s v="online"/>
    <x v="0"/>
    <s v="complete"/>
    <d v="2023-03-04T00:00:00"/>
    <n v="9762"/>
    <d v="2025-07-23T00:00:00"/>
    <n v="14023"/>
    <n v="23785"/>
    <n v="0"/>
  </r>
  <r>
    <x v="1352"/>
    <s v="BR007"/>
    <n v="24"/>
    <s v="M"/>
    <s v="3-6L"/>
    <s v="branch"/>
    <x v="0"/>
    <s v="complete"/>
    <d v="2024-07-21T00:00:00"/>
    <n v="35778"/>
    <d v="2025-07-17T00:00:00"/>
    <n v="5314"/>
    <n v="41092"/>
    <n v="0"/>
  </r>
  <r>
    <x v="1353"/>
    <s v="BR006"/>
    <n v="18"/>
    <s v="F"/>
    <s v="&lt;3L"/>
    <s v="branch"/>
    <x v="0"/>
    <s v="complete"/>
    <d v="2024-09-03T00:00:00"/>
    <n v="19659"/>
    <d v="2025-07-19T00:00:00"/>
    <n v="-5645"/>
    <n v="14014"/>
    <n v="0"/>
  </r>
  <r>
    <x v="1354"/>
    <s v="BR005"/>
    <n v="49"/>
    <s v="F"/>
    <s v="3-6L"/>
    <s v="online"/>
    <x v="0"/>
    <s v="complete"/>
    <d v="2023-12-23T00:00:00"/>
    <n v="5053"/>
    <d v="2025-05-21T00:00:00"/>
    <n v="8356"/>
    <n v="13409"/>
    <n v="0"/>
  </r>
  <r>
    <x v="1355"/>
    <s v="BR002"/>
    <n v="30"/>
    <s v="F"/>
    <s v="&gt;10L"/>
    <s v="online"/>
    <x v="0"/>
    <s v="complete"/>
    <d v="2023-02-22T00:00:00"/>
    <n v="9123"/>
    <d v="2025-05-26T00:00:00"/>
    <n v="3596"/>
    <n v="12719"/>
    <n v="0"/>
  </r>
  <r>
    <x v="1356"/>
    <s v="BR018"/>
    <n v="47"/>
    <s v="M"/>
    <s v="6-10L"/>
    <s v="branch"/>
    <x v="0"/>
    <s v="complete"/>
    <d v="2023-08-22T00:00:00"/>
    <n v="7860"/>
    <d v="2025-05-21T00:00:00"/>
    <n v="13303"/>
    <n v="21163"/>
    <n v="0"/>
  </r>
  <r>
    <x v="1357"/>
    <s v="BR017"/>
    <n v="40"/>
    <s v="M"/>
    <s v="6-10L"/>
    <s v="online"/>
    <x v="0"/>
    <s v="complete"/>
    <d v="2022-10-07T00:00:00"/>
    <n v="1830"/>
    <d v="2025-05-26T00:00:00"/>
    <n v="29946"/>
    <n v="31776"/>
    <n v="0"/>
  </r>
  <r>
    <x v="1358"/>
    <s v="BR007"/>
    <n v="68"/>
    <s v="M"/>
    <s v="6-10L"/>
    <s v="online"/>
    <x v="1"/>
    <s v="complete"/>
    <d v="2021-07-31T00:00:00"/>
    <n v="36440"/>
    <d v="2025-07-28T00:00:00"/>
    <n v="9146"/>
    <n v="45586"/>
    <n v="0"/>
  </r>
  <r>
    <x v="1359"/>
    <s v="BR019"/>
    <n v="36"/>
    <s v="M"/>
    <s v="3-6L"/>
    <s v="online"/>
    <x v="0"/>
    <s v="complete"/>
    <d v="2022-10-08T00:00:00"/>
    <n v="296911"/>
    <d v="2025-07-05T00:00:00"/>
    <n v="17159"/>
    <n v="314070"/>
    <n v="0"/>
  </r>
  <r>
    <x v="1360"/>
    <s v="BR007"/>
    <n v="49"/>
    <s v="F"/>
    <s v="6-10L"/>
    <s v="online"/>
    <x v="0"/>
    <s v="complete"/>
    <d v="2023-06-07T00:00:00"/>
    <n v="44728"/>
    <d v="2025-07-24T00:00:00"/>
    <n v="21680"/>
    <n v="66408"/>
    <n v="0"/>
  </r>
  <r>
    <x v="1361"/>
    <s v="BR007"/>
    <n v="47"/>
    <s v="F"/>
    <s v="&lt;3L"/>
    <s v="branch"/>
    <x v="0"/>
    <s v="pending"/>
    <d v="2023-09-29T00:00:00"/>
    <n v="15723"/>
    <d v="2025-07-11T00:00:00"/>
    <n v="2734"/>
    <n v="18457"/>
    <n v="0"/>
  </r>
  <r>
    <x v="1362"/>
    <s v="BR016"/>
    <n v="46"/>
    <s v="F"/>
    <s v="6-10L"/>
    <s v="branch"/>
    <x v="0"/>
    <s v="complete"/>
    <d v="2025-04-15T00:00:00"/>
    <n v="7976"/>
    <d v="2025-07-27T00:00:00"/>
    <n v="15771"/>
    <n v="23747"/>
    <n v="0"/>
  </r>
  <r>
    <x v="1363"/>
    <s v="BR012"/>
    <n v="66"/>
    <s v="F"/>
    <s v="3-6L"/>
    <s v="branch"/>
    <x v="0"/>
    <s v="complete"/>
    <d v="2024-07-24T00:00:00"/>
    <n v="5297"/>
    <d v="2025-07-30T00:00:00"/>
    <n v="26674"/>
    <n v="31971"/>
    <n v="0"/>
  </r>
  <r>
    <x v="1364"/>
    <s v="BR015"/>
    <n v="62"/>
    <s v="F"/>
    <s v="&lt;3L"/>
    <s v="online"/>
    <x v="0"/>
    <s v="complete"/>
    <d v="2021-09-12T00:00:00"/>
    <n v="15532"/>
    <d v="2025-07-18T00:00:00"/>
    <n v="13475"/>
    <n v="29007"/>
    <n v="0"/>
  </r>
  <r>
    <x v="1365"/>
    <s v="BR015"/>
    <n v="46"/>
    <s v="F"/>
    <s v="6-10L"/>
    <s v="online"/>
    <x v="0"/>
    <s v="complete"/>
    <d v="2021-10-19T00:00:00"/>
    <n v="35183"/>
    <d v="2025-06-22T00:00:00"/>
    <n v="33503"/>
    <n v="68686"/>
    <n v="0"/>
  </r>
  <r>
    <x v="1366"/>
    <s v="BR011"/>
    <n v="47"/>
    <s v="M"/>
    <s v="&gt;10L"/>
    <s v="branch"/>
    <x v="0"/>
    <s v="complete"/>
    <d v="2021-06-18T00:00:00"/>
    <n v="6805"/>
    <d v="2025-07-21T00:00:00"/>
    <n v="11324"/>
    <n v="18129"/>
    <n v="0"/>
  </r>
  <r>
    <x v="1367"/>
    <s v="BR002"/>
    <n v="33"/>
    <s v="F"/>
    <s v="3-6L"/>
    <s v="online"/>
    <x v="0"/>
    <s v="complete"/>
    <d v="2024-05-19T00:00:00"/>
    <n v="173557"/>
    <d v="2025-04-23T00:00:00"/>
    <n v="17730"/>
    <n v="191287"/>
    <n v="0"/>
  </r>
  <r>
    <x v="1368"/>
    <s v="BR003"/>
    <n v="57"/>
    <s v="M"/>
    <s v="6-10L"/>
    <s v="branch"/>
    <x v="1"/>
    <s v="complete"/>
    <d v="2024-03-27T00:00:00"/>
    <n v="3348"/>
    <d v="2025-07-17T00:00:00"/>
    <n v="2559"/>
    <n v="5907"/>
    <n v="0"/>
  </r>
  <r>
    <x v="1369"/>
    <s v="BR019"/>
    <n v="36"/>
    <s v="F"/>
    <s v="&lt;3L"/>
    <s v="online"/>
    <x v="0"/>
    <s v="complete"/>
    <d v="2025-07-09T00:00:00"/>
    <n v="16722"/>
    <d v="2025-07-31T00:00:00"/>
    <n v="-4693"/>
    <n v="12029"/>
    <n v="0"/>
  </r>
  <r>
    <x v="1370"/>
    <s v="BR020"/>
    <n v="35"/>
    <s v="F"/>
    <s v="3-6L"/>
    <s v="branch"/>
    <x v="1"/>
    <s v="complete"/>
    <d v="2023-05-24T00:00:00"/>
    <n v="14333"/>
    <d v="2025-06-27T00:00:00"/>
    <n v="27317"/>
    <n v="41650"/>
    <n v="0"/>
  </r>
  <r>
    <x v="1371"/>
    <s v="BR015"/>
    <n v="18"/>
    <s v="M"/>
    <s v="3-6L"/>
    <s v="online"/>
    <x v="0"/>
    <s v="complete"/>
    <d v="2024-10-14T00:00:00"/>
    <n v="13449"/>
    <d v="2025-07-17T00:00:00"/>
    <n v="41307"/>
    <n v="54756"/>
    <n v="0"/>
  </r>
  <r>
    <x v="1372"/>
    <s v="BR016"/>
    <n v="31"/>
    <s v="F"/>
    <s v="3-6L"/>
    <s v="online"/>
    <x v="0"/>
    <s v="complete"/>
    <d v="2023-08-23T00:00:00"/>
    <n v="7564"/>
    <d v="2025-06-23T00:00:00"/>
    <n v="3862"/>
    <n v="11426"/>
    <n v="0"/>
  </r>
  <r>
    <x v="1373"/>
    <s v="BR001"/>
    <n v="68"/>
    <s v="F"/>
    <s v="&gt;10L"/>
    <s v="online"/>
    <x v="0"/>
    <s v="complete"/>
    <d v="2025-01-02T00:00:00"/>
    <n v="14508"/>
    <d v="2025-07-30T00:00:00"/>
    <n v="27755"/>
    <n v="42263"/>
    <n v="0"/>
  </r>
  <r>
    <x v="1374"/>
    <s v="BR015"/>
    <n v="64"/>
    <s v="F"/>
    <s v="6-10L"/>
    <s v="online"/>
    <x v="0"/>
    <s v="complete"/>
    <d v="2024-04-21T00:00:00"/>
    <n v="8520"/>
    <d v="2025-06-09T00:00:00"/>
    <n v="2270"/>
    <n v="10790"/>
    <n v="0"/>
  </r>
  <r>
    <x v="1375"/>
    <s v="BR012"/>
    <n v="67"/>
    <s v="F"/>
    <s v="6-10L"/>
    <s v="online"/>
    <x v="0"/>
    <s v="complete"/>
    <d v="2023-12-12T00:00:00"/>
    <n v="48431"/>
    <d v="2025-07-01T00:00:00"/>
    <n v="-4845"/>
    <n v="43586"/>
    <n v="0"/>
  </r>
  <r>
    <x v="1376"/>
    <s v="BR007"/>
    <n v="19"/>
    <s v="F"/>
    <s v="3-6L"/>
    <s v="branch"/>
    <x v="0"/>
    <s v="complete"/>
    <d v="2023-08-04T00:00:00"/>
    <n v="67560"/>
    <d v="2025-05-03T00:00:00"/>
    <n v="12470"/>
    <n v="80030"/>
    <n v="0"/>
  </r>
  <r>
    <x v="1377"/>
    <s v="BR007"/>
    <n v="45"/>
    <s v="M"/>
    <s v="&gt;10L"/>
    <s v="branch"/>
    <x v="1"/>
    <s v="complete"/>
    <d v="2024-04-24T00:00:00"/>
    <n v="9058"/>
    <d v="2025-07-29T00:00:00"/>
    <n v="3782"/>
    <n v="12840"/>
    <n v="0"/>
  </r>
  <r>
    <x v="1378"/>
    <s v="BR011"/>
    <n v="66"/>
    <s v="M"/>
    <s v="&lt;3L"/>
    <s v="branch"/>
    <x v="0"/>
    <s v="complete"/>
    <d v="2022-12-04T00:00:00"/>
    <n v="2579"/>
    <d v="2025-04-29T00:00:00"/>
    <n v="9251"/>
    <n v="11830"/>
    <n v="0"/>
  </r>
  <r>
    <x v="1379"/>
    <s v="BR020"/>
    <n v="67"/>
    <s v="F"/>
    <s v="6-10L"/>
    <s v="branch"/>
    <x v="0"/>
    <s v="complete"/>
    <d v="2021-06-11T00:00:00"/>
    <n v="18355"/>
    <d v="2025-07-20T00:00:00"/>
    <n v="13046"/>
    <n v="31401"/>
    <n v="0"/>
  </r>
  <r>
    <x v="1380"/>
    <s v="BR011"/>
    <n v="47"/>
    <s v="F"/>
    <s v="3-6L"/>
    <s v="online"/>
    <x v="0"/>
    <s v="complete"/>
    <d v="2021-03-08T00:00:00"/>
    <n v="17705"/>
    <d v="2024-08-05T00:00:00"/>
    <n v="18936"/>
    <n v="36641"/>
    <n v="1"/>
  </r>
  <r>
    <x v="1381"/>
    <s v="BR017"/>
    <n v="55"/>
    <s v="M"/>
    <s v="&lt;3L"/>
    <s v="online"/>
    <x v="0"/>
    <s v="complete"/>
    <d v="2023-03-13T00:00:00"/>
    <n v="14842"/>
    <d v="2025-05-14T00:00:00"/>
    <n v="-4987"/>
    <n v="9855"/>
    <n v="0"/>
  </r>
  <r>
    <x v="1382"/>
    <s v="BR003"/>
    <n v="68"/>
    <s v="M"/>
    <s v="6-10L"/>
    <s v="online"/>
    <x v="0"/>
    <s v="complete"/>
    <d v="2023-09-30T00:00:00"/>
    <n v="22764"/>
    <d v="2025-06-04T00:00:00"/>
    <n v="8078"/>
    <n v="30842"/>
    <n v="0"/>
  </r>
  <r>
    <x v="1383"/>
    <s v="BR016"/>
    <n v="21"/>
    <s v="F"/>
    <s v="&lt;3L"/>
    <s v="branch"/>
    <x v="0"/>
    <s v="complete"/>
    <d v="2021-05-12T00:00:00"/>
    <n v="53185"/>
    <d v="2025-04-18T00:00:00"/>
    <n v="25081"/>
    <n v="78266"/>
    <n v="0"/>
  </r>
  <r>
    <x v="1384"/>
    <s v="BR005"/>
    <n v="18"/>
    <s v="F"/>
    <s v="&lt;3L"/>
    <s v="online"/>
    <x v="0"/>
    <s v="complete"/>
    <d v="2022-04-25T00:00:00"/>
    <n v="30729"/>
    <d v="2025-05-22T00:00:00"/>
    <n v="-14169"/>
    <n v="16560"/>
    <n v="0"/>
  </r>
  <r>
    <x v="1385"/>
    <s v="BR002"/>
    <n v="25"/>
    <s v="F"/>
    <s v="3-6L"/>
    <s v="branch"/>
    <x v="0"/>
    <s v="complete"/>
    <d v="2022-06-23T00:00:00"/>
    <n v="22730"/>
    <d v="2025-05-21T00:00:00"/>
    <n v="-1179"/>
    <n v="21551"/>
    <n v="0"/>
  </r>
  <r>
    <x v="1386"/>
    <s v="BR007"/>
    <n v="46"/>
    <s v="F"/>
    <s v="&lt;3L"/>
    <s v="online"/>
    <x v="1"/>
    <s v="complete"/>
    <d v="2023-07-31T00:00:00"/>
    <n v="28394"/>
    <d v="2025-06-25T00:00:00"/>
    <n v="7934"/>
    <n v="36328"/>
    <n v="0"/>
  </r>
  <r>
    <x v="1387"/>
    <s v="BR010"/>
    <n v="56"/>
    <s v="M"/>
    <s v="&lt;3L"/>
    <s v="branch"/>
    <x v="0"/>
    <s v="complete"/>
    <d v="2022-04-11T00:00:00"/>
    <n v="17180"/>
    <d v="2025-07-19T00:00:00"/>
    <n v="355"/>
    <n v="17535"/>
    <n v="0"/>
  </r>
  <r>
    <x v="1388"/>
    <s v="BR005"/>
    <n v="20"/>
    <s v="M"/>
    <s v="&lt;3L"/>
    <s v="branch"/>
    <x v="1"/>
    <s v="complete"/>
    <d v="2021-06-10T00:00:00"/>
    <n v="5190"/>
    <d v="2025-07-28T00:00:00"/>
    <n v="-14378"/>
    <n v="-9188"/>
    <n v="0"/>
  </r>
  <r>
    <x v="1389"/>
    <s v="BR015"/>
    <n v="49"/>
    <s v="F"/>
    <s v="3-6L"/>
    <s v="online"/>
    <x v="0"/>
    <s v="complete"/>
    <d v="2021-10-03T00:00:00"/>
    <n v="56980"/>
    <d v="2025-05-10T00:00:00"/>
    <n v="561"/>
    <n v="57541"/>
    <n v="0"/>
  </r>
  <r>
    <x v="1390"/>
    <s v="BR012"/>
    <n v="27"/>
    <s v="M"/>
    <s v="&lt;3L"/>
    <s v="online"/>
    <x v="0"/>
    <s v="complete"/>
    <d v="2021-10-19T00:00:00"/>
    <n v="14803"/>
    <d v="2025-06-10T00:00:00"/>
    <n v="-2811"/>
    <n v="11992"/>
    <n v="0"/>
  </r>
  <r>
    <x v="1391"/>
    <s v="BR010"/>
    <n v="27"/>
    <s v="M"/>
    <s v="6-10L"/>
    <s v="branch"/>
    <x v="1"/>
    <s v="complete"/>
    <d v="2024-11-10T00:00:00"/>
    <n v="5188"/>
    <d v="2025-07-20T00:00:00"/>
    <n v="21364"/>
    <n v="26552"/>
    <n v="0"/>
  </r>
  <r>
    <x v="1392"/>
    <s v="BR017"/>
    <n v="36"/>
    <s v="M"/>
    <s v="&lt;3L"/>
    <s v="online"/>
    <x v="0"/>
    <s v="complete"/>
    <d v="2022-04-21T00:00:00"/>
    <n v="4324"/>
    <d v="2025-05-14T00:00:00"/>
    <n v="9400"/>
    <n v="13724"/>
    <n v="0"/>
  </r>
  <r>
    <x v="1393"/>
    <s v="BR020"/>
    <n v="63"/>
    <s v="F"/>
    <s v="&gt;10L"/>
    <s v="online"/>
    <x v="1"/>
    <s v="complete"/>
    <d v="2024-04-10T00:00:00"/>
    <n v="5336"/>
    <d v="2025-07-29T00:00:00"/>
    <n v="3745"/>
    <n v="9081"/>
    <n v="0"/>
  </r>
  <r>
    <x v="1394"/>
    <s v="BR020"/>
    <n v="51"/>
    <s v="F"/>
    <s v="6-10L"/>
    <s v="branch"/>
    <x v="0"/>
    <s v="complete"/>
    <d v="2023-08-08T00:00:00"/>
    <n v="3894"/>
    <d v="2025-07-05T00:00:00"/>
    <n v="4478"/>
    <n v="8372"/>
    <n v="0"/>
  </r>
  <r>
    <x v="1395"/>
    <s v="BR011"/>
    <n v="50"/>
    <s v="M"/>
    <s v="3-6L"/>
    <s v="online"/>
    <x v="0"/>
    <s v="complete"/>
    <d v="2025-06-23T00:00:00"/>
    <n v="26079"/>
    <d v="2025-07-31T00:00:00"/>
    <n v="6974"/>
    <n v="33053"/>
    <n v="0"/>
  </r>
  <r>
    <x v="1396"/>
    <s v="BR008"/>
    <n v="40"/>
    <s v="F"/>
    <s v="6-10L"/>
    <s v="branch"/>
    <x v="0"/>
    <s v="complete"/>
    <d v="2022-04-02T00:00:00"/>
    <n v="11214"/>
    <d v="2025-06-26T00:00:00"/>
    <n v="22255"/>
    <n v="33469"/>
    <n v="0"/>
  </r>
  <r>
    <x v="1397"/>
    <s v="BR015"/>
    <n v="45"/>
    <s v="F"/>
    <s v="6-10L"/>
    <s v="branch"/>
    <x v="0"/>
    <s v="complete"/>
    <d v="2021-09-22T00:00:00"/>
    <n v="29028"/>
    <d v="2025-07-26T00:00:00"/>
    <n v="10951"/>
    <n v="39979"/>
    <n v="0"/>
  </r>
  <r>
    <x v="1398"/>
    <s v="BR002"/>
    <n v="49"/>
    <s v="O"/>
    <s v="&gt;10L"/>
    <s v="online"/>
    <x v="0"/>
    <s v="complete"/>
    <d v="2021-03-29T00:00:00"/>
    <n v="43022"/>
    <d v="2025-06-26T00:00:00"/>
    <n v="23983"/>
    <n v="67005"/>
    <n v="0"/>
  </r>
  <r>
    <x v="1399"/>
    <s v="BR017"/>
    <n v="67"/>
    <s v="M"/>
    <s v="3-6L"/>
    <s v="online"/>
    <x v="0"/>
    <s v="complete"/>
    <d v="2022-02-08T00:00:00"/>
    <n v="33216"/>
    <d v="2025-04-26T00:00:00"/>
    <n v="15328"/>
    <n v="48544"/>
    <n v="0"/>
  </r>
  <r>
    <x v="1400"/>
    <s v="BR006"/>
    <n v="24"/>
    <s v="F"/>
    <s v="&lt;3L"/>
    <s v="online"/>
    <x v="0"/>
    <s v="complete"/>
    <d v="2024-02-19T00:00:00"/>
    <n v="25185"/>
    <d v="2025-07-19T00:00:00"/>
    <n v="-16202"/>
    <n v="8983"/>
    <n v="0"/>
  </r>
  <r>
    <x v="1401"/>
    <s v="BR013"/>
    <n v="46"/>
    <s v="M"/>
    <s v="3-6L"/>
    <s v="branch"/>
    <x v="1"/>
    <s v="complete"/>
    <d v="2021-05-23T00:00:00"/>
    <n v="17810"/>
    <d v="2025-06-27T00:00:00"/>
    <n v="12269"/>
    <n v="30079"/>
    <n v="0"/>
  </r>
  <r>
    <x v="1402"/>
    <s v="BR008"/>
    <n v="25"/>
    <s v="F"/>
    <s v="3-6L"/>
    <s v="online"/>
    <x v="0"/>
    <s v="complete"/>
    <d v="2022-02-14T00:00:00"/>
    <n v="11044"/>
    <d v="2025-07-12T00:00:00"/>
    <n v="-6834"/>
    <n v="4210"/>
    <n v="0"/>
  </r>
  <r>
    <x v="1403"/>
    <s v="BR011"/>
    <n v="18"/>
    <s v="F"/>
    <s v="3-6L"/>
    <s v="branch"/>
    <x v="0"/>
    <s v="pending"/>
    <d v="2024-12-01T00:00:00"/>
    <n v="11806"/>
    <d v="2025-07-30T00:00:00"/>
    <n v="21458"/>
    <n v="33264"/>
    <n v="0"/>
  </r>
  <r>
    <x v="1404"/>
    <s v="BR015"/>
    <n v="20"/>
    <s v="M"/>
    <s v="3-6L"/>
    <s v="online"/>
    <x v="0"/>
    <s v="complete"/>
    <d v="2023-09-03T00:00:00"/>
    <n v="23965"/>
    <d v="2025-07-22T00:00:00"/>
    <n v="-8540"/>
    <n v="15425"/>
    <n v="0"/>
  </r>
  <r>
    <x v="1405"/>
    <s v="BR013"/>
    <n v="41"/>
    <s v="F"/>
    <s v="6-10L"/>
    <s v="online"/>
    <x v="0"/>
    <s v="complete"/>
    <d v="2021-04-27T00:00:00"/>
    <n v="5109"/>
    <d v="2025-06-20T00:00:00"/>
    <n v="-9296"/>
    <n v="-4187"/>
    <n v="0"/>
  </r>
  <r>
    <x v="1406"/>
    <s v="BR018"/>
    <n v="40"/>
    <s v="F"/>
    <s v="&gt;10L"/>
    <s v="online"/>
    <x v="1"/>
    <s v="complete"/>
    <d v="2021-03-21T00:00:00"/>
    <n v="12659"/>
    <d v="2025-07-25T00:00:00"/>
    <n v="9554"/>
    <n v="22213"/>
    <n v="0"/>
  </r>
  <r>
    <x v="1407"/>
    <s v="BR018"/>
    <n v="25"/>
    <s v="M"/>
    <s v="&lt;3L"/>
    <s v="online"/>
    <x v="0"/>
    <s v="complete"/>
    <d v="2021-04-13T00:00:00"/>
    <n v="6356"/>
    <d v="2025-07-27T00:00:00"/>
    <n v="10598"/>
    <n v="16954"/>
    <n v="0"/>
  </r>
  <r>
    <x v="1408"/>
    <s v="BR017"/>
    <n v="64"/>
    <s v="F"/>
    <s v="&lt;3L"/>
    <s v="online"/>
    <x v="0"/>
    <s v="complete"/>
    <d v="2025-04-25T00:00:00"/>
    <n v="43173"/>
    <d v="2025-07-31T00:00:00"/>
    <n v="26712"/>
    <n v="69885"/>
    <n v="0"/>
  </r>
  <r>
    <x v="1409"/>
    <s v="BR013"/>
    <n v="54"/>
    <s v="M"/>
    <s v="&lt;3L"/>
    <s v="online"/>
    <x v="0"/>
    <s v="complete"/>
    <d v="2024-11-22T00:00:00"/>
    <n v="27366"/>
    <d v="2025-07-25T00:00:00"/>
    <n v="-6948"/>
    <n v="20418"/>
    <n v="0"/>
  </r>
  <r>
    <x v="1410"/>
    <s v="BR003"/>
    <n v="20"/>
    <s v="F"/>
    <s v="6-10L"/>
    <s v="online"/>
    <x v="0"/>
    <s v="complete"/>
    <d v="2024-11-14T00:00:00"/>
    <n v="113261"/>
    <d v="2025-07-09T00:00:00"/>
    <n v="9649"/>
    <n v="122910"/>
    <n v="0"/>
  </r>
  <r>
    <x v="1411"/>
    <s v="BR007"/>
    <n v="68"/>
    <s v="M"/>
    <s v="6-10L"/>
    <s v="online"/>
    <x v="1"/>
    <s v="complete"/>
    <d v="2025-03-27T00:00:00"/>
    <n v="6262"/>
    <d v="2025-07-27T00:00:00"/>
    <n v="5258"/>
    <n v="11520"/>
    <n v="0"/>
  </r>
  <r>
    <x v="1412"/>
    <s v="BR012"/>
    <n v="50"/>
    <s v="F"/>
    <s v="3-6L"/>
    <s v="online"/>
    <x v="0"/>
    <s v="complete"/>
    <d v="2023-04-26T00:00:00"/>
    <n v="6971"/>
    <d v="2025-05-17T00:00:00"/>
    <n v="457"/>
    <n v="7428"/>
    <n v="0"/>
  </r>
  <r>
    <x v="1413"/>
    <s v="BR004"/>
    <n v="45"/>
    <s v="M"/>
    <s v="3-6L"/>
    <s v="branch"/>
    <x v="1"/>
    <s v="complete"/>
    <d v="2022-02-18T00:00:00"/>
    <n v="14150"/>
    <d v="2025-05-24T00:00:00"/>
    <n v="15614"/>
    <n v="29764"/>
    <n v="0"/>
  </r>
  <r>
    <x v="1414"/>
    <s v="BR011"/>
    <n v="64"/>
    <s v="F"/>
    <s v="3-6L"/>
    <s v="online"/>
    <x v="0"/>
    <s v="complete"/>
    <d v="2022-11-03T00:00:00"/>
    <n v="6467"/>
    <d v="2025-05-31T00:00:00"/>
    <n v="-131"/>
    <n v="6336"/>
    <n v="0"/>
  </r>
  <r>
    <x v="1415"/>
    <s v="BR014"/>
    <n v="25"/>
    <s v="F"/>
    <s v="3-6L"/>
    <s v="online"/>
    <x v="1"/>
    <s v="complete"/>
    <d v="2024-04-17T00:00:00"/>
    <n v="22871"/>
    <d v="2025-07-27T00:00:00"/>
    <n v="18011"/>
    <n v="40882"/>
    <n v="0"/>
  </r>
  <r>
    <x v="1416"/>
    <s v="BR018"/>
    <n v="51"/>
    <s v="F"/>
    <s v="3-6L"/>
    <s v="branch"/>
    <x v="0"/>
    <s v="complete"/>
    <d v="2025-01-05T00:00:00"/>
    <n v="12696"/>
    <d v="2025-06-25T00:00:00"/>
    <n v="49019"/>
    <n v="61715"/>
    <n v="0"/>
  </r>
  <r>
    <x v="1417"/>
    <s v="BR007"/>
    <n v="52"/>
    <s v="F"/>
    <s v="6-10L"/>
    <s v="online"/>
    <x v="1"/>
    <s v="complete"/>
    <d v="2022-12-29T00:00:00"/>
    <n v="8197"/>
    <d v="2025-06-21T00:00:00"/>
    <n v="22846"/>
    <n v="31043"/>
    <n v="0"/>
  </r>
  <r>
    <x v="1418"/>
    <s v="BR005"/>
    <n v="49"/>
    <s v="F"/>
    <s v="&gt;10L"/>
    <s v="branch"/>
    <x v="1"/>
    <s v="complete"/>
    <d v="2023-06-15T00:00:00"/>
    <n v="39640"/>
    <d v="2025-06-21T00:00:00"/>
    <n v="5764"/>
    <n v="45404"/>
    <n v="0"/>
  </r>
  <r>
    <x v="1419"/>
    <s v="BR016"/>
    <n v="41"/>
    <s v="M"/>
    <s v="&gt;10L"/>
    <s v="online"/>
    <x v="1"/>
    <s v="complete"/>
    <d v="2025-04-08T00:00:00"/>
    <n v="2102"/>
    <d v="2025-07-26T00:00:00"/>
    <n v="14943"/>
    <n v="17045"/>
    <n v="0"/>
  </r>
  <r>
    <x v="1420"/>
    <s v="BR011"/>
    <n v="31"/>
    <s v="M"/>
    <s v="&gt;10L"/>
    <s v="online"/>
    <x v="0"/>
    <s v="complete"/>
    <d v="2021-06-29T00:00:00"/>
    <n v="22974"/>
    <d v="2025-05-07T00:00:00"/>
    <n v="21679"/>
    <n v="44653"/>
    <n v="0"/>
  </r>
  <r>
    <x v="1421"/>
    <s v="BR003"/>
    <n v="49"/>
    <s v="F"/>
    <s v="3-6L"/>
    <s v="branch"/>
    <x v="0"/>
    <s v="complete"/>
    <d v="2024-12-13T00:00:00"/>
    <n v="7699"/>
    <d v="2025-07-28T00:00:00"/>
    <n v="25771"/>
    <n v="33470"/>
    <n v="0"/>
  </r>
  <r>
    <x v="1422"/>
    <s v="BR016"/>
    <n v="63"/>
    <s v="M"/>
    <s v="3-6L"/>
    <s v="online"/>
    <x v="0"/>
    <s v="complete"/>
    <d v="2021-09-24T00:00:00"/>
    <n v="30235"/>
    <d v="2025-07-27T00:00:00"/>
    <n v="13332"/>
    <n v="43567"/>
    <n v="0"/>
  </r>
  <r>
    <x v="1423"/>
    <s v="BR011"/>
    <n v="60"/>
    <s v="F"/>
    <s v="6-10L"/>
    <s v="branch"/>
    <x v="0"/>
    <s v="complete"/>
    <d v="2023-03-21T00:00:00"/>
    <n v="38417"/>
    <d v="2025-07-05T00:00:00"/>
    <n v="-2077"/>
    <n v="36340"/>
    <n v="0"/>
  </r>
  <r>
    <x v="1424"/>
    <s v="BR010"/>
    <n v="33"/>
    <s v="O"/>
    <s v="&gt;10L"/>
    <s v="online"/>
    <x v="0"/>
    <s v="complete"/>
    <d v="2022-01-01T00:00:00"/>
    <n v="1371"/>
    <d v="2025-03-05T00:00:00"/>
    <n v="7786"/>
    <n v="9157"/>
    <n v="0"/>
  </r>
  <r>
    <x v="1425"/>
    <s v="BR002"/>
    <n v="21"/>
    <s v="M"/>
    <s v="&lt;3L"/>
    <s v="branch"/>
    <x v="0"/>
    <s v="complete"/>
    <d v="2023-10-06T00:00:00"/>
    <n v="10812"/>
    <d v="2025-07-23T00:00:00"/>
    <n v="14462"/>
    <n v="25274"/>
    <n v="0"/>
  </r>
  <r>
    <x v="1426"/>
    <s v="BR016"/>
    <n v="69"/>
    <s v="F"/>
    <s v="3-6L"/>
    <s v="branch"/>
    <x v="0"/>
    <s v="complete"/>
    <d v="2023-07-24T00:00:00"/>
    <n v="14160"/>
    <d v="2025-07-28T00:00:00"/>
    <n v="7150"/>
    <n v="21310"/>
    <n v="0"/>
  </r>
  <r>
    <x v="1427"/>
    <s v="BR017"/>
    <n v="54"/>
    <s v="F"/>
    <s v="&lt;3L"/>
    <s v="online"/>
    <x v="0"/>
    <s v="complete"/>
    <d v="2022-09-28T00:00:00"/>
    <n v="1264"/>
    <d v="2025-05-20T00:00:00"/>
    <n v="35263"/>
    <n v="36527"/>
    <n v="0"/>
  </r>
  <r>
    <x v="1428"/>
    <s v="BR010"/>
    <n v="38"/>
    <s v="F"/>
    <s v="3-6L"/>
    <s v="branch"/>
    <x v="0"/>
    <s v="complete"/>
    <d v="2024-12-15T00:00:00"/>
    <n v="16777"/>
    <d v="2025-07-28T00:00:00"/>
    <n v="22633"/>
    <n v="39410"/>
    <n v="0"/>
  </r>
  <r>
    <x v="1429"/>
    <s v="BR018"/>
    <n v="31"/>
    <s v="M"/>
    <s v="3-6L"/>
    <s v="online"/>
    <x v="0"/>
    <s v="complete"/>
    <d v="2024-01-09T00:00:00"/>
    <n v="7879"/>
    <d v="2025-07-30T00:00:00"/>
    <n v="9211"/>
    <n v="17090"/>
    <n v="0"/>
  </r>
  <r>
    <x v="1430"/>
    <s v="BR012"/>
    <n v="48"/>
    <s v="M"/>
    <s v="3-6L"/>
    <s v="branch"/>
    <x v="0"/>
    <s v="complete"/>
    <d v="2024-04-21T00:00:00"/>
    <n v="4001"/>
    <d v="2025-07-01T00:00:00"/>
    <n v="7572"/>
    <n v="11573"/>
    <n v="0"/>
  </r>
  <r>
    <x v="1431"/>
    <s v="BR008"/>
    <n v="65"/>
    <s v="F"/>
    <s v="&lt;3L"/>
    <s v="online"/>
    <x v="0"/>
    <s v="complete"/>
    <d v="2021-09-10T00:00:00"/>
    <n v="6971"/>
    <d v="2025-06-07T00:00:00"/>
    <n v="21569"/>
    <n v="28540"/>
    <n v="0"/>
  </r>
  <r>
    <x v="1432"/>
    <s v="BR003"/>
    <n v="35"/>
    <s v="F"/>
    <s v="3-6L"/>
    <s v="branch"/>
    <x v="0"/>
    <s v="complete"/>
    <d v="2025-01-17T00:00:00"/>
    <n v="5865"/>
    <d v="2025-07-09T00:00:00"/>
    <n v="14632"/>
    <n v="20497"/>
    <n v="0"/>
  </r>
  <r>
    <x v="1433"/>
    <s v="BR020"/>
    <n v="24"/>
    <s v="F"/>
    <s v="6-10L"/>
    <s v="online"/>
    <x v="0"/>
    <s v="pending"/>
    <d v="2021-10-07T00:00:00"/>
    <n v="7549"/>
    <d v="2025-05-26T00:00:00"/>
    <n v="20154"/>
    <n v="27703"/>
    <n v="0"/>
  </r>
  <r>
    <x v="1434"/>
    <s v="BR003"/>
    <n v="27"/>
    <s v="F"/>
    <s v="&lt;3L"/>
    <s v="online"/>
    <x v="1"/>
    <s v="complete"/>
    <d v="2022-01-08T00:00:00"/>
    <n v="16077"/>
    <d v="2025-07-29T00:00:00"/>
    <n v="31474"/>
    <n v="47551"/>
    <n v="0"/>
  </r>
  <r>
    <x v="1435"/>
    <s v="BR006"/>
    <n v="24"/>
    <s v="M"/>
    <s v="6-10L"/>
    <s v="branch"/>
    <x v="1"/>
    <s v="complete"/>
    <d v="2021-08-03T00:00:00"/>
    <n v="35641"/>
    <d v="2025-05-17T00:00:00"/>
    <n v="4658"/>
    <n v="40299"/>
    <n v="0"/>
  </r>
  <r>
    <x v="1436"/>
    <s v="BR002"/>
    <n v="50"/>
    <s v="F"/>
    <s v="3-6L"/>
    <s v="branch"/>
    <x v="1"/>
    <s v="complete"/>
    <d v="2023-01-07T00:00:00"/>
    <n v="12359"/>
    <d v="2025-07-07T00:00:00"/>
    <n v="15485"/>
    <n v="27844"/>
    <n v="0"/>
  </r>
  <r>
    <x v="1437"/>
    <s v="BR003"/>
    <n v="40"/>
    <s v="M"/>
    <s v="6-10L"/>
    <s v="online"/>
    <x v="1"/>
    <s v="complete"/>
    <d v="2025-01-25T00:00:00"/>
    <n v="40246"/>
    <d v="2025-07-22T00:00:00"/>
    <n v="19060"/>
    <n v="59306"/>
    <n v="0"/>
  </r>
  <r>
    <x v="1438"/>
    <s v="BR017"/>
    <n v="38"/>
    <s v="F"/>
    <s v="&lt;3L"/>
    <s v="online"/>
    <x v="0"/>
    <s v="complete"/>
    <d v="2022-02-27T00:00:00"/>
    <n v="4694"/>
    <d v="2025-07-26T00:00:00"/>
    <n v="-3040"/>
    <n v="1654"/>
    <n v="0"/>
  </r>
  <r>
    <x v="1439"/>
    <s v="BR009"/>
    <n v="36"/>
    <s v="F"/>
    <s v="&gt;10L"/>
    <s v="online"/>
    <x v="0"/>
    <s v="complete"/>
    <d v="2022-09-18T00:00:00"/>
    <n v="15567"/>
    <d v="2025-03-31T00:00:00"/>
    <n v="1782"/>
    <n v="17349"/>
    <n v="0"/>
  </r>
  <r>
    <x v="1440"/>
    <s v="BR004"/>
    <n v="65"/>
    <s v="F"/>
    <s v="3-6L"/>
    <s v="online"/>
    <x v="0"/>
    <s v="complete"/>
    <d v="2024-11-16T00:00:00"/>
    <n v="109821"/>
    <d v="2025-07-31T00:00:00"/>
    <n v="18258"/>
    <n v="128079"/>
    <n v="0"/>
  </r>
  <r>
    <x v="1441"/>
    <s v="BR002"/>
    <n v="36"/>
    <s v="F"/>
    <s v="&gt;10L"/>
    <s v="online"/>
    <x v="0"/>
    <s v="complete"/>
    <d v="2023-10-31T00:00:00"/>
    <n v="2723"/>
    <d v="2025-07-14T00:00:00"/>
    <n v="3784"/>
    <n v="6507"/>
    <n v="0"/>
  </r>
  <r>
    <x v="1442"/>
    <s v="BR009"/>
    <n v="53"/>
    <s v="M"/>
    <s v="&gt;10L"/>
    <s v="branch"/>
    <x v="0"/>
    <s v="complete"/>
    <d v="2024-06-11T00:00:00"/>
    <n v="2621"/>
    <d v="2025-07-31T00:00:00"/>
    <n v="-13069"/>
    <n v="-10448"/>
    <n v="0"/>
  </r>
  <r>
    <x v="1443"/>
    <s v="BR014"/>
    <n v="46"/>
    <s v="F"/>
    <s v="&lt;3L"/>
    <s v="online"/>
    <x v="0"/>
    <s v="complete"/>
    <d v="2021-12-25T00:00:00"/>
    <n v="48049"/>
    <d v="2025-07-30T00:00:00"/>
    <n v="8255"/>
    <n v="56304"/>
    <n v="0"/>
  </r>
  <r>
    <x v="1444"/>
    <s v="BR011"/>
    <n v="35"/>
    <s v="M"/>
    <s v="&lt;3L"/>
    <s v="branch"/>
    <x v="0"/>
    <s v="pending"/>
    <d v="2024-04-13T00:00:00"/>
    <n v="16656"/>
    <d v="2025-07-26T00:00:00"/>
    <n v="17096"/>
    <n v="33752"/>
    <n v="0"/>
  </r>
  <r>
    <x v="1445"/>
    <s v="BR002"/>
    <n v="19"/>
    <s v="F"/>
    <s v="3-6L"/>
    <s v="branch"/>
    <x v="0"/>
    <s v="complete"/>
    <d v="2022-01-16T00:00:00"/>
    <n v="7321"/>
    <d v="2025-07-23T00:00:00"/>
    <n v="28753"/>
    <n v="36074"/>
    <n v="0"/>
  </r>
  <r>
    <x v="1446"/>
    <s v="BR002"/>
    <n v="18"/>
    <s v="M"/>
    <s v="3-6L"/>
    <s v="online"/>
    <x v="0"/>
    <s v="complete"/>
    <d v="2025-07-10T00:00:00"/>
    <n v="4317"/>
    <d v="2025-07-31T00:00:00"/>
    <n v="1729"/>
    <n v="6046"/>
    <n v="0"/>
  </r>
  <r>
    <x v="1447"/>
    <s v="BR005"/>
    <n v="64"/>
    <s v="F"/>
    <s v="&lt;3L"/>
    <s v="online"/>
    <x v="0"/>
    <s v="complete"/>
    <d v="2023-07-26T00:00:00"/>
    <n v="12887"/>
    <d v="2025-07-22T00:00:00"/>
    <n v="10809"/>
    <n v="23696"/>
    <n v="0"/>
  </r>
  <r>
    <x v="1448"/>
    <s v="BR007"/>
    <n v="22"/>
    <s v="F"/>
    <s v="&lt;3L"/>
    <s v="online"/>
    <x v="0"/>
    <s v="complete"/>
    <d v="2024-03-09T00:00:00"/>
    <n v="15269"/>
    <d v="2025-07-12T00:00:00"/>
    <n v="-1593"/>
    <n v="13676"/>
    <n v="0"/>
  </r>
  <r>
    <x v="1449"/>
    <s v="BR004"/>
    <n v="37"/>
    <s v="M"/>
    <s v="3-6L"/>
    <s v="online"/>
    <x v="0"/>
    <s v="complete"/>
    <d v="2021-07-18T00:00:00"/>
    <n v="15345"/>
    <d v="2025-07-23T00:00:00"/>
    <n v="14237"/>
    <n v="29582"/>
    <n v="0"/>
  </r>
  <r>
    <x v="1450"/>
    <s v="BR014"/>
    <n v="28"/>
    <s v="M"/>
    <s v="&lt;3L"/>
    <s v="branch"/>
    <x v="0"/>
    <s v="complete"/>
    <d v="2022-02-24T00:00:00"/>
    <n v="4275"/>
    <d v="2025-06-27T00:00:00"/>
    <n v="26035"/>
    <n v="30310"/>
    <n v="0"/>
  </r>
  <r>
    <x v="1451"/>
    <s v="BR002"/>
    <n v="59"/>
    <s v="F"/>
    <s v="&lt;3L"/>
    <s v="online"/>
    <x v="0"/>
    <s v="complete"/>
    <d v="2021-08-22T00:00:00"/>
    <n v="9538"/>
    <d v="2025-06-18T00:00:00"/>
    <n v="32141"/>
    <n v="41679"/>
    <n v="0"/>
  </r>
  <r>
    <x v="1452"/>
    <s v="BR012"/>
    <n v="19"/>
    <s v="F"/>
    <s v="3-6L"/>
    <s v="branch"/>
    <x v="1"/>
    <s v="complete"/>
    <d v="2022-10-15T00:00:00"/>
    <n v="7570"/>
    <d v="2025-07-01T00:00:00"/>
    <n v="14107"/>
    <n v="21677"/>
    <n v="0"/>
  </r>
  <r>
    <x v="1453"/>
    <s v="BR010"/>
    <n v="20"/>
    <s v="M"/>
    <s v="&lt;3L"/>
    <s v="online"/>
    <x v="0"/>
    <s v="complete"/>
    <d v="2022-04-21T00:00:00"/>
    <n v="25500"/>
    <d v="2025-06-27T00:00:00"/>
    <n v="8764"/>
    <n v="34264"/>
    <n v="0"/>
  </r>
  <r>
    <x v="1454"/>
    <s v="BR001"/>
    <n v="40"/>
    <s v="M"/>
    <s v="3-6L"/>
    <s v="online"/>
    <x v="0"/>
    <s v="complete"/>
    <d v="2024-05-11T00:00:00"/>
    <n v="4535"/>
    <d v="2025-07-23T00:00:00"/>
    <n v="18753"/>
    <n v="23288"/>
    <n v="0"/>
  </r>
  <r>
    <x v="1455"/>
    <s v="BR019"/>
    <n v="29"/>
    <s v="M"/>
    <s v="3-6L"/>
    <s v="online"/>
    <x v="0"/>
    <s v="complete"/>
    <d v="2021-07-01T00:00:00"/>
    <n v="14415"/>
    <d v="2025-06-29T00:00:00"/>
    <n v="39545"/>
    <n v="53960"/>
    <n v="0"/>
  </r>
  <r>
    <x v="1456"/>
    <s v="BR016"/>
    <n v="37"/>
    <s v="F"/>
    <s v="3-6L"/>
    <s v="online"/>
    <x v="0"/>
    <s v="complete"/>
    <d v="2024-06-12T00:00:00"/>
    <n v="186135"/>
    <d v="2025-07-15T00:00:00"/>
    <n v="2134"/>
    <n v="188269"/>
    <n v="0"/>
  </r>
  <r>
    <x v="1457"/>
    <s v="BR015"/>
    <n v="22"/>
    <s v="F"/>
    <s v="6-10L"/>
    <s v="online"/>
    <x v="0"/>
    <s v="complete"/>
    <d v="2021-03-18T00:00:00"/>
    <n v="4236"/>
    <d v="2025-05-24T00:00:00"/>
    <n v="3366"/>
    <n v="7602"/>
    <n v="0"/>
  </r>
  <r>
    <x v="1458"/>
    <s v="BR014"/>
    <n v="54"/>
    <s v="M"/>
    <s v="3-6L"/>
    <s v="online"/>
    <x v="0"/>
    <s v="complete"/>
    <d v="2021-12-04T00:00:00"/>
    <n v="6328"/>
    <d v="2025-02-08T00:00:00"/>
    <n v="8024"/>
    <n v="14352"/>
    <n v="0"/>
  </r>
  <r>
    <x v="1459"/>
    <s v="BR009"/>
    <n v="55"/>
    <s v="M"/>
    <s v="3-6L"/>
    <s v="branch"/>
    <x v="0"/>
    <s v="complete"/>
    <d v="2024-08-17T00:00:00"/>
    <n v="12163"/>
    <d v="2025-07-27T00:00:00"/>
    <n v="-9465"/>
    <n v="2698"/>
    <n v="0"/>
  </r>
  <r>
    <x v="1460"/>
    <s v="BR015"/>
    <n v="47"/>
    <s v="M"/>
    <s v="3-6L"/>
    <s v="branch"/>
    <x v="1"/>
    <s v="complete"/>
    <d v="2024-05-27T00:00:00"/>
    <n v="705"/>
    <d v="2025-07-24T00:00:00"/>
    <n v="13259"/>
    <n v="13964"/>
    <n v="0"/>
  </r>
  <r>
    <x v="1461"/>
    <s v="BR007"/>
    <n v="26"/>
    <s v="M"/>
    <s v="6-10L"/>
    <s v="online"/>
    <x v="1"/>
    <s v="complete"/>
    <d v="2023-03-08T00:00:00"/>
    <n v="3207"/>
    <d v="2025-06-09T00:00:00"/>
    <n v="644"/>
    <n v="3851"/>
    <n v="0"/>
  </r>
  <r>
    <x v="1462"/>
    <s v="BR004"/>
    <n v="51"/>
    <s v="M"/>
    <s v="6-10L"/>
    <s v="online"/>
    <x v="0"/>
    <s v="complete"/>
    <d v="2021-03-25T00:00:00"/>
    <n v="18228"/>
    <d v="2025-07-25T00:00:00"/>
    <n v="15281"/>
    <n v="33509"/>
    <n v="0"/>
  </r>
  <r>
    <x v="1463"/>
    <s v="BR018"/>
    <n v="61"/>
    <s v="M"/>
    <s v="6-10L"/>
    <s v="online"/>
    <x v="0"/>
    <s v="complete"/>
    <d v="2023-10-18T00:00:00"/>
    <n v="11207"/>
    <d v="2025-07-22T00:00:00"/>
    <n v="-19820"/>
    <n v="-8613"/>
    <n v="0"/>
  </r>
  <r>
    <x v="1464"/>
    <s v="BR008"/>
    <n v="52"/>
    <s v="M"/>
    <s v="6-10L"/>
    <s v="online"/>
    <x v="0"/>
    <s v="complete"/>
    <d v="2022-11-12T00:00:00"/>
    <n v="38358"/>
    <d v="2025-07-31T00:00:00"/>
    <n v="3268"/>
    <n v="41626"/>
    <n v="0"/>
  </r>
  <r>
    <x v="1465"/>
    <s v="BR012"/>
    <n v="69"/>
    <s v="F"/>
    <s v="&lt;3L"/>
    <s v="online"/>
    <x v="0"/>
    <s v="complete"/>
    <d v="2022-06-14T00:00:00"/>
    <n v="10529"/>
    <d v="2025-05-11T00:00:00"/>
    <n v="11112"/>
    <n v="21641"/>
    <n v="0"/>
  </r>
  <r>
    <x v="1466"/>
    <s v="BR015"/>
    <n v="39"/>
    <s v="M"/>
    <s v="3-6L"/>
    <s v="online"/>
    <x v="0"/>
    <s v="complete"/>
    <d v="2023-12-08T00:00:00"/>
    <n v="9642"/>
    <d v="2025-07-16T00:00:00"/>
    <n v="23470"/>
    <n v="33112"/>
    <n v="0"/>
  </r>
  <r>
    <x v="1467"/>
    <s v="BR015"/>
    <n v="61"/>
    <s v="F"/>
    <s v="&lt;3L"/>
    <s v="online"/>
    <x v="0"/>
    <s v="complete"/>
    <d v="2023-01-01T00:00:00"/>
    <n v="6615"/>
    <d v="2025-05-18T00:00:00"/>
    <n v="19203"/>
    <n v="25818"/>
    <n v="0"/>
  </r>
  <r>
    <x v="1468"/>
    <s v="BR017"/>
    <n v="41"/>
    <s v="F"/>
    <s v="&gt;10L"/>
    <s v="online"/>
    <x v="0"/>
    <s v="complete"/>
    <d v="2021-06-04T00:00:00"/>
    <n v="9482"/>
    <d v="2025-05-23T00:00:00"/>
    <n v="-13004"/>
    <n v="-3522"/>
    <n v="0"/>
  </r>
  <r>
    <x v="1469"/>
    <s v="BR002"/>
    <n v="34"/>
    <s v="F"/>
    <s v="6-10L"/>
    <s v="online"/>
    <x v="0"/>
    <s v="complete"/>
    <d v="2025-03-13T00:00:00"/>
    <n v="3978"/>
    <d v="2025-07-25T00:00:00"/>
    <n v="2623"/>
    <n v="6601"/>
    <n v="0"/>
  </r>
  <r>
    <x v="1470"/>
    <s v="BR012"/>
    <n v="27"/>
    <s v="F"/>
    <s v="6-10L"/>
    <s v="online"/>
    <x v="0"/>
    <s v="complete"/>
    <d v="2024-07-26T00:00:00"/>
    <n v="11528"/>
    <d v="2025-07-30T00:00:00"/>
    <n v="26187"/>
    <n v="37715"/>
    <n v="0"/>
  </r>
  <r>
    <x v="1471"/>
    <s v="BR003"/>
    <n v="47"/>
    <s v="F"/>
    <s v="3-6L"/>
    <s v="branch"/>
    <x v="0"/>
    <s v="pending"/>
    <d v="2021-04-05T00:00:00"/>
    <n v="5058"/>
    <d v="2025-05-15T00:00:00"/>
    <n v="17354"/>
    <n v="22412"/>
    <n v="0"/>
  </r>
  <r>
    <x v="1472"/>
    <s v="BR007"/>
    <n v="63"/>
    <s v="F"/>
    <s v="6-10L"/>
    <s v="online"/>
    <x v="0"/>
    <s v="complete"/>
    <d v="2023-05-29T00:00:00"/>
    <n v="3981"/>
    <d v="2025-04-26T00:00:00"/>
    <n v="15119"/>
    <n v="19100"/>
    <n v="0"/>
  </r>
  <r>
    <x v="1473"/>
    <s v="BR006"/>
    <n v="40"/>
    <s v="F"/>
    <s v="3-6L"/>
    <s v="online"/>
    <x v="1"/>
    <s v="complete"/>
    <d v="2021-05-20T00:00:00"/>
    <n v="7048"/>
    <d v="2025-06-18T00:00:00"/>
    <n v="18321"/>
    <n v="25369"/>
    <n v="0"/>
  </r>
  <r>
    <x v="1474"/>
    <s v="BR014"/>
    <n v="49"/>
    <s v="F"/>
    <s v="&lt;3L"/>
    <s v="online"/>
    <x v="0"/>
    <s v="complete"/>
    <d v="2024-11-01T00:00:00"/>
    <n v="20976"/>
    <d v="2025-07-31T00:00:00"/>
    <n v="9742"/>
    <n v="30718"/>
    <n v="0"/>
  </r>
  <r>
    <x v="1475"/>
    <s v="BR005"/>
    <n v="34"/>
    <s v="F"/>
    <s v="3-6L"/>
    <s v="branch"/>
    <x v="0"/>
    <s v="complete"/>
    <d v="2023-10-23T00:00:00"/>
    <n v="15402"/>
    <d v="2025-07-24T00:00:00"/>
    <n v="22896"/>
    <n v="38298"/>
    <n v="0"/>
  </r>
  <r>
    <x v="1476"/>
    <s v="BR004"/>
    <n v="67"/>
    <s v="F"/>
    <s v="3-6L"/>
    <s v="branch"/>
    <x v="0"/>
    <s v="complete"/>
    <d v="2021-10-16T00:00:00"/>
    <n v="26046"/>
    <d v="2025-07-04T00:00:00"/>
    <n v="7337"/>
    <n v="33383"/>
    <n v="0"/>
  </r>
  <r>
    <x v="1477"/>
    <s v="BR015"/>
    <n v="68"/>
    <s v="M"/>
    <s v="3-6L"/>
    <s v="branch"/>
    <x v="0"/>
    <s v="pending"/>
    <d v="2021-02-04T00:00:00"/>
    <n v="5307"/>
    <d v="2025-07-24T00:00:00"/>
    <n v="1849"/>
    <n v="7156"/>
    <n v="0"/>
  </r>
  <r>
    <x v="1478"/>
    <s v="BR007"/>
    <n v="34"/>
    <s v="M"/>
    <s v="6-10L"/>
    <s v="online"/>
    <x v="1"/>
    <s v="complete"/>
    <d v="2021-02-22T00:00:00"/>
    <n v="13185"/>
    <d v="2025-06-23T00:00:00"/>
    <n v="20691"/>
    <n v="33876"/>
    <n v="0"/>
  </r>
  <r>
    <x v="1479"/>
    <s v="BR003"/>
    <n v="31"/>
    <s v="M"/>
    <s v="&lt;3L"/>
    <s v="online"/>
    <x v="0"/>
    <s v="complete"/>
    <d v="2023-04-29T00:00:00"/>
    <n v="73262"/>
    <d v="2025-06-23T00:00:00"/>
    <n v="-1406"/>
    <n v="71856"/>
    <n v="0"/>
  </r>
  <r>
    <x v="1480"/>
    <s v="BR013"/>
    <n v="26"/>
    <s v="F"/>
    <s v="3-6L"/>
    <s v="branch"/>
    <x v="0"/>
    <s v="complete"/>
    <d v="2024-05-13T00:00:00"/>
    <n v="54042"/>
    <d v="2025-07-14T00:00:00"/>
    <n v="19959"/>
    <n v="74001"/>
    <n v="0"/>
  </r>
  <r>
    <x v="1481"/>
    <s v="BR010"/>
    <n v="57"/>
    <s v="F"/>
    <s v="3-6L"/>
    <s v="online"/>
    <x v="0"/>
    <s v="complete"/>
    <d v="2021-07-22T00:00:00"/>
    <n v="3734"/>
    <d v="2025-06-04T00:00:00"/>
    <n v="11971"/>
    <n v="15705"/>
    <n v="0"/>
  </r>
  <r>
    <x v="1482"/>
    <s v="BR002"/>
    <n v="19"/>
    <s v="F"/>
    <s v="3-6L"/>
    <s v="online"/>
    <x v="0"/>
    <s v="complete"/>
    <d v="2022-01-06T00:00:00"/>
    <n v="4874"/>
    <d v="2025-04-25T00:00:00"/>
    <n v="-14703"/>
    <n v="-9829"/>
    <n v="0"/>
  </r>
  <r>
    <x v="1483"/>
    <s v="BR012"/>
    <n v="62"/>
    <s v="F"/>
    <s v="6-10L"/>
    <s v="branch"/>
    <x v="0"/>
    <s v="pending"/>
    <d v="2022-07-02T00:00:00"/>
    <n v="72946"/>
    <d v="2025-07-23T00:00:00"/>
    <n v="18140"/>
    <n v="91086"/>
    <n v="0"/>
  </r>
  <r>
    <x v="1484"/>
    <s v="BR012"/>
    <n v="42"/>
    <s v="F"/>
    <s v="6-10L"/>
    <s v="online"/>
    <x v="0"/>
    <s v="complete"/>
    <d v="2021-12-31T00:00:00"/>
    <n v="20985"/>
    <d v="2025-05-14T00:00:00"/>
    <n v="18869"/>
    <n v="39854"/>
    <n v="0"/>
  </r>
  <r>
    <x v="1485"/>
    <s v="BR019"/>
    <n v="56"/>
    <s v="M"/>
    <s v="6-10L"/>
    <s v="online"/>
    <x v="0"/>
    <s v="complete"/>
    <d v="2022-10-17T00:00:00"/>
    <n v="11040"/>
    <d v="2025-06-15T00:00:00"/>
    <n v="-10697"/>
    <n v="343"/>
    <n v="0"/>
  </r>
  <r>
    <x v="1486"/>
    <s v="BR019"/>
    <n v="26"/>
    <s v="F"/>
    <s v="6-10L"/>
    <s v="online"/>
    <x v="0"/>
    <s v="complete"/>
    <d v="2023-07-26T00:00:00"/>
    <n v="9873"/>
    <d v="2025-07-22T00:00:00"/>
    <n v="-2461"/>
    <n v="7412"/>
    <n v="0"/>
  </r>
  <r>
    <x v="1487"/>
    <s v="BR003"/>
    <n v="39"/>
    <s v="F"/>
    <s v="6-10L"/>
    <s v="online"/>
    <x v="0"/>
    <s v="complete"/>
    <d v="2024-02-20T00:00:00"/>
    <n v="16772"/>
    <d v="2025-07-03T00:00:00"/>
    <n v="7321"/>
    <n v="24093"/>
    <n v="0"/>
  </r>
  <r>
    <x v="1488"/>
    <s v="BR006"/>
    <n v="60"/>
    <s v="O"/>
    <s v="&lt;3L"/>
    <s v="online"/>
    <x v="1"/>
    <s v="complete"/>
    <d v="2025-06-01T00:00:00"/>
    <n v="16983"/>
    <d v="2025-07-29T00:00:00"/>
    <n v="10591"/>
    <n v="27574"/>
    <n v="0"/>
  </r>
  <r>
    <x v="1489"/>
    <s v="BR002"/>
    <n v="63"/>
    <s v="M"/>
    <s v="6-10L"/>
    <s v="branch"/>
    <x v="0"/>
    <s v="complete"/>
    <d v="2025-04-07T00:00:00"/>
    <n v="7839"/>
    <d v="2025-07-29T00:00:00"/>
    <n v="33681"/>
    <n v="41520"/>
    <n v="0"/>
  </r>
  <r>
    <x v="1490"/>
    <s v="BR013"/>
    <n v="21"/>
    <s v="F"/>
    <s v="3-6L"/>
    <s v="branch"/>
    <x v="0"/>
    <s v="complete"/>
    <d v="2023-08-12T00:00:00"/>
    <n v="11348"/>
    <d v="2025-07-07T00:00:00"/>
    <n v="4243"/>
    <n v="15591"/>
    <n v="0"/>
  </r>
  <r>
    <x v="1491"/>
    <s v="BR009"/>
    <n v="43"/>
    <s v="F"/>
    <s v="&lt;3L"/>
    <s v="online"/>
    <x v="0"/>
    <s v="complete"/>
    <d v="2024-05-13T00:00:00"/>
    <n v="7569"/>
    <d v="2025-07-26T00:00:00"/>
    <n v="-20355"/>
    <n v="-12786"/>
    <n v="0"/>
  </r>
  <r>
    <x v="1492"/>
    <s v="BR013"/>
    <n v="46"/>
    <s v="F"/>
    <s v="&lt;3L"/>
    <s v="branch"/>
    <x v="0"/>
    <s v="complete"/>
    <d v="2025-05-10T00:00:00"/>
    <n v="15815"/>
    <d v="2025-07-29T00:00:00"/>
    <n v="39905"/>
    <n v="55720"/>
    <n v="0"/>
  </r>
  <r>
    <x v="1493"/>
    <s v="BR014"/>
    <n v="62"/>
    <s v="F"/>
    <s v="6-10L"/>
    <s v="online"/>
    <x v="0"/>
    <s v="complete"/>
    <d v="2021-05-20T00:00:00"/>
    <n v="6390"/>
    <d v="2025-06-30T00:00:00"/>
    <n v="16724"/>
    <n v="23114"/>
    <n v="0"/>
  </r>
  <r>
    <x v="1494"/>
    <s v="BR019"/>
    <n v="51"/>
    <s v="F"/>
    <s v="6-10L"/>
    <s v="online"/>
    <x v="0"/>
    <s v="complete"/>
    <d v="2021-01-10T00:00:00"/>
    <n v="3760"/>
    <d v="2025-05-04T00:00:00"/>
    <n v="13944"/>
    <n v="17704"/>
    <n v="0"/>
  </r>
  <r>
    <x v="1495"/>
    <s v="BR011"/>
    <n v="40"/>
    <s v="M"/>
    <s v="&lt;3L"/>
    <s v="branch"/>
    <x v="0"/>
    <s v="complete"/>
    <d v="2021-02-19T00:00:00"/>
    <n v="58418"/>
    <d v="2025-07-08T00:00:00"/>
    <n v="18339"/>
    <n v="76757"/>
    <n v="0"/>
  </r>
  <r>
    <x v="1496"/>
    <s v="BR014"/>
    <n v="54"/>
    <s v="F"/>
    <s v="6-10L"/>
    <s v="branch"/>
    <x v="0"/>
    <s v="complete"/>
    <d v="2023-08-01T00:00:00"/>
    <n v="12462"/>
    <d v="2025-03-07T00:00:00"/>
    <n v="-6417"/>
    <n v="6045"/>
    <n v="0"/>
  </r>
  <r>
    <x v="1497"/>
    <s v="BR016"/>
    <n v="28"/>
    <s v="F"/>
    <s v="&gt;10L"/>
    <s v="branch"/>
    <x v="0"/>
    <s v="complete"/>
    <d v="2024-06-30T00:00:00"/>
    <n v="72915"/>
    <d v="2025-06-26T00:00:00"/>
    <n v="21294"/>
    <n v="94209"/>
    <n v="0"/>
  </r>
  <r>
    <x v="1498"/>
    <s v="BR010"/>
    <n v="23"/>
    <s v="F"/>
    <s v="&lt;3L"/>
    <s v="branch"/>
    <x v="0"/>
    <s v="complete"/>
    <d v="2022-09-07T00:00:00"/>
    <n v="1935"/>
    <d v="2025-06-21T00:00:00"/>
    <n v="6034"/>
    <n v="7969"/>
    <n v="0"/>
  </r>
  <r>
    <x v="1499"/>
    <s v="BR020"/>
    <n v="35"/>
    <s v="F"/>
    <s v="&lt;3L"/>
    <s v="branch"/>
    <x v="0"/>
    <s v="complete"/>
    <d v="2023-07-02T00:00:00"/>
    <n v="3135"/>
    <d v="2025-07-13T00:00:00"/>
    <n v="30823"/>
    <n v="33958"/>
    <n v="0"/>
  </r>
  <r>
    <x v="1500"/>
    <s v="BR016"/>
    <n v="38"/>
    <s v="M"/>
    <s v="6-10L"/>
    <s v="branch"/>
    <x v="0"/>
    <s v="complete"/>
    <d v="2023-05-14T00:00:00"/>
    <n v="21307"/>
    <d v="2025-07-30T00:00:00"/>
    <n v="17775"/>
    <n v="39082"/>
    <n v="0"/>
  </r>
  <r>
    <x v="1501"/>
    <s v="BR002"/>
    <n v="59"/>
    <s v="M"/>
    <s v="3-6L"/>
    <s v="online"/>
    <x v="0"/>
    <s v="complete"/>
    <d v="2021-06-08T00:00:00"/>
    <n v="12472"/>
    <d v="2025-07-20T00:00:00"/>
    <n v="-9049"/>
    <n v="3423"/>
    <n v="0"/>
  </r>
  <r>
    <x v="1502"/>
    <s v="BR016"/>
    <n v="53"/>
    <s v="O"/>
    <s v="3-6L"/>
    <s v="branch"/>
    <x v="0"/>
    <s v="complete"/>
    <d v="2022-06-23T00:00:00"/>
    <n v="4198"/>
    <d v="2025-03-13T00:00:00"/>
    <n v="25311"/>
    <n v="29509"/>
    <n v="0"/>
  </r>
  <r>
    <x v="1503"/>
    <s v="BR014"/>
    <n v="58"/>
    <s v="F"/>
    <s v="&lt;3L"/>
    <s v="branch"/>
    <x v="1"/>
    <s v="complete"/>
    <d v="2021-02-02T00:00:00"/>
    <n v="41627"/>
    <d v="2025-07-21T00:00:00"/>
    <n v="3433"/>
    <n v="45060"/>
    <n v="0"/>
  </r>
  <r>
    <x v="1504"/>
    <s v="BR018"/>
    <n v="55"/>
    <s v="F"/>
    <s v="3-6L"/>
    <s v="branch"/>
    <x v="0"/>
    <s v="complete"/>
    <d v="2021-07-05T00:00:00"/>
    <n v="5598"/>
    <d v="2025-07-12T00:00:00"/>
    <n v="4808"/>
    <n v="10406"/>
    <n v="0"/>
  </r>
  <r>
    <x v="1505"/>
    <s v="BR006"/>
    <n v="51"/>
    <s v="M"/>
    <s v="6-10L"/>
    <s v="online"/>
    <x v="0"/>
    <s v="complete"/>
    <d v="2024-09-20T00:00:00"/>
    <n v="44292"/>
    <d v="2025-07-31T00:00:00"/>
    <n v="9537"/>
    <n v="53829"/>
    <n v="0"/>
  </r>
  <r>
    <x v="1506"/>
    <s v="BR007"/>
    <n v="34"/>
    <s v="F"/>
    <s v="6-10L"/>
    <s v="online"/>
    <x v="0"/>
    <s v="complete"/>
    <d v="2024-10-19T00:00:00"/>
    <n v="12451"/>
    <d v="2025-07-30T00:00:00"/>
    <n v="5611"/>
    <n v="18062"/>
    <n v="0"/>
  </r>
  <r>
    <x v="1507"/>
    <s v="BR013"/>
    <n v="54"/>
    <s v="F"/>
    <s v="6-10L"/>
    <s v="online"/>
    <x v="0"/>
    <s v="complete"/>
    <d v="2024-09-03T00:00:00"/>
    <n v="4583"/>
    <d v="2025-07-03T00:00:00"/>
    <n v="16554"/>
    <n v="21137"/>
    <n v="0"/>
  </r>
  <r>
    <x v="1508"/>
    <s v="BR002"/>
    <n v="42"/>
    <s v="F"/>
    <s v="6-10L"/>
    <s v="online"/>
    <x v="0"/>
    <s v="complete"/>
    <d v="2024-04-30T00:00:00"/>
    <n v="6845"/>
    <d v="2025-07-18T00:00:00"/>
    <n v="-11870"/>
    <n v="-5025"/>
    <n v="0"/>
  </r>
  <r>
    <x v="1509"/>
    <s v="BR015"/>
    <n v="55"/>
    <s v="M"/>
    <s v="6-10L"/>
    <s v="branch"/>
    <x v="0"/>
    <s v="complete"/>
    <d v="2024-08-20T00:00:00"/>
    <n v="52689"/>
    <d v="2025-07-07T00:00:00"/>
    <n v="14604"/>
    <n v="67293"/>
    <n v="0"/>
  </r>
  <r>
    <x v="1510"/>
    <s v="BR017"/>
    <n v="29"/>
    <s v="F"/>
    <s v="6-10L"/>
    <s v="online"/>
    <x v="0"/>
    <s v="complete"/>
    <d v="2024-01-28T00:00:00"/>
    <n v="9919"/>
    <d v="2025-07-15T00:00:00"/>
    <n v="4612"/>
    <n v="14531"/>
    <n v="0"/>
  </r>
  <r>
    <x v="1511"/>
    <s v="BR013"/>
    <n v="40"/>
    <s v="F"/>
    <s v="&lt;3L"/>
    <s v="online"/>
    <x v="0"/>
    <s v="complete"/>
    <d v="2024-01-26T00:00:00"/>
    <n v="35325"/>
    <d v="2025-07-24T00:00:00"/>
    <n v="7102"/>
    <n v="42427"/>
    <n v="0"/>
  </r>
  <r>
    <x v="1512"/>
    <s v="BR007"/>
    <n v="59"/>
    <s v="M"/>
    <s v="3-6L"/>
    <s v="branch"/>
    <x v="0"/>
    <s v="complete"/>
    <d v="2024-01-22T00:00:00"/>
    <n v="54200"/>
    <d v="2025-07-14T00:00:00"/>
    <n v="-7558"/>
    <n v="46642"/>
    <n v="0"/>
  </r>
  <r>
    <x v="1513"/>
    <s v="BR001"/>
    <n v="39"/>
    <s v="F"/>
    <s v="&lt;3L"/>
    <s v="online"/>
    <x v="0"/>
    <s v="complete"/>
    <d v="2023-05-10T00:00:00"/>
    <n v="12327"/>
    <d v="2025-07-06T00:00:00"/>
    <n v="13981"/>
    <n v="26308"/>
    <n v="0"/>
  </r>
  <r>
    <x v="1514"/>
    <s v="BR003"/>
    <n v="38"/>
    <s v="F"/>
    <s v="6-10L"/>
    <s v="online"/>
    <x v="0"/>
    <s v="complete"/>
    <d v="2022-08-31T00:00:00"/>
    <n v="10687"/>
    <d v="2025-05-06T00:00:00"/>
    <n v="23280"/>
    <n v="33967"/>
    <n v="0"/>
  </r>
  <r>
    <x v="1515"/>
    <s v="BR020"/>
    <n v="44"/>
    <s v="F"/>
    <s v="3-6L"/>
    <s v="online"/>
    <x v="0"/>
    <s v="complete"/>
    <d v="2024-05-06T00:00:00"/>
    <n v="8911"/>
    <d v="2025-07-26T00:00:00"/>
    <n v="28580"/>
    <n v="37491"/>
    <n v="0"/>
  </r>
  <r>
    <x v="1516"/>
    <s v="BR018"/>
    <n v="48"/>
    <s v="F"/>
    <s v="3-6L"/>
    <s v="branch"/>
    <x v="0"/>
    <s v="pending"/>
    <d v="2022-05-15T00:00:00"/>
    <n v="18998"/>
    <d v="2025-02-18T00:00:00"/>
    <n v="24348"/>
    <n v="43346"/>
    <n v="0"/>
  </r>
  <r>
    <x v="1517"/>
    <s v="BR007"/>
    <n v="23"/>
    <s v="M"/>
    <s v="3-6L"/>
    <s v="online"/>
    <x v="0"/>
    <s v="complete"/>
    <d v="2023-06-28T00:00:00"/>
    <n v="60230"/>
    <d v="2025-07-10T00:00:00"/>
    <n v="20566"/>
    <n v="80796"/>
    <n v="0"/>
  </r>
  <r>
    <x v="1518"/>
    <s v="BR017"/>
    <n v="44"/>
    <s v="M"/>
    <s v="6-10L"/>
    <s v="branch"/>
    <x v="0"/>
    <s v="complete"/>
    <d v="2022-12-27T00:00:00"/>
    <n v="3917"/>
    <d v="2025-07-24T00:00:00"/>
    <n v="-5345"/>
    <n v="-1428"/>
    <n v="0"/>
  </r>
  <r>
    <x v="1519"/>
    <s v="BR012"/>
    <n v="57"/>
    <s v="M"/>
    <s v="6-10L"/>
    <s v="online"/>
    <x v="0"/>
    <s v="complete"/>
    <d v="2022-04-08T00:00:00"/>
    <n v="16633"/>
    <d v="2025-07-23T00:00:00"/>
    <n v="-14250"/>
    <n v="2383"/>
    <n v="0"/>
  </r>
  <r>
    <x v="1520"/>
    <s v="BR016"/>
    <n v="51"/>
    <s v="M"/>
    <s v="3-6L"/>
    <s v="online"/>
    <x v="0"/>
    <s v="complete"/>
    <d v="2025-06-19T00:00:00"/>
    <n v="15929"/>
    <d v="2025-07-29T00:00:00"/>
    <n v="23081"/>
    <n v="39010"/>
    <n v="0"/>
  </r>
  <r>
    <x v="1521"/>
    <s v="BR010"/>
    <n v="29"/>
    <s v="F"/>
    <s v="6-10L"/>
    <s v="online"/>
    <x v="0"/>
    <s v="complete"/>
    <d v="2022-03-09T00:00:00"/>
    <n v="2199"/>
    <d v="2025-04-30T00:00:00"/>
    <n v="17426"/>
    <n v="19625"/>
    <n v="0"/>
  </r>
  <r>
    <x v="1522"/>
    <s v="BR016"/>
    <n v="62"/>
    <s v="M"/>
    <s v="3-6L"/>
    <s v="branch"/>
    <x v="0"/>
    <s v="complete"/>
    <d v="2022-06-02T00:00:00"/>
    <n v="5500"/>
    <d v="2025-03-30T00:00:00"/>
    <n v="13259"/>
    <n v="18759"/>
    <n v="0"/>
  </r>
  <r>
    <x v="1523"/>
    <s v="BR020"/>
    <n v="24"/>
    <s v="F"/>
    <s v="3-6L"/>
    <s v="online"/>
    <x v="0"/>
    <s v="complete"/>
    <d v="2021-09-28T00:00:00"/>
    <n v="6751"/>
    <d v="2025-07-17T00:00:00"/>
    <n v="3180"/>
    <n v="9931"/>
    <n v="0"/>
  </r>
  <r>
    <x v="1524"/>
    <s v="BR018"/>
    <n v="27"/>
    <s v="O"/>
    <s v="6-10L"/>
    <s v="online"/>
    <x v="1"/>
    <s v="pending"/>
    <d v="2024-10-08T00:00:00"/>
    <n v="28682"/>
    <d v="2025-07-21T00:00:00"/>
    <n v="12900"/>
    <n v="41582"/>
    <n v="0"/>
  </r>
  <r>
    <x v="1525"/>
    <s v="BR015"/>
    <n v="62"/>
    <s v="F"/>
    <s v="3-6L"/>
    <s v="online"/>
    <x v="0"/>
    <s v="complete"/>
    <d v="2023-09-09T00:00:00"/>
    <n v="34165"/>
    <d v="2025-07-04T00:00:00"/>
    <n v="18430"/>
    <n v="52595"/>
    <n v="0"/>
  </r>
  <r>
    <x v="1526"/>
    <s v="BR011"/>
    <n v="34"/>
    <s v="F"/>
    <s v="&gt;10L"/>
    <s v="branch"/>
    <x v="0"/>
    <s v="complete"/>
    <d v="2023-10-23T00:00:00"/>
    <n v="2048"/>
    <d v="2025-07-18T00:00:00"/>
    <n v="20845"/>
    <n v="22893"/>
    <n v="0"/>
  </r>
  <r>
    <x v="1527"/>
    <s v="BR018"/>
    <n v="43"/>
    <s v="F"/>
    <s v="&lt;3L"/>
    <s v="online"/>
    <x v="0"/>
    <s v="complete"/>
    <d v="2024-10-04T00:00:00"/>
    <n v="25316"/>
    <d v="2025-07-19T00:00:00"/>
    <n v="-2187"/>
    <n v="23129"/>
    <n v="0"/>
  </r>
  <r>
    <x v="1528"/>
    <s v="BR006"/>
    <n v="38"/>
    <s v="F"/>
    <s v="&lt;3L"/>
    <s v="branch"/>
    <x v="0"/>
    <s v="complete"/>
    <d v="2022-07-28T00:00:00"/>
    <n v="22246"/>
    <d v="2025-06-28T00:00:00"/>
    <n v="11318"/>
    <n v="33564"/>
    <n v="0"/>
  </r>
  <r>
    <x v="1529"/>
    <s v="BR001"/>
    <n v="45"/>
    <s v="M"/>
    <s v="&gt;10L"/>
    <s v="branch"/>
    <x v="0"/>
    <s v="complete"/>
    <d v="2021-11-20T00:00:00"/>
    <n v="23823"/>
    <d v="2025-07-10T00:00:00"/>
    <n v="4422"/>
    <n v="28245"/>
    <n v="0"/>
  </r>
  <r>
    <x v="1530"/>
    <s v="BR007"/>
    <n v="63"/>
    <s v="F"/>
    <s v="&lt;3L"/>
    <s v="online"/>
    <x v="0"/>
    <s v="complete"/>
    <d v="2021-11-28T00:00:00"/>
    <n v="15564"/>
    <d v="2025-07-14T00:00:00"/>
    <n v="10682"/>
    <n v="26246"/>
    <n v="0"/>
  </r>
  <r>
    <x v="1531"/>
    <s v="BR012"/>
    <n v="19"/>
    <s v="F"/>
    <s v="&gt;10L"/>
    <s v="online"/>
    <x v="0"/>
    <s v="complete"/>
    <d v="2024-05-10T00:00:00"/>
    <n v="34560"/>
    <d v="2025-07-27T00:00:00"/>
    <n v="26610"/>
    <n v="61170"/>
    <n v="0"/>
  </r>
  <r>
    <x v="1532"/>
    <s v="BR020"/>
    <n v="60"/>
    <s v="F"/>
    <s v="&gt;10L"/>
    <s v="online"/>
    <x v="0"/>
    <s v="complete"/>
    <d v="2023-10-25T00:00:00"/>
    <n v="43110"/>
    <d v="2025-07-27T00:00:00"/>
    <n v="-3796"/>
    <n v="39314"/>
    <n v="0"/>
  </r>
  <r>
    <x v="1533"/>
    <s v="BR004"/>
    <n v="18"/>
    <s v="F"/>
    <s v="&lt;3L"/>
    <s v="online"/>
    <x v="0"/>
    <s v="complete"/>
    <d v="2021-12-12T00:00:00"/>
    <n v="2607"/>
    <d v="2025-07-25T00:00:00"/>
    <n v="-8736"/>
    <n v="-6129"/>
    <n v="0"/>
  </r>
  <r>
    <x v="1534"/>
    <s v="BR010"/>
    <n v="68"/>
    <s v="F"/>
    <s v="3-6L"/>
    <s v="online"/>
    <x v="0"/>
    <s v="complete"/>
    <d v="2021-08-31T00:00:00"/>
    <n v="12724"/>
    <d v="2025-05-21T00:00:00"/>
    <n v="6174"/>
    <n v="18898"/>
    <n v="0"/>
  </r>
  <r>
    <x v="1535"/>
    <s v="BR002"/>
    <n v="53"/>
    <s v="F"/>
    <s v="&lt;3L"/>
    <s v="online"/>
    <x v="0"/>
    <s v="complete"/>
    <d v="2021-07-21T00:00:00"/>
    <n v="10358"/>
    <d v="2025-07-02T00:00:00"/>
    <n v="4980"/>
    <n v="15338"/>
    <n v="0"/>
  </r>
  <r>
    <x v="1536"/>
    <s v="BR009"/>
    <n v="68"/>
    <s v="M"/>
    <s v="3-6L"/>
    <s v="online"/>
    <x v="0"/>
    <s v="complete"/>
    <d v="2023-11-17T00:00:00"/>
    <n v="7535"/>
    <d v="2025-07-28T00:00:00"/>
    <n v="8797"/>
    <n v="16332"/>
    <n v="0"/>
  </r>
  <r>
    <x v="1537"/>
    <s v="BR010"/>
    <n v="43"/>
    <s v="O"/>
    <s v="&lt;3L"/>
    <s v="online"/>
    <x v="0"/>
    <s v="complete"/>
    <d v="2021-01-01T00:00:00"/>
    <n v="8480"/>
    <d v="2025-07-02T00:00:00"/>
    <n v="15795"/>
    <n v="24275"/>
    <n v="0"/>
  </r>
  <r>
    <x v="1538"/>
    <s v="BR020"/>
    <n v="46"/>
    <s v="F"/>
    <s v="&lt;3L"/>
    <s v="online"/>
    <x v="0"/>
    <s v="complete"/>
    <d v="2021-01-31T00:00:00"/>
    <n v="16103"/>
    <d v="2025-04-16T00:00:00"/>
    <n v="408"/>
    <n v="16511"/>
    <n v="0"/>
  </r>
  <r>
    <x v="1539"/>
    <s v="BR011"/>
    <n v="38"/>
    <s v="M"/>
    <s v="3-6L"/>
    <s v="online"/>
    <x v="0"/>
    <s v="complete"/>
    <d v="2022-10-14T00:00:00"/>
    <n v="3653"/>
    <d v="2025-07-30T00:00:00"/>
    <n v="1556"/>
    <n v="5209"/>
    <n v="0"/>
  </r>
  <r>
    <x v="1540"/>
    <s v="BR014"/>
    <n v="28"/>
    <s v="F"/>
    <s v="3-6L"/>
    <s v="branch"/>
    <x v="0"/>
    <s v="complete"/>
    <d v="2024-03-02T00:00:00"/>
    <n v="26124"/>
    <d v="2025-07-21T00:00:00"/>
    <n v="18299"/>
    <n v="44423"/>
    <n v="0"/>
  </r>
  <r>
    <x v="1541"/>
    <s v="BR003"/>
    <n v="57"/>
    <s v="M"/>
    <s v="&gt;10L"/>
    <s v="branch"/>
    <x v="0"/>
    <s v="complete"/>
    <d v="2024-03-08T00:00:00"/>
    <n v="9236"/>
    <d v="2025-07-26T00:00:00"/>
    <n v="643"/>
    <n v="9879"/>
    <n v="0"/>
  </r>
  <r>
    <x v="1542"/>
    <s v="BR001"/>
    <n v="28"/>
    <s v="F"/>
    <s v="6-10L"/>
    <s v="branch"/>
    <x v="0"/>
    <s v="complete"/>
    <d v="2022-12-21T00:00:00"/>
    <n v="32037"/>
    <d v="2025-07-04T00:00:00"/>
    <n v="-5192"/>
    <n v="26845"/>
    <n v="0"/>
  </r>
  <r>
    <x v="1543"/>
    <s v="BR007"/>
    <n v="53"/>
    <s v="F"/>
    <s v="6-10L"/>
    <s v="online"/>
    <x v="0"/>
    <s v="complete"/>
    <d v="2024-03-02T00:00:00"/>
    <n v="7187"/>
    <d v="2025-07-22T00:00:00"/>
    <n v="1718"/>
    <n v="8905"/>
    <n v="0"/>
  </r>
  <r>
    <x v="1544"/>
    <s v="BR004"/>
    <n v="66"/>
    <s v="M"/>
    <s v="3-6L"/>
    <s v="online"/>
    <x v="0"/>
    <s v="complete"/>
    <d v="2023-05-22T00:00:00"/>
    <n v="6808"/>
    <d v="2025-07-29T00:00:00"/>
    <n v="23188"/>
    <n v="29996"/>
    <n v="0"/>
  </r>
  <r>
    <x v="1545"/>
    <s v="BR007"/>
    <n v="56"/>
    <s v="O"/>
    <s v="6-10L"/>
    <s v="online"/>
    <x v="1"/>
    <s v="complete"/>
    <d v="2025-06-23T00:00:00"/>
    <n v="5190"/>
    <d v="2025-07-31T00:00:00"/>
    <n v="8568"/>
    <n v="13758"/>
    <n v="0"/>
  </r>
  <r>
    <x v="1546"/>
    <s v="BR016"/>
    <n v="57"/>
    <s v="F"/>
    <s v="3-6L"/>
    <s v="online"/>
    <x v="0"/>
    <s v="complete"/>
    <d v="2021-09-29T00:00:00"/>
    <n v="7227"/>
    <d v="2025-06-15T00:00:00"/>
    <n v="-2997"/>
    <n v="4230"/>
    <n v="0"/>
  </r>
  <r>
    <x v="1547"/>
    <s v="BR010"/>
    <n v="52"/>
    <s v="M"/>
    <s v="6-10L"/>
    <s v="online"/>
    <x v="0"/>
    <s v="complete"/>
    <d v="2023-10-02T00:00:00"/>
    <n v="5994"/>
    <d v="2025-07-30T00:00:00"/>
    <n v="42585"/>
    <n v="48579"/>
    <n v="0"/>
  </r>
  <r>
    <x v="1548"/>
    <s v="BR015"/>
    <n v="51"/>
    <s v="F"/>
    <s v="&gt;10L"/>
    <s v="branch"/>
    <x v="0"/>
    <s v="complete"/>
    <d v="2023-04-02T00:00:00"/>
    <n v="20635"/>
    <d v="2025-06-19T00:00:00"/>
    <n v="-3130"/>
    <n v="17505"/>
    <n v="0"/>
  </r>
  <r>
    <x v="1549"/>
    <s v="BR016"/>
    <n v="64"/>
    <s v="F"/>
    <s v="3-6L"/>
    <s v="online"/>
    <x v="0"/>
    <s v="complete"/>
    <d v="2021-11-22T00:00:00"/>
    <n v="38067"/>
    <d v="2025-07-03T00:00:00"/>
    <n v="17715"/>
    <n v="55782"/>
    <n v="0"/>
  </r>
  <r>
    <x v="1550"/>
    <s v="BR006"/>
    <n v="41"/>
    <s v="M"/>
    <s v="6-10L"/>
    <s v="online"/>
    <x v="0"/>
    <s v="complete"/>
    <d v="2024-06-08T00:00:00"/>
    <n v="19690"/>
    <d v="2025-06-26T00:00:00"/>
    <n v="15279"/>
    <n v="34969"/>
    <n v="0"/>
  </r>
  <r>
    <x v="1551"/>
    <s v="BR004"/>
    <n v="39"/>
    <s v="M"/>
    <s v="6-10L"/>
    <s v="branch"/>
    <x v="0"/>
    <s v="complete"/>
    <d v="2022-04-06T00:00:00"/>
    <n v="12364"/>
    <d v="2025-07-19T00:00:00"/>
    <n v="891"/>
    <n v="13255"/>
    <n v="0"/>
  </r>
  <r>
    <x v="1552"/>
    <s v="BR004"/>
    <n v="22"/>
    <s v="M"/>
    <s v="&gt;10L"/>
    <s v="online"/>
    <x v="0"/>
    <s v="complete"/>
    <d v="2022-10-01T00:00:00"/>
    <n v="21740"/>
    <d v="2025-06-15T00:00:00"/>
    <n v="9697"/>
    <n v="31437"/>
    <n v="0"/>
  </r>
  <r>
    <x v="1553"/>
    <s v="BR004"/>
    <n v="50"/>
    <s v="M"/>
    <s v="6-10L"/>
    <s v="online"/>
    <x v="0"/>
    <s v="complete"/>
    <d v="2022-09-20T00:00:00"/>
    <n v="12882"/>
    <d v="2025-06-27T00:00:00"/>
    <n v="18178"/>
    <n v="31060"/>
    <n v="0"/>
  </r>
  <r>
    <x v="1554"/>
    <s v="BR017"/>
    <n v="53"/>
    <s v="F"/>
    <s v="3-6L"/>
    <s v="online"/>
    <x v="0"/>
    <s v="complete"/>
    <d v="2022-02-13T00:00:00"/>
    <n v="13747"/>
    <d v="2025-05-18T00:00:00"/>
    <n v="3417"/>
    <n v="17164"/>
    <n v="0"/>
  </r>
  <r>
    <x v="1555"/>
    <s v="BR013"/>
    <n v="64"/>
    <s v="F"/>
    <s v="3-6L"/>
    <s v="online"/>
    <x v="0"/>
    <s v="complete"/>
    <d v="2022-12-22T00:00:00"/>
    <n v="9832"/>
    <d v="2025-06-09T00:00:00"/>
    <n v="-16203"/>
    <n v="-6371"/>
    <n v="0"/>
  </r>
  <r>
    <x v="1556"/>
    <s v="BR002"/>
    <n v="37"/>
    <s v="M"/>
    <s v="&lt;3L"/>
    <s v="branch"/>
    <x v="0"/>
    <s v="complete"/>
    <d v="2023-03-03T00:00:00"/>
    <n v="30841"/>
    <d v="2025-06-08T00:00:00"/>
    <n v="25930"/>
    <n v="56771"/>
    <n v="0"/>
  </r>
  <r>
    <x v="1557"/>
    <s v="BR020"/>
    <n v="36"/>
    <s v="F"/>
    <s v="6-10L"/>
    <s v="online"/>
    <x v="0"/>
    <s v="complete"/>
    <d v="2024-05-30T00:00:00"/>
    <n v="1027"/>
    <d v="2025-07-09T00:00:00"/>
    <n v="-20447"/>
    <n v="-19420"/>
    <n v="0"/>
  </r>
  <r>
    <x v="1558"/>
    <s v="BR006"/>
    <n v="52"/>
    <s v="M"/>
    <s v="&lt;3L"/>
    <s v="online"/>
    <x v="0"/>
    <s v="complete"/>
    <d v="2024-07-03T00:00:00"/>
    <n v="1583"/>
    <d v="2025-07-30T00:00:00"/>
    <n v="11287"/>
    <n v="12870"/>
    <n v="0"/>
  </r>
  <r>
    <x v="1559"/>
    <s v="BR001"/>
    <n v="69"/>
    <s v="O"/>
    <s v="6-10L"/>
    <s v="branch"/>
    <x v="0"/>
    <s v="complete"/>
    <d v="2021-09-23T00:00:00"/>
    <n v="37318"/>
    <d v="2025-02-17T00:00:00"/>
    <n v="376"/>
    <n v="37694"/>
    <n v="0"/>
  </r>
  <r>
    <x v="1560"/>
    <s v="BR008"/>
    <n v="60"/>
    <s v="O"/>
    <s v="&lt;3L"/>
    <s v="branch"/>
    <x v="0"/>
    <s v="complete"/>
    <d v="2023-09-19T00:00:00"/>
    <n v="10976"/>
    <d v="2025-07-14T00:00:00"/>
    <n v="7542"/>
    <n v="18518"/>
    <n v="0"/>
  </r>
  <r>
    <x v="1561"/>
    <s v="BR018"/>
    <n v="34"/>
    <s v="M"/>
    <s v="&lt;3L"/>
    <s v="branch"/>
    <x v="0"/>
    <s v="complete"/>
    <d v="2025-02-08T00:00:00"/>
    <n v="33431"/>
    <d v="2025-07-17T00:00:00"/>
    <n v="12544"/>
    <n v="45975"/>
    <n v="0"/>
  </r>
  <r>
    <x v="1562"/>
    <s v="BR004"/>
    <n v="62"/>
    <s v="F"/>
    <s v="3-6L"/>
    <s v="branch"/>
    <x v="0"/>
    <s v="complete"/>
    <d v="2021-07-01T00:00:00"/>
    <n v="7273"/>
    <d v="2025-06-21T00:00:00"/>
    <n v="4105"/>
    <n v="11378"/>
    <n v="0"/>
  </r>
  <r>
    <x v="1563"/>
    <s v="BR005"/>
    <n v="60"/>
    <s v="F"/>
    <s v="6-10L"/>
    <s v="online"/>
    <x v="0"/>
    <s v="complete"/>
    <d v="2023-03-03T00:00:00"/>
    <n v="71271"/>
    <d v="2025-07-11T00:00:00"/>
    <n v="-457"/>
    <n v="70814"/>
    <n v="0"/>
  </r>
  <r>
    <x v="1564"/>
    <s v="BR005"/>
    <n v="51"/>
    <s v="M"/>
    <s v="&lt;3L"/>
    <s v="online"/>
    <x v="0"/>
    <s v="complete"/>
    <d v="2024-06-09T00:00:00"/>
    <n v="11655"/>
    <d v="2025-07-12T00:00:00"/>
    <n v="-9492"/>
    <n v="2163"/>
    <n v="0"/>
  </r>
  <r>
    <x v="1565"/>
    <s v="BR015"/>
    <n v="26"/>
    <s v="M"/>
    <s v="3-6L"/>
    <s v="online"/>
    <x v="0"/>
    <s v="complete"/>
    <d v="2023-10-21T00:00:00"/>
    <n v="20939"/>
    <d v="2025-07-25T00:00:00"/>
    <n v="22635"/>
    <n v="43574"/>
    <n v="0"/>
  </r>
  <r>
    <x v="1566"/>
    <s v="BR010"/>
    <n v="43"/>
    <s v="F"/>
    <s v="3-6L"/>
    <s v="online"/>
    <x v="0"/>
    <s v="complete"/>
    <d v="2021-06-18T00:00:00"/>
    <n v="8543"/>
    <d v="2025-07-26T00:00:00"/>
    <n v="15712"/>
    <n v="24255"/>
    <n v="0"/>
  </r>
  <r>
    <x v="1567"/>
    <s v="BR008"/>
    <n v="19"/>
    <s v="F"/>
    <s v="&lt;3L"/>
    <s v="branch"/>
    <x v="0"/>
    <s v="complete"/>
    <d v="2022-10-26T00:00:00"/>
    <n v="5447"/>
    <d v="2025-07-24T00:00:00"/>
    <n v="20666"/>
    <n v="26113"/>
    <n v="0"/>
  </r>
  <r>
    <x v="1568"/>
    <s v="BR007"/>
    <n v="26"/>
    <s v="O"/>
    <s v="&lt;3L"/>
    <s v="branch"/>
    <x v="0"/>
    <s v="complete"/>
    <d v="2023-04-29T00:00:00"/>
    <n v="2343"/>
    <d v="2025-06-12T00:00:00"/>
    <n v="3295"/>
    <n v="5638"/>
    <n v="0"/>
  </r>
  <r>
    <x v="1569"/>
    <s v="BR012"/>
    <n v="26"/>
    <s v="F"/>
    <s v="6-10L"/>
    <s v="online"/>
    <x v="0"/>
    <s v="complete"/>
    <d v="2025-07-25T00:00:00"/>
    <n v="29311"/>
    <d v="2025-07-31T00:00:00"/>
    <n v="31137"/>
    <n v="60448"/>
    <n v="0"/>
  </r>
  <r>
    <x v="1570"/>
    <s v="BR011"/>
    <n v="57"/>
    <s v="F"/>
    <s v="3-6L"/>
    <s v="online"/>
    <x v="0"/>
    <s v="complete"/>
    <d v="2021-10-26T00:00:00"/>
    <n v="19839"/>
    <d v="2025-05-07T00:00:00"/>
    <n v="20974"/>
    <n v="40813"/>
    <n v="0"/>
  </r>
  <r>
    <x v="1571"/>
    <s v="BR013"/>
    <n v="34"/>
    <s v="F"/>
    <s v="&lt;3L"/>
    <s v="online"/>
    <x v="0"/>
    <s v="complete"/>
    <d v="2025-07-02T00:00:00"/>
    <n v="14672"/>
    <d v="2025-07-31T00:00:00"/>
    <n v="14557"/>
    <n v="29229"/>
    <n v="0"/>
  </r>
  <r>
    <x v="1572"/>
    <s v="BR015"/>
    <n v="18"/>
    <s v="F"/>
    <s v="6-10L"/>
    <s v="branch"/>
    <x v="0"/>
    <s v="complete"/>
    <d v="2022-09-22T00:00:00"/>
    <n v="4279"/>
    <d v="2025-05-30T00:00:00"/>
    <n v="4412"/>
    <n v="8691"/>
    <n v="0"/>
  </r>
  <r>
    <x v="1573"/>
    <s v="BR017"/>
    <n v="42"/>
    <s v="F"/>
    <s v="&gt;10L"/>
    <s v="online"/>
    <x v="0"/>
    <s v="complete"/>
    <d v="2021-12-02T00:00:00"/>
    <n v="55021"/>
    <d v="2025-07-17T00:00:00"/>
    <n v="27095"/>
    <n v="82116"/>
    <n v="0"/>
  </r>
  <r>
    <x v="1574"/>
    <s v="BR018"/>
    <n v="60"/>
    <s v="M"/>
    <s v="3-6L"/>
    <s v="branch"/>
    <x v="0"/>
    <s v="complete"/>
    <d v="2022-11-24T00:00:00"/>
    <n v="14852"/>
    <d v="2025-07-28T00:00:00"/>
    <n v="4180"/>
    <n v="19032"/>
    <n v="0"/>
  </r>
  <r>
    <x v="1575"/>
    <s v="BR008"/>
    <n v="57"/>
    <s v="F"/>
    <s v="3-6L"/>
    <s v="branch"/>
    <x v="0"/>
    <s v="complete"/>
    <d v="2023-10-25T00:00:00"/>
    <n v="26981"/>
    <d v="2025-07-22T00:00:00"/>
    <n v="7027"/>
    <n v="34008"/>
    <n v="0"/>
  </r>
  <r>
    <x v="1576"/>
    <s v="BR006"/>
    <n v="59"/>
    <s v="F"/>
    <s v="6-10L"/>
    <s v="branch"/>
    <x v="0"/>
    <s v="complete"/>
    <d v="2021-12-24T00:00:00"/>
    <n v="13320"/>
    <d v="2025-04-23T00:00:00"/>
    <n v="11123"/>
    <n v="24443"/>
    <n v="0"/>
  </r>
  <r>
    <x v="1577"/>
    <s v="BR011"/>
    <n v="42"/>
    <s v="M"/>
    <s v="&gt;10L"/>
    <s v="branch"/>
    <x v="1"/>
    <s v="complete"/>
    <d v="2022-05-03T00:00:00"/>
    <n v="4494"/>
    <d v="2025-05-25T00:00:00"/>
    <n v="22972"/>
    <n v="27466"/>
    <n v="0"/>
  </r>
  <r>
    <x v="1578"/>
    <s v="BR009"/>
    <n v="56"/>
    <s v="F"/>
    <s v="6-10L"/>
    <s v="branch"/>
    <x v="0"/>
    <s v="complete"/>
    <d v="2024-11-30T00:00:00"/>
    <n v="36042"/>
    <d v="2025-07-29T00:00:00"/>
    <n v="8015"/>
    <n v="44057"/>
    <n v="0"/>
  </r>
  <r>
    <x v="1579"/>
    <s v="BR005"/>
    <n v="52"/>
    <s v="M"/>
    <s v="3-6L"/>
    <s v="online"/>
    <x v="0"/>
    <s v="complete"/>
    <d v="2025-07-30T00:00:00"/>
    <n v="20968"/>
    <d v="2025-07-31T00:00:00"/>
    <n v="14354"/>
    <n v="35322"/>
    <n v="0"/>
  </r>
  <r>
    <x v="1580"/>
    <s v="BR007"/>
    <n v="20"/>
    <s v="F"/>
    <s v="3-6L"/>
    <s v="online"/>
    <x v="0"/>
    <s v="complete"/>
    <d v="2022-06-17T00:00:00"/>
    <n v="11143"/>
    <d v="2025-05-17T00:00:00"/>
    <n v="12694"/>
    <n v="23837"/>
    <n v="0"/>
  </r>
  <r>
    <x v="1581"/>
    <s v="BR015"/>
    <n v="67"/>
    <s v="F"/>
    <s v="6-10L"/>
    <s v="online"/>
    <x v="0"/>
    <s v="complete"/>
    <d v="2021-09-07T00:00:00"/>
    <n v="20613"/>
    <d v="2025-07-21T00:00:00"/>
    <n v="27799"/>
    <n v="48412"/>
    <n v="0"/>
  </r>
  <r>
    <x v="1582"/>
    <s v="BR004"/>
    <n v="54"/>
    <s v="M"/>
    <s v="&lt;3L"/>
    <s v="online"/>
    <x v="0"/>
    <s v="complete"/>
    <d v="2024-08-19T00:00:00"/>
    <n v="30259"/>
    <d v="2025-07-27T00:00:00"/>
    <n v="33071"/>
    <n v="63330"/>
    <n v="0"/>
  </r>
  <r>
    <x v="1583"/>
    <s v="BR019"/>
    <n v="61"/>
    <s v="M"/>
    <s v="3-6L"/>
    <s v="branch"/>
    <x v="0"/>
    <s v="complete"/>
    <d v="2023-10-02T00:00:00"/>
    <n v="25854"/>
    <d v="2025-04-06T00:00:00"/>
    <n v="-7135"/>
    <n v="18719"/>
    <n v="0"/>
  </r>
  <r>
    <x v="1584"/>
    <s v="BR013"/>
    <n v="61"/>
    <s v="M"/>
    <s v="6-10L"/>
    <s v="online"/>
    <x v="0"/>
    <s v="pending"/>
    <d v="2021-06-17T00:00:00"/>
    <n v="2413"/>
    <d v="2025-07-09T00:00:00"/>
    <n v="-2989"/>
    <n v="-576"/>
    <n v="0"/>
  </r>
  <r>
    <x v="1585"/>
    <s v="BR001"/>
    <n v="68"/>
    <s v="F"/>
    <s v="6-10L"/>
    <s v="branch"/>
    <x v="0"/>
    <s v="complete"/>
    <d v="2025-05-03T00:00:00"/>
    <n v="3010"/>
    <d v="2025-07-29T00:00:00"/>
    <n v="-5698"/>
    <n v="-2688"/>
    <n v="0"/>
  </r>
  <r>
    <x v="1586"/>
    <s v="BR001"/>
    <n v="47"/>
    <s v="M"/>
    <s v="3-6L"/>
    <s v="online"/>
    <x v="0"/>
    <s v="complete"/>
    <d v="2021-05-11T00:00:00"/>
    <n v="27802"/>
    <d v="2025-07-13T00:00:00"/>
    <n v="31180"/>
    <n v="58982"/>
    <n v="0"/>
  </r>
  <r>
    <x v="1587"/>
    <s v="BR014"/>
    <n v="55"/>
    <s v="F"/>
    <s v="6-10L"/>
    <s v="online"/>
    <x v="0"/>
    <s v="pending"/>
    <d v="2023-11-13T00:00:00"/>
    <n v="6660"/>
    <d v="2025-07-13T00:00:00"/>
    <n v="-9715"/>
    <n v="-3055"/>
    <n v="0"/>
  </r>
  <r>
    <x v="1588"/>
    <s v="BR009"/>
    <n v="51"/>
    <s v="M"/>
    <s v="&lt;3L"/>
    <s v="branch"/>
    <x v="0"/>
    <s v="complete"/>
    <d v="2022-12-11T00:00:00"/>
    <n v="4682"/>
    <d v="2025-07-09T00:00:00"/>
    <n v="-507"/>
    <n v="4175"/>
    <n v="0"/>
  </r>
  <r>
    <x v="1589"/>
    <s v="BR012"/>
    <n v="29"/>
    <s v="O"/>
    <s v="3-6L"/>
    <s v="online"/>
    <x v="0"/>
    <s v="complete"/>
    <d v="2023-07-21T00:00:00"/>
    <n v="19382"/>
    <d v="2025-07-30T00:00:00"/>
    <n v="14007"/>
    <n v="33389"/>
    <n v="0"/>
  </r>
  <r>
    <x v="1590"/>
    <s v="BR018"/>
    <n v="36"/>
    <s v="O"/>
    <s v="6-10L"/>
    <s v="online"/>
    <x v="0"/>
    <s v="complete"/>
    <d v="2021-12-23T00:00:00"/>
    <n v="4542"/>
    <d v="2025-07-19T00:00:00"/>
    <n v="1629"/>
    <n v="6171"/>
    <n v="0"/>
  </r>
  <r>
    <x v="1591"/>
    <s v="BR009"/>
    <n v="54"/>
    <s v="F"/>
    <s v="&lt;3L"/>
    <s v="online"/>
    <x v="0"/>
    <s v="complete"/>
    <d v="2024-02-26T00:00:00"/>
    <n v="8274"/>
    <d v="2025-07-20T00:00:00"/>
    <n v="35679"/>
    <n v="43953"/>
    <n v="0"/>
  </r>
  <r>
    <x v="1592"/>
    <s v="BR008"/>
    <n v="61"/>
    <s v="F"/>
    <s v="&lt;3L"/>
    <s v="branch"/>
    <x v="0"/>
    <s v="complete"/>
    <d v="2025-05-25T00:00:00"/>
    <n v="31328"/>
    <d v="2025-07-31T00:00:00"/>
    <n v="-1137"/>
    <n v="30191"/>
    <n v="0"/>
  </r>
  <r>
    <x v="1593"/>
    <s v="BR014"/>
    <n v="66"/>
    <s v="F"/>
    <s v="&gt;10L"/>
    <s v="online"/>
    <x v="0"/>
    <s v="complete"/>
    <d v="2023-02-06T00:00:00"/>
    <n v="2939"/>
    <d v="2025-07-21T00:00:00"/>
    <n v="30496"/>
    <n v="33435"/>
    <n v="0"/>
  </r>
  <r>
    <x v="1594"/>
    <s v="BR009"/>
    <n v="34"/>
    <s v="F"/>
    <s v="&lt;3L"/>
    <s v="online"/>
    <x v="0"/>
    <s v="complete"/>
    <d v="2023-05-25T00:00:00"/>
    <n v="3401"/>
    <d v="2025-07-25T00:00:00"/>
    <n v="11957"/>
    <n v="15358"/>
    <n v="0"/>
  </r>
  <r>
    <x v="1595"/>
    <s v="BR020"/>
    <n v="27"/>
    <s v="M"/>
    <s v="3-6L"/>
    <s v="online"/>
    <x v="0"/>
    <s v="complete"/>
    <d v="2022-02-06T00:00:00"/>
    <n v="2668"/>
    <d v="2025-06-28T00:00:00"/>
    <n v="565"/>
    <n v="3233"/>
    <n v="0"/>
  </r>
  <r>
    <x v="1596"/>
    <s v="BR002"/>
    <n v="66"/>
    <s v="M"/>
    <s v="&gt;10L"/>
    <s v="branch"/>
    <x v="0"/>
    <s v="complete"/>
    <d v="2025-02-01T00:00:00"/>
    <n v="5647"/>
    <d v="2025-07-25T00:00:00"/>
    <n v="5180"/>
    <n v="10827"/>
    <n v="0"/>
  </r>
  <r>
    <x v="1597"/>
    <s v="BR001"/>
    <n v="64"/>
    <s v="M"/>
    <s v="6-10L"/>
    <s v="branch"/>
    <x v="0"/>
    <s v="complete"/>
    <d v="2025-06-13T00:00:00"/>
    <n v="14512"/>
    <d v="2025-07-31T00:00:00"/>
    <n v="4424"/>
    <n v="18936"/>
    <n v="0"/>
  </r>
  <r>
    <x v="1598"/>
    <s v="BR013"/>
    <n v="29"/>
    <s v="M"/>
    <s v="6-10L"/>
    <s v="online"/>
    <x v="0"/>
    <s v="complete"/>
    <d v="2024-08-08T00:00:00"/>
    <n v="7196"/>
    <d v="2025-07-18T00:00:00"/>
    <n v="14782"/>
    <n v="21978"/>
    <n v="0"/>
  </r>
  <r>
    <x v="1599"/>
    <s v="BR010"/>
    <n v="33"/>
    <s v="M"/>
    <s v="6-10L"/>
    <s v="online"/>
    <x v="0"/>
    <s v="complete"/>
    <d v="2023-06-28T00:00:00"/>
    <n v="60075"/>
    <d v="2025-07-17T00:00:00"/>
    <n v="10917"/>
    <n v="70992"/>
    <n v="0"/>
  </r>
  <r>
    <x v="1600"/>
    <s v="BR008"/>
    <n v="41"/>
    <s v="F"/>
    <s v="&lt;3L"/>
    <s v="branch"/>
    <x v="0"/>
    <s v="complete"/>
    <d v="2025-05-20T00:00:00"/>
    <n v="21064"/>
    <d v="2025-07-23T00:00:00"/>
    <n v="4315"/>
    <n v="25379"/>
    <n v="0"/>
  </r>
  <r>
    <x v="1601"/>
    <s v="BR007"/>
    <n v="36"/>
    <s v="O"/>
    <s v="6-10L"/>
    <s v="online"/>
    <x v="0"/>
    <s v="complete"/>
    <d v="2021-09-15T00:00:00"/>
    <n v="13111"/>
    <d v="2025-06-25T00:00:00"/>
    <n v="15951"/>
    <n v="29062"/>
    <n v="0"/>
  </r>
  <r>
    <x v="1602"/>
    <s v="BR012"/>
    <n v="25"/>
    <s v="M"/>
    <s v="3-6L"/>
    <s v="online"/>
    <x v="1"/>
    <s v="complete"/>
    <d v="2023-03-12T00:00:00"/>
    <n v="47449"/>
    <d v="2025-07-25T00:00:00"/>
    <n v="21403"/>
    <n v="68852"/>
    <n v="0"/>
  </r>
  <r>
    <x v="1603"/>
    <s v="BR017"/>
    <n v="48"/>
    <s v="F"/>
    <s v="6-10L"/>
    <s v="online"/>
    <x v="0"/>
    <s v="pending"/>
    <d v="2023-06-19T00:00:00"/>
    <n v="3530"/>
    <d v="2025-06-18T00:00:00"/>
    <n v="24310"/>
    <n v="27840"/>
    <n v="0"/>
  </r>
  <r>
    <x v="1604"/>
    <s v="BR012"/>
    <n v="38"/>
    <s v="M"/>
    <s v="3-6L"/>
    <s v="branch"/>
    <x v="0"/>
    <s v="complete"/>
    <d v="2023-04-03T00:00:00"/>
    <n v="31779"/>
    <d v="2025-05-23T00:00:00"/>
    <n v="2555"/>
    <n v="34334"/>
    <n v="0"/>
  </r>
  <r>
    <x v="1605"/>
    <s v="BR016"/>
    <n v="34"/>
    <s v="F"/>
    <s v="3-6L"/>
    <s v="online"/>
    <x v="0"/>
    <s v="complete"/>
    <d v="2024-09-04T00:00:00"/>
    <n v="10549"/>
    <d v="2025-07-22T00:00:00"/>
    <n v="-2415"/>
    <n v="8134"/>
    <n v="0"/>
  </r>
  <r>
    <x v="1606"/>
    <s v="BR010"/>
    <n v="40"/>
    <s v="F"/>
    <s v="3-6L"/>
    <s v="online"/>
    <x v="0"/>
    <s v="complete"/>
    <d v="2024-01-27T00:00:00"/>
    <n v="8473"/>
    <d v="2025-07-28T00:00:00"/>
    <n v="17463"/>
    <n v="25936"/>
    <n v="0"/>
  </r>
  <r>
    <x v="1607"/>
    <s v="BR012"/>
    <n v="54"/>
    <s v="F"/>
    <s v="3-6L"/>
    <s v="branch"/>
    <x v="0"/>
    <s v="complete"/>
    <d v="2021-07-31T00:00:00"/>
    <n v="24614"/>
    <d v="2025-06-10T00:00:00"/>
    <n v="-8319"/>
    <n v="16295"/>
    <n v="0"/>
  </r>
  <r>
    <x v="1608"/>
    <s v="BR011"/>
    <n v="33"/>
    <s v="O"/>
    <s v="6-10L"/>
    <s v="branch"/>
    <x v="1"/>
    <s v="complete"/>
    <d v="2022-08-03T00:00:00"/>
    <n v="8844"/>
    <d v="2025-07-01T00:00:00"/>
    <n v="18928"/>
    <n v="27772"/>
    <n v="0"/>
  </r>
  <r>
    <x v="1609"/>
    <s v="BR014"/>
    <n v="23"/>
    <s v="M"/>
    <s v="3-6L"/>
    <s v="online"/>
    <x v="0"/>
    <s v="complete"/>
    <d v="2022-07-22T00:00:00"/>
    <n v="16025"/>
    <d v="2025-06-16T00:00:00"/>
    <n v="1009"/>
    <n v="17034"/>
    <n v="0"/>
  </r>
  <r>
    <x v="1610"/>
    <s v="BR020"/>
    <n v="25"/>
    <s v="F"/>
    <s v="3-6L"/>
    <s v="online"/>
    <x v="1"/>
    <s v="complete"/>
    <d v="2023-08-05T00:00:00"/>
    <n v="12089"/>
    <d v="2025-07-21T00:00:00"/>
    <n v="17628"/>
    <n v="29717"/>
    <n v="0"/>
  </r>
  <r>
    <x v="1611"/>
    <s v="BR013"/>
    <n v="42"/>
    <s v="F"/>
    <s v="3-6L"/>
    <s v="branch"/>
    <x v="0"/>
    <s v="complete"/>
    <d v="2022-05-03T00:00:00"/>
    <n v="18150"/>
    <d v="2025-07-01T00:00:00"/>
    <n v="17935"/>
    <n v="36085"/>
    <n v="0"/>
  </r>
  <r>
    <x v="1612"/>
    <s v="BR002"/>
    <n v="35"/>
    <s v="M"/>
    <s v="3-6L"/>
    <s v="branch"/>
    <x v="0"/>
    <s v="complete"/>
    <d v="2021-07-16T00:00:00"/>
    <n v="8046"/>
    <d v="2025-06-14T00:00:00"/>
    <n v="3560"/>
    <n v="11606"/>
    <n v="0"/>
  </r>
  <r>
    <x v="1613"/>
    <s v="BR020"/>
    <n v="42"/>
    <s v="O"/>
    <s v="6-10L"/>
    <s v="branch"/>
    <x v="0"/>
    <s v="complete"/>
    <d v="2023-12-30T00:00:00"/>
    <n v="33751"/>
    <d v="2025-06-18T00:00:00"/>
    <n v="31739"/>
    <n v="65490"/>
    <n v="0"/>
  </r>
  <r>
    <x v="1614"/>
    <s v="BR007"/>
    <n v="29"/>
    <s v="M"/>
    <s v="6-10L"/>
    <s v="online"/>
    <x v="0"/>
    <s v="complete"/>
    <d v="2024-11-24T00:00:00"/>
    <n v="1730"/>
    <d v="2025-07-31T00:00:00"/>
    <n v="3344"/>
    <n v="5074"/>
    <n v="0"/>
  </r>
  <r>
    <x v="1615"/>
    <s v="BR001"/>
    <n v="32"/>
    <s v="F"/>
    <s v="6-10L"/>
    <s v="online"/>
    <x v="0"/>
    <s v="complete"/>
    <d v="2025-04-08T00:00:00"/>
    <n v="25359"/>
    <d v="2025-07-24T00:00:00"/>
    <n v="17976"/>
    <n v="43335"/>
    <n v="0"/>
  </r>
  <r>
    <x v="1616"/>
    <s v="BR003"/>
    <n v="43"/>
    <s v="M"/>
    <s v="&gt;10L"/>
    <s v="branch"/>
    <x v="0"/>
    <s v="complete"/>
    <d v="2025-06-16T00:00:00"/>
    <n v="2016"/>
    <d v="2025-07-29T00:00:00"/>
    <n v="19390"/>
    <n v="21406"/>
    <n v="0"/>
  </r>
  <r>
    <x v="1617"/>
    <s v="BR020"/>
    <n v="58"/>
    <s v="M"/>
    <s v="6-10L"/>
    <s v="branch"/>
    <x v="0"/>
    <s v="complete"/>
    <d v="2024-07-30T00:00:00"/>
    <n v="6289"/>
    <d v="2025-07-17T00:00:00"/>
    <n v="9374"/>
    <n v="15663"/>
    <n v="0"/>
  </r>
  <r>
    <x v="1618"/>
    <s v="BR012"/>
    <n v="62"/>
    <s v="F"/>
    <s v="3-6L"/>
    <s v="online"/>
    <x v="0"/>
    <s v="complete"/>
    <d v="2021-08-22T00:00:00"/>
    <n v="22525"/>
    <d v="2025-06-11T00:00:00"/>
    <n v="11443"/>
    <n v="33968"/>
    <n v="0"/>
  </r>
  <r>
    <x v="1619"/>
    <s v="BR005"/>
    <n v="43"/>
    <s v="F"/>
    <s v="6-10L"/>
    <s v="online"/>
    <x v="0"/>
    <s v="complete"/>
    <d v="2024-11-28T00:00:00"/>
    <n v="1783"/>
    <d v="2025-07-07T00:00:00"/>
    <n v="14906"/>
    <n v="16689"/>
    <n v="0"/>
  </r>
  <r>
    <x v="1620"/>
    <s v="BR012"/>
    <n v="64"/>
    <s v="M"/>
    <s v="&gt;10L"/>
    <s v="branch"/>
    <x v="0"/>
    <s v="complete"/>
    <d v="2022-11-01T00:00:00"/>
    <n v="15780"/>
    <d v="2025-06-11T00:00:00"/>
    <n v="16279"/>
    <n v="32059"/>
    <n v="0"/>
  </r>
  <r>
    <x v="1621"/>
    <s v="BR003"/>
    <n v="49"/>
    <s v="M"/>
    <s v="3-6L"/>
    <s v="online"/>
    <x v="0"/>
    <s v="complete"/>
    <d v="2024-05-06T00:00:00"/>
    <n v="3390"/>
    <d v="2025-05-20T00:00:00"/>
    <n v="-1365"/>
    <n v="2025"/>
    <n v="0"/>
  </r>
  <r>
    <x v="1622"/>
    <s v="BR020"/>
    <n v="27"/>
    <s v="F"/>
    <s v="6-10L"/>
    <s v="online"/>
    <x v="0"/>
    <s v="complete"/>
    <d v="2023-06-08T00:00:00"/>
    <n v="5069"/>
    <d v="2025-07-17T00:00:00"/>
    <n v="19350"/>
    <n v="24419"/>
    <n v="0"/>
  </r>
  <r>
    <x v="1623"/>
    <s v="BR005"/>
    <n v="33"/>
    <s v="M"/>
    <s v="6-10L"/>
    <s v="online"/>
    <x v="0"/>
    <s v="complete"/>
    <d v="2024-10-18T00:00:00"/>
    <n v="4841"/>
    <d v="2025-06-27T00:00:00"/>
    <n v="12006"/>
    <n v="16847"/>
    <n v="0"/>
  </r>
  <r>
    <x v="1624"/>
    <s v="BR001"/>
    <n v="24"/>
    <s v="M"/>
    <s v="3-6L"/>
    <s v="online"/>
    <x v="0"/>
    <s v="complete"/>
    <d v="2022-12-13T00:00:00"/>
    <n v="3487"/>
    <d v="2025-07-31T00:00:00"/>
    <n v="12941"/>
    <n v="16428"/>
    <n v="0"/>
  </r>
  <r>
    <x v="1625"/>
    <s v="BR016"/>
    <n v="34"/>
    <s v="F"/>
    <s v="&lt;3L"/>
    <s v="online"/>
    <x v="0"/>
    <s v="complete"/>
    <d v="2021-04-14T00:00:00"/>
    <n v="2369"/>
    <d v="2025-06-28T00:00:00"/>
    <n v="-16992"/>
    <n v="-14623"/>
    <n v="0"/>
  </r>
  <r>
    <x v="1626"/>
    <s v="BR009"/>
    <n v="40"/>
    <s v="F"/>
    <s v="3-6L"/>
    <s v="branch"/>
    <x v="0"/>
    <s v="pending"/>
    <d v="2023-07-21T00:00:00"/>
    <n v="105999"/>
    <d v="2025-06-27T00:00:00"/>
    <n v="20960"/>
    <n v="126959"/>
    <n v="0"/>
  </r>
  <r>
    <x v="1627"/>
    <s v="BR010"/>
    <n v="43"/>
    <s v="M"/>
    <s v="&gt;10L"/>
    <s v="online"/>
    <x v="0"/>
    <s v="pending"/>
    <d v="2021-10-14T00:00:00"/>
    <n v="11131"/>
    <d v="2025-07-09T00:00:00"/>
    <n v="25069"/>
    <n v="36200"/>
    <n v="0"/>
  </r>
  <r>
    <x v="1628"/>
    <s v="BR010"/>
    <n v="38"/>
    <s v="F"/>
    <s v="6-10L"/>
    <s v="online"/>
    <x v="1"/>
    <s v="complete"/>
    <d v="2025-06-04T00:00:00"/>
    <n v="3876"/>
    <d v="2025-07-30T00:00:00"/>
    <n v="11613"/>
    <n v="15489"/>
    <n v="0"/>
  </r>
  <r>
    <x v="1629"/>
    <s v="BR013"/>
    <n v="39"/>
    <s v="F"/>
    <s v="3-6L"/>
    <s v="online"/>
    <x v="0"/>
    <s v="complete"/>
    <d v="2023-06-01T00:00:00"/>
    <n v="7615"/>
    <d v="2025-06-20T00:00:00"/>
    <n v="-30884"/>
    <n v="-23269"/>
    <n v="0"/>
  </r>
  <r>
    <x v="1630"/>
    <s v="BR016"/>
    <n v="24"/>
    <s v="F"/>
    <s v="&gt;10L"/>
    <s v="online"/>
    <x v="0"/>
    <s v="complete"/>
    <d v="2023-07-16T00:00:00"/>
    <n v="13859"/>
    <d v="2025-06-14T00:00:00"/>
    <n v="10028"/>
    <n v="23887"/>
    <n v="0"/>
  </r>
  <r>
    <x v="1631"/>
    <s v="BR020"/>
    <n v="31"/>
    <s v="F"/>
    <s v="3-6L"/>
    <s v="online"/>
    <x v="0"/>
    <s v="complete"/>
    <d v="2025-02-26T00:00:00"/>
    <n v="9148"/>
    <d v="2025-07-23T00:00:00"/>
    <n v="26471"/>
    <n v="35619"/>
    <n v="0"/>
  </r>
  <r>
    <x v="1632"/>
    <s v="BR004"/>
    <n v="32"/>
    <s v="M"/>
    <s v="3-6L"/>
    <s v="online"/>
    <x v="1"/>
    <s v="complete"/>
    <d v="2023-11-11T00:00:00"/>
    <n v="3764"/>
    <d v="2025-07-23T00:00:00"/>
    <n v="8112"/>
    <n v="11876"/>
    <n v="0"/>
  </r>
  <r>
    <x v="1633"/>
    <s v="BR014"/>
    <n v="24"/>
    <s v="M"/>
    <s v="6-10L"/>
    <s v="branch"/>
    <x v="0"/>
    <s v="pending"/>
    <d v="2022-05-22T00:00:00"/>
    <n v="5436"/>
    <d v="2025-02-13T00:00:00"/>
    <n v="10742"/>
    <n v="16178"/>
    <n v="0"/>
  </r>
  <r>
    <x v="1634"/>
    <s v="BR017"/>
    <n v="26"/>
    <s v="M"/>
    <s v="6-10L"/>
    <s v="online"/>
    <x v="0"/>
    <s v="complete"/>
    <d v="2022-05-11T00:00:00"/>
    <n v="43727"/>
    <d v="2025-07-06T00:00:00"/>
    <n v="2891"/>
    <n v="46618"/>
    <n v="0"/>
  </r>
  <r>
    <x v="1635"/>
    <s v="BR005"/>
    <n v="68"/>
    <s v="F"/>
    <s v="&lt;3L"/>
    <s v="online"/>
    <x v="1"/>
    <s v="complete"/>
    <d v="2023-04-20T00:00:00"/>
    <n v="3286"/>
    <d v="2025-07-19T00:00:00"/>
    <n v="19812"/>
    <n v="23098"/>
    <n v="0"/>
  </r>
  <r>
    <x v="1636"/>
    <s v="BR013"/>
    <n v="65"/>
    <s v="M"/>
    <s v="3-6L"/>
    <s v="online"/>
    <x v="1"/>
    <s v="complete"/>
    <d v="2024-12-20T00:00:00"/>
    <n v="1814"/>
    <d v="2025-07-29T00:00:00"/>
    <n v="9386"/>
    <n v="11200"/>
    <n v="0"/>
  </r>
  <r>
    <x v="1637"/>
    <s v="BR003"/>
    <n v="25"/>
    <s v="F"/>
    <s v="3-6L"/>
    <s v="online"/>
    <x v="1"/>
    <s v="complete"/>
    <d v="2024-08-22T00:00:00"/>
    <n v="9064"/>
    <d v="2025-07-14T00:00:00"/>
    <n v="15215"/>
    <n v="24279"/>
    <n v="0"/>
  </r>
  <r>
    <x v="1638"/>
    <s v="BR005"/>
    <n v="67"/>
    <s v="M"/>
    <s v="3-6L"/>
    <s v="branch"/>
    <x v="0"/>
    <s v="complete"/>
    <d v="2025-05-30T00:00:00"/>
    <n v="1936"/>
    <d v="2025-07-26T00:00:00"/>
    <n v="11892"/>
    <n v="13828"/>
    <n v="0"/>
  </r>
  <r>
    <x v="1639"/>
    <s v="BR016"/>
    <n v="40"/>
    <s v="M"/>
    <s v="3-6L"/>
    <s v="online"/>
    <x v="0"/>
    <s v="complete"/>
    <d v="2021-05-01T00:00:00"/>
    <n v="5379"/>
    <d v="2025-05-09T00:00:00"/>
    <n v="10314"/>
    <n v="15693"/>
    <n v="0"/>
  </r>
  <r>
    <x v="1640"/>
    <s v="BR019"/>
    <n v="46"/>
    <s v="F"/>
    <s v="3-6L"/>
    <s v="branch"/>
    <x v="0"/>
    <s v="complete"/>
    <d v="2022-03-25T00:00:00"/>
    <n v="3820"/>
    <d v="2025-03-16T00:00:00"/>
    <n v="6193"/>
    <n v="10013"/>
    <n v="0"/>
  </r>
  <r>
    <x v="1641"/>
    <s v="BR019"/>
    <n v="35"/>
    <s v="F"/>
    <s v="&lt;3L"/>
    <s v="online"/>
    <x v="0"/>
    <s v="complete"/>
    <d v="2021-05-15T00:00:00"/>
    <n v="3854"/>
    <d v="2025-07-02T00:00:00"/>
    <n v="-8826"/>
    <n v="-4972"/>
    <n v="0"/>
  </r>
  <r>
    <x v="1642"/>
    <s v="BR017"/>
    <n v="48"/>
    <s v="M"/>
    <s v="3-6L"/>
    <s v="branch"/>
    <x v="0"/>
    <s v="complete"/>
    <d v="2024-06-10T00:00:00"/>
    <n v="14322"/>
    <d v="2025-07-27T00:00:00"/>
    <n v="-27435"/>
    <n v="-13113"/>
    <n v="0"/>
  </r>
  <r>
    <x v="1643"/>
    <s v="BR018"/>
    <n v="47"/>
    <s v="F"/>
    <s v="&lt;3L"/>
    <s v="online"/>
    <x v="0"/>
    <s v="complete"/>
    <d v="2021-08-24T00:00:00"/>
    <n v="17276"/>
    <d v="2025-07-23T00:00:00"/>
    <n v="-2514"/>
    <n v="14762"/>
    <n v="0"/>
  </r>
  <r>
    <x v="1644"/>
    <s v="BR018"/>
    <n v="69"/>
    <s v="M"/>
    <s v="3-6L"/>
    <s v="branch"/>
    <x v="0"/>
    <s v="complete"/>
    <d v="2021-06-17T00:00:00"/>
    <n v="5968"/>
    <d v="2025-07-12T00:00:00"/>
    <n v="29758"/>
    <n v="35726"/>
    <n v="0"/>
  </r>
  <r>
    <x v="1645"/>
    <s v="BR008"/>
    <n v="56"/>
    <s v="F"/>
    <s v="6-10L"/>
    <s v="online"/>
    <x v="0"/>
    <s v="complete"/>
    <d v="2023-07-29T00:00:00"/>
    <n v="12156"/>
    <d v="2025-07-11T00:00:00"/>
    <n v="8178"/>
    <n v="20334"/>
    <n v="0"/>
  </r>
  <r>
    <x v="1646"/>
    <s v="BR018"/>
    <n v="52"/>
    <s v="F"/>
    <s v="6-10L"/>
    <s v="online"/>
    <x v="0"/>
    <s v="complete"/>
    <d v="2022-11-20T00:00:00"/>
    <n v="5678"/>
    <d v="2025-05-11T00:00:00"/>
    <n v="3785"/>
    <n v="9463"/>
    <n v="0"/>
  </r>
  <r>
    <x v="1647"/>
    <s v="BR009"/>
    <n v="35"/>
    <s v="M"/>
    <s v="3-6L"/>
    <s v="branch"/>
    <x v="0"/>
    <s v="complete"/>
    <d v="2024-04-11T00:00:00"/>
    <n v="19947"/>
    <d v="2025-07-18T00:00:00"/>
    <n v="17593"/>
    <n v="37540"/>
    <n v="0"/>
  </r>
  <r>
    <x v="1648"/>
    <s v="BR019"/>
    <n v="59"/>
    <s v="F"/>
    <s v="&lt;3L"/>
    <s v="branch"/>
    <x v="0"/>
    <s v="complete"/>
    <d v="2023-03-26T00:00:00"/>
    <n v="3048"/>
    <d v="2025-04-22T00:00:00"/>
    <n v="7951"/>
    <n v="10999"/>
    <n v="0"/>
  </r>
  <r>
    <x v="1649"/>
    <s v="BR010"/>
    <n v="56"/>
    <s v="F"/>
    <s v="&lt;3L"/>
    <s v="online"/>
    <x v="0"/>
    <s v="complete"/>
    <d v="2022-12-13T00:00:00"/>
    <n v="15760"/>
    <d v="2025-07-31T00:00:00"/>
    <n v="21585"/>
    <n v="37345"/>
    <n v="0"/>
  </r>
  <r>
    <x v="1650"/>
    <s v="BR002"/>
    <n v="34"/>
    <s v="F"/>
    <s v="3-6L"/>
    <s v="online"/>
    <x v="0"/>
    <s v="complete"/>
    <d v="2022-12-13T00:00:00"/>
    <n v="17002"/>
    <d v="2025-07-21T00:00:00"/>
    <n v="13338"/>
    <n v="30340"/>
    <n v="0"/>
  </r>
  <r>
    <x v="1651"/>
    <s v="BR017"/>
    <n v="31"/>
    <s v="M"/>
    <s v="&lt;3L"/>
    <s v="online"/>
    <x v="0"/>
    <s v="complete"/>
    <d v="2024-12-29T00:00:00"/>
    <n v="138134"/>
    <d v="2025-07-30T00:00:00"/>
    <n v="4846"/>
    <n v="142980"/>
    <n v="0"/>
  </r>
  <r>
    <x v="1652"/>
    <s v="BR013"/>
    <n v="48"/>
    <s v="M"/>
    <s v="3-6L"/>
    <s v="branch"/>
    <x v="1"/>
    <s v="complete"/>
    <d v="2022-10-24T00:00:00"/>
    <n v="2311"/>
    <d v="2025-05-12T00:00:00"/>
    <n v="8755"/>
    <n v="11066"/>
    <n v="0"/>
  </r>
  <r>
    <x v="1653"/>
    <s v="BR011"/>
    <n v="41"/>
    <s v="F"/>
    <s v="&lt;3L"/>
    <s v="online"/>
    <x v="0"/>
    <s v="pending"/>
    <d v="2022-07-12T00:00:00"/>
    <n v="190187"/>
    <d v="2025-07-19T00:00:00"/>
    <n v="-8525"/>
    <n v="181662"/>
    <n v="0"/>
  </r>
  <r>
    <x v="1654"/>
    <s v="BR016"/>
    <n v="52"/>
    <s v="M"/>
    <s v="6-10L"/>
    <s v="online"/>
    <x v="0"/>
    <s v="complete"/>
    <d v="2022-07-21T00:00:00"/>
    <n v="28472"/>
    <d v="2025-07-08T00:00:00"/>
    <n v="42224"/>
    <n v="70696"/>
    <n v="0"/>
  </r>
  <r>
    <x v="1655"/>
    <s v="BR020"/>
    <n v="61"/>
    <s v="F"/>
    <s v="3-6L"/>
    <s v="branch"/>
    <x v="0"/>
    <s v="complete"/>
    <d v="2021-11-25T00:00:00"/>
    <n v="83060"/>
    <d v="2025-07-15T00:00:00"/>
    <n v="14467"/>
    <n v="97527"/>
    <n v="0"/>
  </r>
  <r>
    <x v="1656"/>
    <s v="BR007"/>
    <n v="62"/>
    <s v="F"/>
    <s v="&lt;3L"/>
    <s v="branch"/>
    <x v="0"/>
    <s v="complete"/>
    <d v="2024-12-10T00:00:00"/>
    <n v="33033"/>
    <d v="2025-07-24T00:00:00"/>
    <n v="16481"/>
    <n v="49514"/>
    <n v="0"/>
  </r>
  <r>
    <x v="1657"/>
    <s v="BR003"/>
    <n v="51"/>
    <s v="F"/>
    <s v="6-10L"/>
    <s v="branch"/>
    <x v="0"/>
    <s v="complete"/>
    <d v="2021-09-03T00:00:00"/>
    <n v="5200"/>
    <d v="2025-07-11T00:00:00"/>
    <n v="6804"/>
    <n v="12004"/>
    <n v="0"/>
  </r>
  <r>
    <x v="1658"/>
    <s v="BR016"/>
    <n v="20"/>
    <s v="M"/>
    <s v="3-6L"/>
    <s v="branch"/>
    <x v="0"/>
    <s v="complete"/>
    <d v="2025-03-01T00:00:00"/>
    <n v="25793"/>
    <d v="2025-07-19T00:00:00"/>
    <n v="-3531"/>
    <n v="22262"/>
    <n v="0"/>
  </r>
  <r>
    <x v="1659"/>
    <s v="BR019"/>
    <n v="54"/>
    <s v="M"/>
    <s v="&lt;3L"/>
    <s v="branch"/>
    <x v="0"/>
    <s v="complete"/>
    <d v="2022-04-20T00:00:00"/>
    <n v="6866"/>
    <d v="2025-07-14T00:00:00"/>
    <n v="27242"/>
    <n v="34108"/>
    <n v="0"/>
  </r>
  <r>
    <x v="1660"/>
    <s v="BR020"/>
    <n v="60"/>
    <s v="F"/>
    <s v="3-6L"/>
    <s v="online"/>
    <x v="1"/>
    <s v="complete"/>
    <d v="2025-02-13T00:00:00"/>
    <n v="12233"/>
    <d v="2025-06-26T00:00:00"/>
    <n v="-2200"/>
    <n v="10033"/>
    <n v="0"/>
  </r>
  <r>
    <x v="1661"/>
    <s v="BR016"/>
    <n v="57"/>
    <s v="M"/>
    <s v="3-6L"/>
    <s v="online"/>
    <x v="0"/>
    <s v="complete"/>
    <d v="2024-08-16T00:00:00"/>
    <n v="4127"/>
    <d v="2025-07-11T00:00:00"/>
    <n v="20489"/>
    <n v="24616"/>
    <n v="0"/>
  </r>
  <r>
    <x v="1662"/>
    <s v="BR002"/>
    <n v="43"/>
    <s v="M"/>
    <s v="6-10L"/>
    <s v="branch"/>
    <x v="0"/>
    <s v="complete"/>
    <d v="2023-09-01T00:00:00"/>
    <n v="6777"/>
    <d v="2025-07-18T00:00:00"/>
    <n v="13849"/>
    <n v="20626"/>
    <n v="0"/>
  </r>
  <r>
    <x v="1663"/>
    <s v="BR014"/>
    <n v="40"/>
    <s v="M"/>
    <s v="&lt;3L"/>
    <s v="online"/>
    <x v="0"/>
    <s v="complete"/>
    <d v="2024-01-26T00:00:00"/>
    <n v="32760"/>
    <d v="2025-07-12T00:00:00"/>
    <n v="27740"/>
    <n v="60500"/>
    <n v="0"/>
  </r>
  <r>
    <x v="1664"/>
    <s v="BR020"/>
    <n v="61"/>
    <s v="M"/>
    <s v="3-6L"/>
    <s v="branch"/>
    <x v="0"/>
    <s v="complete"/>
    <d v="2022-06-30T00:00:00"/>
    <n v="20701"/>
    <d v="2025-07-28T00:00:00"/>
    <n v="-7630"/>
    <n v="13071"/>
    <n v="0"/>
  </r>
  <r>
    <x v="1665"/>
    <s v="BR010"/>
    <n v="56"/>
    <s v="F"/>
    <s v="3-6L"/>
    <s v="online"/>
    <x v="0"/>
    <s v="complete"/>
    <d v="2023-08-19T00:00:00"/>
    <n v="37206"/>
    <d v="2025-05-15T00:00:00"/>
    <n v="33847"/>
    <n v="71053"/>
    <n v="0"/>
  </r>
  <r>
    <x v="1666"/>
    <s v="BR019"/>
    <n v="32"/>
    <s v="M"/>
    <s v="&lt;3L"/>
    <s v="online"/>
    <x v="0"/>
    <s v="complete"/>
    <d v="2022-05-05T00:00:00"/>
    <n v="3302"/>
    <d v="2025-07-01T00:00:00"/>
    <n v="10750"/>
    <n v="14052"/>
    <n v="0"/>
  </r>
  <r>
    <x v="1667"/>
    <s v="BR011"/>
    <n v="66"/>
    <s v="M"/>
    <s v="6-10L"/>
    <s v="branch"/>
    <x v="0"/>
    <s v="complete"/>
    <d v="2022-11-05T00:00:00"/>
    <n v="2058"/>
    <d v="2025-04-09T00:00:00"/>
    <n v="-3447"/>
    <n v="-1389"/>
    <n v="0"/>
  </r>
  <r>
    <x v="1668"/>
    <s v="BR018"/>
    <n v="21"/>
    <s v="M"/>
    <s v="6-10L"/>
    <s v="branch"/>
    <x v="0"/>
    <s v="complete"/>
    <d v="2024-07-03T00:00:00"/>
    <n v="40204"/>
    <d v="2025-07-12T00:00:00"/>
    <n v="-4004"/>
    <n v="36200"/>
    <n v="0"/>
  </r>
  <r>
    <x v="1669"/>
    <s v="BR011"/>
    <n v="46"/>
    <s v="F"/>
    <s v="3-6L"/>
    <s v="online"/>
    <x v="0"/>
    <s v="complete"/>
    <d v="2022-02-13T00:00:00"/>
    <n v="37334"/>
    <d v="2025-07-08T00:00:00"/>
    <n v="23406"/>
    <n v="60740"/>
    <n v="0"/>
  </r>
  <r>
    <x v="1670"/>
    <s v="BR009"/>
    <n v="39"/>
    <s v="F"/>
    <s v="3-6L"/>
    <s v="branch"/>
    <x v="0"/>
    <s v="complete"/>
    <d v="2024-11-04T00:00:00"/>
    <n v="16507"/>
    <d v="2025-06-18T00:00:00"/>
    <n v="534"/>
    <n v="17041"/>
    <n v="0"/>
  </r>
  <r>
    <x v="1671"/>
    <s v="BR019"/>
    <n v="42"/>
    <s v="M"/>
    <s v="&lt;3L"/>
    <s v="branch"/>
    <x v="1"/>
    <s v="complete"/>
    <d v="2022-09-21T00:00:00"/>
    <n v="20317"/>
    <d v="2025-07-02T00:00:00"/>
    <n v="26972"/>
    <n v="47289"/>
    <n v="0"/>
  </r>
  <r>
    <x v="1672"/>
    <s v="BR020"/>
    <n v="30"/>
    <s v="F"/>
    <s v="6-10L"/>
    <s v="online"/>
    <x v="0"/>
    <s v="complete"/>
    <d v="2023-06-10T00:00:00"/>
    <n v="31731"/>
    <d v="2025-04-07T00:00:00"/>
    <n v="20298"/>
    <n v="52029"/>
    <n v="0"/>
  </r>
  <r>
    <x v="1673"/>
    <s v="BR010"/>
    <n v="35"/>
    <s v="F"/>
    <s v="&lt;3L"/>
    <s v="online"/>
    <x v="0"/>
    <s v="complete"/>
    <d v="2025-04-25T00:00:00"/>
    <n v="16019"/>
    <d v="2025-07-30T00:00:00"/>
    <n v="1301"/>
    <n v="17320"/>
    <n v="0"/>
  </r>
  <r>
    <x v="1674"/>
    <s v="BR003"/>
    <n v="50"/>
    <s v="F"/>
    <s v="&lt;3L"/>
    <s v="branch"/>
    <x v="0"/>
    <s v="complete"/>
    <d v="2024-02-14T00:00:00"/>
    <n v="22849"/>
    <d v="2025-06-25T00:00:00"/>
    <n v="23635"/>
    <n v="46484"/>
    <n v="0"/>
  </r>
  <r>
    <x v="1675"/>
    <s v="BR003"/>
    <n v="33"/>
    <s v="F"/>
    <s v="3-6L"/>
    <s v="branch"/>
    <x v="1"/>
    <s v="pending"/>
    <d v="2023-12-17T00:00:00"/>
    <n v="30177"/>
    <d v="2025-07-28T00:00:00"/>
    <n v="14867"/>
    <n v="45044"/>
    <n v="0"/>
  </r>
  <r>
    <x v="1676"/>
    <s v="BR008"/>
    <n v="62"/>
    <s v="M"/>
    <s v="3-6L"/>
    <s v="online"/>
    <x v="0"/>
    <s v="complete"/>
    <d v="2024-04-05T00:00:00"/>
    <n v="12167"/>
    <d v="2025-06-09T00:00:00"/>
    <n v="5930"/>
    <n v="18097"/>
    <n v="0"/>
  </r>
  <r>
    <x v="1677"/>
    <s v="BR006"/>
    <n v="59"/>
    <s v="M"/>
    <s v="3-6L"/>
    <s v="branch"/>
    <x v="0"/>
    <s v="complete"/>
    <d v="2025-03-17T00:00:00"/>
    <n v="9456"/>
    <d v="2025-07-29T00:00:00"/>
    <n v="-987"/>
    <n v="8469"/>
    <n v="0"/>
  </r>
  <r>
    <x v="1678"/>
    <s v="BR020"/>
    <n v="61"/>
    <s v="M"/>
    <s v="&lt;3L"/>
    <s v="branch"/>
    <x v="0"/>
    <s v="complete"/>
    <d v="2022-02-20T00:00:00"/>
    <n v="19576"/>
    <d v="2025-06-24T00:00:00"/>
    <n v="-8368"/>
    <n v="11208"/>
    <n v="0"/>
  </r>
  <r>
    <x v="1679"/>
    <s v="BR001"/>
    <n v="19"/>
    <s v="M"/>
    <s v="3-6L"/>
    <s v="online"/>
    <x v="0"/>
    <s v="complete"/>
    <d v="2023-10-23T00:00:00"/>
    <n v="128620"/>
    <d v="2025-07-05T00:00:00"/>
    <n v="21367"/>
    <n v="149987"/>
    <n v="0"/>
  </r>
  <r>
    <x v="1680"/>
    <s v="BR020"/>
    <n v="52"/>
    <s v="O"/>
    <s v="3-6L"/>
    <s v="branch"/>
    <x v="0"/>
    <s v="complete"/>
    <d v="2022-11-01T00:00:00"/>
    <n v="5723"/>
    <d v="2025-07-30T00:00:00"/>
    <n v="2488"/>
    <n v="8211"/>
    <n v="0"/>
  </r>
  <r>
    <x v="1681"/>
    <s v="BR006"/>
    <n v="59"/>
    <s v="M"/>
    <s v="&lt;3L"/>
    <s v="online"/>
    <x v="0"/>
    <s v="complete"/>
    <d v="2021-01-20T00:00:00"/>
    <n v="8684"/>
    <d v="2025-04-11T00:00:00"/>
    <n v="12324"/>
    <n v="21008"/>
    <n v="0"/>
  </r>
  <r>
    <x v="1682"/>
    <s v="BR002"/>
    <n v="51"/>
    <s v="M"/>
    <s v="6-10L"/>
    <s v="online"/>
    <x v="0"/>
    <s v="complete"/>
    <d v="2021-07-29T00:00:00"/>
    <n v="2307"/>
    <d v="2025-05-09T00:00:00"/>
    <n v="9810"/>
    <n v="12117"/>
    <n v="0"/>
  </r>
  <r>
    <x v="1683"/>
    <s v="BR019"/>
    <n v="47"/>
    <s v="F"/>
    <s v="&lt;3L"/>
    <s v="branch"/>
    <x v="0"/>
    <s v="complete"/>
    <d v="2022-06-28T00:00:00"/>
    <n v="20636"/>
    <d v="2025-06-18T00:00:00"/>
    <n v="-11192"/>
    <n v="9444"/>
    <n v="0"/>
  </r>
  <r>
    <x v="1684"/>
    <s v="BR007"/>
    <n v="30"/>
    <s v="F"/>
    <s v="3-6L"/>
    <s v="branch"/>
    <x v="0"/>
    <s v="complete"/>
    <d v="2023-08-04T00:00:00"/>
    <n v="7864"/>
    <d v="2025-07-07T00:00:00"/>
    <n v="14133"/>
    <n v="21997"/>
    <n v="0"/>
  </r>
  <r>
    <x v="1685"/>
    <s v="BR011"/>
    <n v="30"/>
    <s v="M"/>
    <s v="6-10L"/>
    <s v="branch"/>
    <x v="0"/>
    <s v="complete"/>
    <d v="2025-01-14T00:00:00"/>
    <n v="3293"/>
    <d v="2025-07-30T00:00:00"/>
    <n v="12150"/>
    <n v="15443"/>
    <n v="0"/>
  </r>
  <r>
    <x v="1686"/>
    <s v="BR011"/>
    <n v="35"/>
    <s v="M"/>
    <s v="3-6L"/>
    <s v="online"/>
    <x v="0"/>
    <s v="complete"/>
    <d v="2024-08-16T00:00:00"/>
    <n v="12537"/>
    <d v="2025-07-23T00:00:00"/>
    <n v="9032"/>
    <n v="21569"/>
    <n v="0"/>
  </r>
  <r>
    <x v="1687"/>
    <s v="BR004"/>
    <n v="49"/>
    <s v="M"/>
    <s v="3-6L"/>
    <s v="online"/>
    <x v="0"/>
    <s v="complete"/>
    <d v="2023-07-15T00:00:00"/>
    <n v="59554"/>
    <d v="2025-07-30T00:00:00"/>
    <n v="32849"/>
    <n v="92403"/>
    <n v="0"/>
  </r>
  <r>
    <x v="1688"/>
    <s v="BR020"/>
    <n v="49"/>
    <s v="F"/>
    <s v="6-10L"/>
    <s v="online"/>
    <x v="0"/>
    <s v="complete"/>
    <d v="2021-05-04T00:00:00"/>
    <n v="9395"/>
    <d v="2025-07-26T00:00:00"/>
    <n v="32100"/>
    <n v="41495"/>
    <n v="0"/>
  </r>
  <r>
    <x v="1689"/>
    <s v="BR016"/>
    <n v="52"/>
    <s v="M"/>
    <s v="&lt;3L"/>
    <s v="online"/>
    <x v="0"/>
    <s v="pending"/>
    <d v="2022-04-24T00:00:00"/>
    <n v="10296"/>
    <d v="2025-06-27T00:00:00"/>
    <n v="-4591"/>
    <n v="5705"/>
    <n v="0"/>
  </r>
  <r>
    <x v="1690"/>
    <s v="BR005"/>
    <n v="56"/>
    <s v="M"/>
    <s v="&gt;10L"/>
    <s v="online"/>
    <x v="0"/>
    <s v="complete"/>
    <d v="2022-09-06T00:00:00"/>
    <n v="57280"/>
    <d v="2025-05-07T00:00:00"/>
    <n v="-14692"/>
    <n v="42588"/>
    <n v="0"/>
  </r>
  <r>
    <x v="1691"/>
    <s v="BR007"/>
    <n v="63"/>
    <s v="F"/>
    <s v="3-6L"/>
    <s v="online"/>
    <x v="0"/>
    <s v="complete"/>
    <d v="2023-11-07T00:00:00"/>
    <n v="13293"/>
    <d v="2025-07-23T00:00:00"/>
    <n v="27589"/>
    <n v="40882"/>
    <n v="0"/>
  </r>
  <r>
    <x v="1692"/>
    <s v="BR016"/>
    <n v="69"/>
    <s v="M"/>
    <s v="3-6L"/>
    <s v="online"/>
    <x v="0"/>
    <s v="complete"/>
    <d v="2021-04-19T00:00:00"/>
    <n v="3993"/>
    <d v="2025-07-05T00:00:00"/>
    <n v="3294"/>
    <n v="7287"/>
    <n v="0"/>
  </r>
  <r>
    <x v="1693"/>
    <s v="BR015"/>
    <n v="46"/>
    <s v="F"/>
    <s v="3-6L"/>
    <s v="branch"/>
    <x v="0"/>
    <s v="complete"/>
    <d v="2023-06-07T00:00:00"/>
    <n v="26609"/>
    <d v="2025-07-11T00:00:00"/>
    <n v="-9651"/>
    <n v="16958"/>
    <n v="0"/>
  </r>
  <r>
    <x v="1694"/>
    <s v="BR005"/>
    <n v="66"/>
    <s v="F"/>
    <s v="3-6L"/>
    <s v="online"/>
    <x v="0"/>
    <s v="complete"/>
    <d v="2025-02-17T00:00:00"/>
    <n v="41134"/>
    <d v="2025-07-30T00:00:00"/>
    <n v="9884"/>
    <n v="51018"/>
    <n v="0"/>
  </r>
  <r>
    <x v="1695"/>
    <s v="BR001"/>
    <n v="46"/>
    <s v="M"/>
    <s v="6-10L"/>
    <s v="online"/>
    <x v="1"/>
    <s v="complete"/>
    <d v="2024-03-26T00:00:00"/>
    <n v="10934"/>
    <d v="2025-05-06T00:00:00"/>
    <n v="16457"/>
    <n v="27391"/>
    <n v="0"/>
  </r>
  <r>
    <x v="1696"/>
    <s v="BR020"/>
    <n v="61"/>
    <s v="F"/>
    <s v="6-10L"/>
    <s v="online"/>
    <x v="0"/>
    <s v="complete"/>
    <d v="2024-08-26T00:00:00"/>
    <n v="15222"/>
    <d v="2025-07-15T00:00:00"/>
    <n v="-797"/>
    <n v="14425"/>
    <n v="0"/>
  </r>
  <r>
    <x v="1697"/>
    <s v="BR009"/>
    <n v="33"/>
    <s v="F"/>
    <s v="6-10L"/>
    <s v="online"/>
    <x v="0"/>
    <s v="pending"/>
    <d v="2024-02-15T00:00:00"/>
    <n v="3600"/>
    <d v="2025-07-26T00:00:00"/>
    <n v="11382"/>
    <n v="14982"/>
    <n v="0"/>
  </r>
  <r>
    <x v="1698"/>
    <s v="BR005"/>
    <n v="61"/>
    <s v="M"/>
    <s v="&gt;10L"/>
    <s v="online"/>
    <x v="0"/>
    <s v="complete"/>
    <d v="2021-12-12T00:00:00"/>
    <n v="5594"/>
    <d v="2025-02-11T00:00:00"/>
    <n v="17433"/>
    <n v="23027"/>
    <n v="0"/>
  </r>
  <r>
    <x v="1699"/>
    <s v="BR006"/>
    <n v="64"/>
    <s v="F"/>
    <s v="6-10L"/>
    <s v="online"/>
    <x v="0"/>
    <s v="complete"/>
    <d v="2021-07-04T00:00:00"/>
    <n v="9575"/>
    <d v="2025-06-15T00:00:00"/>
    <n v="-1701"/>
    <n v="7874"/>
    <n v="0"/>
  </r>
  <r>
    <x v="1700"/>
    <s v="BR003"/>
    <n v="27"/>
    <s v="F"/>
    <s v="3-6L"/>
    <s v="branch"/>
    <x v="0"/>
    <s v="complete"/>
    <d v="2024-10-19T00:00:00"/>
    <n v="14428"/>
    <d v="2025-07-25T00:00:00"/>
    <n v="5826"/>
    <n v="20254"/>
    <n v="0"/>
  </r>
  <r>
    <x v="1701"/>
    <s v="BR006"/>
    <n v="47"/>
    <s v="F"/>
    <s v="3-6L"/>
    <s v="online"/>
    <x v="0"/>
    <s v="complete"/>
    <d v="2024-03-09T00:00:00"/>
    <n v="7189"/>
    <d v="2025-07-20T00:00:00"/>
    <n v="14995"/>
    <n v="22184"/>
    <n v="0"/>
  </r>
  <r>
    <x v="1702"/>
    <s v="BR008"/>
    <n v="42"/>
    <s v="M"/>
    <s v="3-6L"/>
    <s v="branch"/>
    <x v="1"/>
    <s v="complete"/>
    <d v="2023-08-21T00:00:00"/>
    <n v="9221"/>
    <d v="2025-07-29T00:00:00"/>
    <n v="21718"/>
    <n v="30939"/>
    <n v="0"/>
  </r>
  <r>
    <x v="1703"/>
    <s v="BR006"/>
    <n v="56"/>
    <s v="O"/>
    <s v="&lt;3L"/>
    <s v="branch"/>
    <x v="0"/>
    <s v="pending"/>
    <d v="2021-11-13T00:00:00"/>
    <n v="11804"/>
    <d v="2025-07-31T00:00:00"/>
    <n v="18640"/>
    <n v="30444"/>
    <n v="0"/>
  </r>
  <r>
    <x v="1704"/>
    <s v="BR016"/>
    <n v="37"/>
    <s v="M"/>
    <s v="6-10L"/>
    <s v="branch"/>
    <x v="0"/>
    <s v="complete"/>
    <d v="2023-10-07T00:00:00"/>
    <n v="4924"/>
    <d v="2025-07-03T00:00:00"/>
    <n v="16115"/>
    <n v="21039"/>
    <n v="0"/>
  </r>
  <r>
    <x v="1705"/>
    <s v="BR016"/>
    <n v="22"/>
    <s v="M"/>
    <s v="3-6L"/>
    <s v="online"/>
    <x v="0"/>
    <s v="complete"/>
    <d v="2021-02-22T00:00:00"/>
    <n v="10211"/>
    <d v="2025-05-10T00:00:00"/>
    <n v="7159"/>
    <n v="17370"/>
    <n v="0"/>
  </r>
  <r>
    <x v="1706"/>
    <s v="BR003"/>
    <n v="18"/>
    <s v="M"/>
    <s v="&lt;3L"/>
    <s v="branch"/>
    <x v="0"/>
    <s v="complete"/>
    <d v="2021-07-18T00:00:00"/>
    <n v="42444"/>
    <d v="2025-04-28T00:00:00"/>
    <n v="24847"/>
    <n v="67291"/>
    <n v="0"/>
  </r>
  <r>
    <x v="1707"/>
    <s v="BR017"/>
    <n v="47"/>
    <s v="M"/>
    <s v="&lt;3L"/>
    <s v="online"/>
    <x v="0"/>
    <s v="complete"/>
    <d v="2022-06-06T00:00:00"/>
    <n v="7361"/>
    <d v="2025-05-03T00:00:00"/>
    <n v="3729"/>
    <n v="11090"/>
    <n v="0"/>
  </r>
  <r>
    <x v="1708"/>
    <s v="BR006"/>
    <n v="66"/>
    <s v="F"/>
    <s v="3-6L"/>
    <s v="online"/>
    <x v="0"/>
    <s v="complete"/>
    <d v="2023-01-13T00:00:00"/>
    <n v="5427"/>
    <d v="2025-07-24T00:00:00"/>
    <n v="24359"/>
    <n v="29786"/>
    <n v="0"/>
  </r>
  <r>
    <x v="1709"/>
    <s v="BR006"/>
    <n v="20"/>
    <s v="M"/>
    <s v="3-6L"/>
    <s v="branch"/>
    <x v="1"/>
    <s v="complete"/>
    <d v="2021-07-21T00:00:00"/>
    <n v="107487"/>
    <d v="2025-07-25T00:00:00"/>
    <n v="9468"/>
    <n v="116955"/>
    <n v="0"/>
  </r>
  <r>
    <x v="1710"/>
    <s v="BR019"/>
    <n v="62"/>
    <s v="M"/>
    <s v="3-6L"/>
    <s v="branch"/>
    <x v="0"/>
    <s v="complete"/>
    <d v="2021-07-20T00:00:00"/>
    <n v="16741"/>
    <d v="2025-07-11T00:00:00"/>
    <n v="1430"/>
    <n v="18171"/>
    <n v="0"/>
  </r>
  <r>
    <x v="1711"/>
    <s v="BR020"/>
    <n v="31"/>
    <s v="F"/>
    <s v="3-6L"/>
    <s v="online"/>
    <x v="0"/>
    <s v="complete"/>
    <d v="2024-04-29T00:00:00"/>
    <n v="6168"/>
    <d v="2025-07-27T00:00:00"/>
    <n v="6876"/>
    <n v="13044"/>
    <n v="0"/>
  </r>
  <r>
    <x v="1712"/>
    <s v="BR015"/>
    <n v="47"/>
    <s v="M"/>
    <s v="3-6L"/>
    <s v="online"/>
    <x v="0"/>
    <s v="complete"/>
    <d v="2023-08-12T00:00:00"/>
    <n v="25425"/>
    <d v="2025-07-05T00:00:00"/>
    <n v="24573"/>
    <n v="49998"/>
    <n v="0"/>
  </r>
  <r>
    <x v="1713"/>
    <s v="BR019"/>
    <n v="67"/>
    <s v="M"/>
    <s v="6-10L"/>
    <s v="online"/>
    <x v="0"/>
    <s v="complete"/>
    <d v="2023-06-12T00:00:00"/>
    <n v="17259"/>
    <d v="2025-06-24T00:00:00"/>
    <n v="1635"/>
    <n v="18894"/>
    <n v="0"/>
  </r>
  <r>
    <x v="1714"/>
    <s v="BR002"/>
    <n v="21"/>
    <s v="M"/>
    <s v="&lt;3L"/>
    <s v="online"/>
    <x v="0"/>
    <s v="complete"/>
    <d v="2023-01-27T00:00:00"/>
    <n v="7554"/>
    <d v="2025-07-27T00:00:00"/>
    <n v="20806"/>
    <n v="28360"/>
    <n v="0"/>
  </r>
  <r>
    <x v="1715"/>
    <s v="BR008"/>
    <n v="35"/>
    <s v="M"/>
    <s v="&lt;3L"/>
    <s v="online"/>
    <x v="0"/>
    <s v="complete"/>
    <d v="2025-06-22T00:00:00"/>
    <n v="12721"/>
    <d v="2025-07-31T00:00:00"/>
    <n v="17930"/>
    <n v="30651"/>
    <n v="0"/>
  </r>
  <r>
    <x v="1716"/>
    <s v="BR007"/>
    <n v="54"/>
    <s v="M"/>
    <s v="3-6L"/>
    <s v="branch"/>
    <x v="0"/>
    <s v="complete"/>
    <d v="2021-03-25T00:00:00"/>
    <n v="9982"/>
    <d v="2025-07-19T00:00:00"/>
    <n v="-1221"/>
    <n v="8761"/>
    <n v="0"/>
  </r>
  <r>
    <x v="1717"/>
    <s v="BR008"/>
    <n v="42"/>
    <s v="F"/>
    <s v="3-6L"/>
    <s v="branch"/>
    <x v="0"/>
    <s v="complete"/>
    <d v="2021-10-30T00:00:00"/>
    <n v="35957"/>
    <d v="2025-06-04T00:00:00"/>
    <n v="-1562"/>
    <n v="34395"/>
    <n v="0"/>
  </r>
  <r>
    <x v="1718"/>
    <s v="BR013"/>
    <n v="65"/>
    <s v="M"/>
    <s v="&lt;3L"/>
    <s v="branch"/>
    <x v="1"/>
    <s v="complete"/>
    <d v="2023-12-20T00:00:00"/>
    <n v="26406"/>
    <d v="2025-05-22T00:00:00"/>
    <n v="17583"/>
    <n v="43989"/>
    <n v="0"/>
  </r>
  <r>
    <x v="1719"/>
    <s v="BR015"/>
    <n v="18"/>
    <s v="M"/>
    <s v="3-6L"/>
    <s v="online"/>
    <x v="0"/>
    <s v="complete"/>
    <d v="2021-08-17T00:00:00"/>
    <n v="1567"/>
    <d v="2025-07-10T00:00:00"/>
    <n v="7091"/>
    <n v="8658"/>
    <n v="0"/>
  </r>
  <r>
    <x v="1720"/>
    <s v="BR012"/>
    <n v="63"/>
    <s v="F"/>
    <s v="&lt;3L"/>
    <s v="branch"/>
    <x v="0"/>
    <s v="complete"/>
    <d v="2023-09-14T00:00:00"/>
    <n v="89582"/>
    <d v="2025-07-07T00:00:00"/>
    <n v="5460"/>
    <n v="95042"/>
    <n v="0"/>
  </r>
  <r>
    <x v="1721"/>
    <s v="BR015"/>
    <n v="32"/>
    <s v="F"/>
    <s v="3-6L"/>
    <s v="branch"/>
    <x v="0"/>
    <s v="complete"/>
    <d v="2023-08-08T00:00:00"/>
    <n v="10013"/>
    <d v="2025-04-27T00:00:00"/>
    <n v="-1211"/>
    <n v="8802"/>
    <n v="0"/>
  </r>
  <r>
    <x v="1722"/>
    <s v="BR014"/>
    <n v="26"/>
    <s v="M"/>
    <s v="3-6L"/>
    <s v="branch"/>
    <x v="0"/>
    <s v="complete"/>
    <d v="2025-06-13T00:00:00"/>
    <n v="74784"/>
    <d v="2025-07-29T00:00:00"/>
    <n v="7698"/>
    <n v="82482"/>
    <n v="0"/>
  </r>
  <r>
    <x v="1723"/>
    <s v="BR007"/>
    <n v="32"/>
    <s v="F"/>
    <s v="3-6L"/>
    <s v="online"/>
    <x v="0"/>
    <s v="complete"/>
    <d v="2025-01-17T00:00:00"/>
    <n v="27338"/>
    <d v="2025-07-28T00:00:00"/>
    <n v="-14162"/>
    <n v="13176"/>
    <n v="0"/>
  </r>
  <r>
    <x v="1724"/>
    <s v="BR017"/>
    <n v="66"/>
    <s v="M"/>
    <s v="6-10L"/>
    <s v="online"/>
    <x v="0"/>
    <s v="complete"/>
    <d v="2025-05-01T00:00:00"/>
    <n v="17124"/>
    <d v="2025-07-28T00:00:00"/>
    <n v="30953"/>
    <n v="48077"/>
    <n v="0"/>
  </r>
  <r>
    <x v="1725"/>
    <s v="BR005"/>
    <n v="41"/>
    <s v="F"/>
    <s v="3-6L"/>
    <s v="online"/>
    <x v="0"/>
    <s v="complete"/>
    <d v="2021-07-10T00:00:00"/>
    <n v="12159"/>
    <d v="2025-05-11T00:00:00"/>
    <n v="7849"/>
    <n v="20008"/>
    <n v="0"/>
  </r>
  <r>
    <x v="1726"/>
    <s v="BR020"/>
    <n v="21"/>
    <s v="F"/>
    <s v="&gt;10L"/>
    <s v="online"/>
    <x v="0"/>
    <s v="complete"/>
    <d v="2024-12-23T00:00:00"/>
    <n v="210824"/>
    <d v="2025-07-31T00:00:00"/>
    <n v="14395"/>
    <n v="225219"/>
    <n v="0"/>
  </r>
  <r>
    <x v="1727"/>
    <s v="BR010"/>
    <n v="29"/>
    <s v="M"/>
    <s v="3-6L"/>
    <s v="branch"/>
    <x v="0"/>
    <s v="complete"/>
    <d v="2021-08-04T00:00:00"/>
    <n v="10182"/>
    <d v="2025-03-25T00:00:00"/>
    <n v="9185"/>
    <n v="19367"/>
    <n v="0"/>
  </r>
  <r>
    <x v="1728"/>
    <s v="BR019"/>
    <n v="54"/>
    <s v="F"/>
    <s v="3-6L"/>
    <s v="branch"/>
    <x v="0"/>
    <s v="complete"/>
    <d v="2023-11-25T00:00:00"/>
    <n v="6827"/>
    <d v="2025-07-29T00:00:00"/>
    <n v="-7445"/>
    <n v="-618"/>
    <n v="0"/>
  </r>
  <r>
    <x v="1729"/>
    <s v="BR018"/>
    <n v="54"/>
    <s v="M"/>
    <s v="6-10L"/>
    <s v="online"/>
    <x v="0"/>
    <s v="complete"/>
    <d v="2024-04-19T00:00:00"/>
    <n v="7470"/>
    <d v="2025-07-16T00:00:00"/>
    <n v="9905"/>
    <n v="17375"/>
    <n v="0"/>
  </r>
  <r>
    <x v="1730"/>
    <s v="BR010"/>
    <n v="60"/>
    <s v="F"/>
    <s v="6-10L"/>
    <s v="online"/>
    <x v="0"/>
    <s v="complete"/>
    <d v="2021-09-27T00:00:00"/>
    <n v="13374"/>
    <d v="2025-07-07T00:00:00"/>
    <n v="11039"/>
    <n v="24413"/>
    <n v="0"/>
  </r>
  <r>
    <x v="1731"/>
    <s v="BR002"/>
    <n v="23"/>
    <s v="M"/>
    <s v="3-6L"/>
    <s v="online"/>
    <x v="0"/>
    <s v="complete"/>
    <d v="2023-11-25T00:00:00"/>
    <n v="13351"/>
    <d v="2025-06-10T00:00:00"/>
    <n v="1803"/>
    <n v="15154"/>
    <n v="0"/>
  </r>
  <r>
    <x v="1732"/>
    <s v="BR006"/>
    <n v="56"/>
    <s v="F"/>
    <s v="3-6L"/>
    <s v="online"/>
    <x v="0"/>
    <s v="complete"/>
    <d v="2021-03-29T00:00:00"/>
    <n v="36462"/>
    <d v="2025-07-30T00:00:00"/>
    <n v="13689"/>
    <n v="50151"/>
    <n v="0"/>
  </r>
  <r>
    <x v="1733"/>
    <s v="BR003"/>
    <n v="63"/>
    <s v="F"/>
    <s v="&lt;3L"/>
    <s v="online"/>
    <x v="0"/>
    <s v="complete"/>
    <d v="2022-05-06T00:00:00"/>
    <n v="28517"/>
    <d v="2025-06-14T00:00:00"/>
    <n v="10290"/>
    <n v="38807"/>
    <n v="0"/>
  </r>
  <r>
    <x v="1734"/>
    <s v="BR019"/>
    <n v="41"/>
    <s v="F"/>
    <s v="&lt;3L"/>
    <s v="branch"/>
    <x v="0"/>
    <s v="complete"/>
    <d v="2025-03-22T00:00:00"/>
    <n v="28552"/>
    <d v="2025-07-29T00:00:00"/>
    <n v="4614"/>
    <n v="33166"/>
    <n v="0"/>
  </r>
  <r>
    <x v="1735"/>
    <s v="BR005"/>
    <n v="28"/>
    <s v="M"/>
    <s v="3-6L"/>
    <s v="online"/>
    <x v="0"/>
    <s v="complete"/>
    <d v="2021-10-15T00:00:00"/>
    <n v="10633"/>
    <d v="2025-07-20T00:00:00"/>
    <n v="2789"/>
    <n v="13422"/>
    <n v="0"/>
  </r>
  <r>
    <x v="1736"/>
    <s v="BR007"/>
    <n v="30"/>
    <s v="F"/>
    <s v="3-6L"/>
    <s v="branch"/>
    <x v="0"/>
    <s v="complete"/>
    <d v="2021-04-20T00:00:00"/>
    <n v="26279"/>
    <d v="2025-06-26T00:00:00"/>
    <n v="-7056"/>
    <n v="19223"/>
    <n v="0"/>
  </r>
  <r>
    <x v="1737"/>
    <s v="BR007"/>
    <n v="51"/>
    <s v="F"/>
    <s v="3-6L"/>
    <s v="online"/>
    <x v="0"/>
    <s v="complete"/>
    <d v="2023-01-13T00:00:00"/>
    <n v="29182"/>
    <d v="2025-06-06T00:00:00"/>
    <n v="18256"/>
    <n v="47438"/>
    <n v="0"/>
  </r>
  <r>
    <x v="1738"/>
    <s v="BR010"/>
    <n v="42"/>
    <s v="F"/>
    <s v="&lt;3L"/>
    <s v="online"/>
    <x v="0"/>
    <s v="complete"/>
    <d v="2024-11-24T00:00:00"/>
    <n v="12341"/>
    <d v="2025-07-09T00:00:00"/>
    <n v="-4860"/>
    <n v="7481"/>
    <n v="0"/>
  </r>
  <r>
    <x v="1739"/>
    <s v="BR001"/>
    <n v="24"/>
    <s v="F"/>
    <s v="6-10L"/>
    <s v="online"/>
    <x v="0"/>
    <s v="complete"/>
    <d v="2021-05-09T00:00:00"/>
    <n v="17663"/>
    <d v="2025-04-10T00:00:00"/>
    <n v="-496"/>
    <n v="17167"/>
    <n v="0"/>
  </r>
  <r>
    <x v="1740"/>
    <s v="BR011"/>
    <n v="69"/>
    <s v="F"/>
    <s v="6-10L"/>
    <s v="branch"/>
    <x v="0"/>
    <s v="complete"/>
    <d v="2022-08-18T00:00:00"/>
    <n v="29145"/>
    <d v="2025-05-18T00:00:00"/>
    <n v="5570"/>
    <n v="34715"/>
    <n v="0"/>
  </r>
  <r>
    <x v="1741"/>
    <s v="BR007"/>
    <n v="21"/>
    <s v="M"/>
    <s v="&gt;10L"/>
    <s v="online"/>
    <x v="0"/>
    <s v="complete"/>
    <d v="2025-02-14T00:00:00"/>
    <n v="16501"/>
    <d v="2025-07-29T00:00:00"/>
    <n v="26233"/>
    <n v="42734"/>
    <n v="0"/>
  </r>
  <r>
    <x v="1742"/>
    <s v="BR006"/>
    <n v="25"/>
    <s v="M"/>
    <s v="3-6L"/>
    <s v="branch"/>
    <x v="0"/>
    <s v="complete"/>
    <d v="2021-07-17T00:00:00"/>
    <n v="18153"/>
    <d v="2025-06-01T00:00:00"/>
    <n v="17270"/>
    <n v="35423"/>
    <n v="0"/>
  </r>
  <r>
    <x v="1743"/>
    <s v="BR006"/>
    <n v="37"/>
    <s v="F"/>
    <s v="6-10L"/>
    <s v="online"/>
    <x v="0"/>
    <s v="complete"/>
    <d v="2022-06-04T00:00:00"/>
    <n v="54562"/>
    <d v="2025-07-25T00:00:00"/>
    <n v="-2854"/>
    <n v="51708"/>
    <n v="0"/>
  </r>
  <r>
    <x v="1744"/>
    <s v="BR013"/>
    <n v="46"/>
    <s v="M"/>
    <s v="6-10L"/>
    <s v="branch"/>
    <x v="0"/>
    <s v="complete"/>
    <d v="2024-07-26T00:00:00"/>
    <n v="16631"/>
    <d v="2025-07-03T00:00:00"/>
    <n v="6107"/>
    <n v="22738"/>
    <n v="0"/>
  </r>
  <r>
    <x v="1745"/>
    <s v="BR016"/>
    <n v="68"/>
    <s v="O"/>
    <s v="3-6L"/>
    <s v="branch"/>
    <x v="0"/>
    <s v="complete"/>
    <d v="2023-06-28T00:00:00"/>
    <n v="7276"/>
    <d v="2025-07-02T00:00:00"/>
    <n v="15288"/>
    <n v="22564"/>
    <n v="0"/>
  </r>
  <r>
    <x v="1746"/>
    <s v="BR013"/>
    <n v="62"/>
    <s v="F"/>
    <s v="3-6L"/>
    <s v="online"/>
    <x v="0"/>
    <s v="complete"/>
    <d v="2024-10-24T00:00:00"/>
    <n v="3478"/>
    <d v="2025-07-13T00:00:00"/>
    <n v="27442"/>
    <n v="30920"/>
    <n v="0"/>
  </r>
  <r>
    <x v="1747"/>
    <s v="BR002"/>
    <n v="63"/>
    <s v="O"/>
    <s v="&gt;10L"/>
    <s v="branch"/>
    <x v="0"/>
    <s v="complete"/>
    <d v="2021-07-06T00:00:00"/>
    <n v="14960"/>
    <d v="2025-04-15T00:00:00"/>
    <n v="5532"/>
    <n v="20492"/>
    <n v="0"/>
  </r>
  <r>
    <x v="1748"/>
    <s v="BR019"/>
    <n v="27"/>
    <s v="M"/>
    <s v="3-6L"/>
    <s v="online"/>
    <x v="0"/>
    <s v="complete"/>
    <d v="2025-03-21T00:00:00"/>
    <n v="9591"/>
    <d v="2025-07-30T00:00:00"/>
    <n v="8325"/>
    <n v="17916"/>
    <n v="0"/>
  </r>
  <r>
    <x v="1749"/>
    <s v="BR019"/>
    <n v="60"/>
    <s v="F"/>
    <s v="3-6L"/>
    <s v="branch"/>
    <x v="0"/>
    <s v="complete"/>
    <d v="2025-04-14T00:00:00"/>
    <n v="29981"/>
    <d v="2025-07-30T00:00:00"/>
    <n v="21007"/>
    <n v="50988"/>
    <n v="0"/>
  </r>
  <r>
    <x v="1750"/>
    <s v="BR019"/>
    <n v="51"/>
    <s v="F"/>
    <s v="&lt;3L"/>
    <s v="online"/>
    <x v="1"/>
    <s v="complete"/>
    <d v="2021-09-17T00:00:00"/>
    <n v="64712"/>
    <d v="2025-05-14T00:00:00"/>
    <n v="10987"/>
    <n v="75699"/>
    <n v="0"/>
  </r>
  <r>
    <x v="1751"/>
    <s v="BR018"/>
    <n v="43"/>
    <s v="F"/>
    <s v="&lt;3L"/>
    <s v="online"/>
    <x v="0"/>
    <s v="complete"/>
    <d v="2021-02-26T00:00:00"/>
    <n v="4771"/>
    <d v="2025-05-26T00:00:00"/>
    <n v="240"/>
    <n v="5011"/>
    <n v="0"/>
  </r>
  <r>
    <x v="1752"/>
    <s v="BR006"/>
    <n v="58"/>
    <s v="F"/>
    <s v="6-10L"/>
    <s v="branch"/>
    <x v="0"/>
    <s v="complete"/>
    <d v="2025-07-15T00:00:00"/>
    <n v="5509"/>
    <d v="2025-07-31T00:00:00"/>
    <n v="1"/>
    <n v="5510"/>
    <n v="0"/>
  </r>
  <r>
    <x v="1753"/>
    <s v="BR002"/>
    <n v="66"/>
    <s v="M"/>
    <s v="3-6L"/>
    <s v="branch"/>
    <x v="0"/>
    <s v="complete"/>
    <d v="2023-03-18T00:00:00"/>
    <n v="13041"/>
    <d v="2025-07-11T00:00:00"/>
    <n v="20037"/>
    <n v="33078"/>
    <n v="0"/>
  </r>
  <r>
    <x v="1754"/>
    <s v="BR019"/>
    <n v="20"/>
    <s v="F"/>
    <s v="3-6L"/>
    <s v="online"/>
    <x v="0"/>
    <s v="complete"/>
    <d v="2023-08-16T00:00:00"/>
    <n v="6003"/>
    <d v="2025-06-09T00:00:00"/>
    <n v="5030"/>
    <n v="11033"/>
    <n v="0"/>
  </r>
  <r>
    <x v="1755"/>
    <s v="BR006"/>
    <n v="23"/>
    <s v="F"/>
    <s v="&lt;3L"/>
    <s v="branch"/>
    <x v="0"/>
    <s v="complete"/>
    <d v="2023-10-28T00:00:00"/>
    <n v="10700"/>
    <d v="2025-07-24T00:00:00"/>
    <n v="5211"/>
    <n v="15911"/>
    <n v="0"/>
  </r>
  <r>
    <x v="1756"/>
    <s v="BR020"/>
    <n v="22"/>
    <s v="M"/>
    <s v="3-6L"/>
    <s v="online"/>
    <x v="0"/>
    <s v="complete"/>
    <d v="2024-08-14T00:00:00"/>
    <n v="7815"/>
    <d v="2025-06-29T00:00:00"/>
    <n v="11152"/>
    <n v="18967"/>
    <n v="0"/>
  </r>
  <r>
    <x v="1757"/>
    <s v="BR015"/>
    <n v="22"/>
    <s v="M"/>
    <s v="3-6L"/>
    <s v="online"/>
    <x v="0"/>
    <s v="complete"/>
    <d v="2024-09-20T00:00:00"/>
    <n v="4877"/>
    <d v="2025-07-30T00:00:00"/>
    <n v="23070"/>
    <n v="27947"/>
    <n v="0"/>
  </r>
  <r>
    <x v="1758"/>
    <s v="BR006"/>
    <n v="64"/>
    <s v="F"/>
    <s v="&lt;3L"/>
    <s v="branch"/>
    <x v="1"/>
    <s v="complete"/>
    <d v="2021-11-21T00:00:00"/>
    <n v="30512"/>
    <d v="2025-06-05T00:00:00"/>
    <n v="6596"/>
    <n v="37108"/>
    <n v="0"/>
  </r>
  <r>
    <x v="1759"/>
    <s v="BR003"/>
    <n v="40"/>
    <s v="F"/>
    <s v="6-10L"/>
    <s v="online"/>
    <x v="0"/>
    <s v="complete"/>
    <d v="2022-01-31T00:00:00"/>
    <n v="14404"/>
    <d v="2025-06-13T00:00:00"/>
    <n v="6626"/>
    <n v="21030"/>
    <n v="0"/>
  </r>
  <r>
    <x v="1760"/>
    <s v="BR011"/>
    <n v="66"/>
    <s v="O"/>
    <s v="&lt;3L"/>
    <s v="online"/>
    <x v="0"/>
    <s v="complete"/>
    <d v="2025-01-06T00:00:00"/>
    <n v="83314"/>
    <d v="2025-07-25T00:00:00"/>
    <n v="-11947"/>
    <n v="71367"/>
    <n v="0"/>
  </r>
  <r>
    <x v="1761"/>
    <s v="BR008"/>
    <n v="26"/>
    <s v="F"/>
    <s v="3-6L"/>
    <s v="branch"/>
    <x v="0"/>
    <s v="complete"/>
    <d v="2024-10-03T00:00:00"/>
    <n v="19130"/>
    <d v="2025-06-30T00:00:00"/>
    <n v="15390"/>
    <n v="34520"/>
    <n v="0"/>
  </r>
  <r>
    <x v="1762"/>
    <s v="BR018"/>
    <n v="52"/>
    <s v="M"/>
    <s v="6-10L"/>
    <s v="online"/>
    <x v="0"/>
    <s v="complete"/>
    <d v="2023-10-31T00:00:00"/>
    <n v="48462"/>
    <d v="2025-06-15T00:00:00"/>
    <n v="28433"/>
    <n v="76895"/>
    <n v="0"/>
  </r>
  <r>
    <x v="1763"/>
    <s v="BR017"/>
    <n v="37"/>
    <s v="M"/>
    <s v="3-6L"/>
    <s v="branch"/>
    <x v="0"/>
    <s v="pending"/>
    <d v="2025-07-23T00:00:00"/>
    <n v="6446"/>
    <d v="2025-07-31T00:00:00"/>
    <n v="21663"/>
    <n v="28109"/>
    <n v="0"/>
  </r>
  <r>
    <x v="1764"/>
    <s v="BR019"/>
    <n v="66"/>
    <s v="M"/>
    <s v="6-10L"/>
    <s v="online"/>
    <x v="0"/>
    <s v="complete"/>
    <d v="2024-05-14T00:00:00"/>
    <n v="6366"/>
    <d v="2025-07-24T00:00:00"/>
    <n v="28187"/>
    <n v="34553"/>
    <n v="0"/>
  </r>
  <r>
    <x v="1765"/>
    <s v="BR019"/>
    <n v="59"/>
    <s v="M"/>
    <s v="6-10L"/>
    <s v="online"/>
    <x v="1"/>
    <s v="complete"/>
    <d v="2021-12-28T00:00:00"/>
    <n v="123115"/>
    <d v="2025-05-09T00:00:00"/>
    <n v="12934"/>
    <n v="136049"/>
    <n v="0"/>
  </r>
  <r>
    <x v="1766"/>
    <s v="BR017"/>
    <n v="52"/>
    <s v="M"/>
    <s v="6-10L"/>
    <s v="online"/>
    <x v="0"/>
    <s v="complete"/>
    <d v="2024-11-17T00:00:00"/>
    <n v="7267"/>
    <d v="2025-07-14T00:00:00"/>
    <n v="-1695"/>
    <n v="5572"/>
    <n v="0"/>
  </r>
  <r>
    <x v="1767"/>
    <s v="BR004"/>
    <n v="67"/>
    <s v="M"/>
    <s v="&lt;3L"/>
    <s v="branch"/>
    <x v="0"/>
    <s v="complete"/>
    <d v="2022-11-25T00:00:00"/>
    <n v="5171"/>
    <d v="2025-05-23T00:00:00"/>
    <n v="6445"/>
    <n v="11616"/>
    <n v="0"/>
  </r>
  <r>
    <x v="1768"/>
    <s v="BR007"/>
    <n v="35"/>
    <s v="M"/>
    <s v="&lt;3L"/>
    <s v="branch"/>
    <x v="1"/>
    <s v="complete"/>
    <d v="2021-03-02T00:00:00"/>
    <n v="4141"/>
    <d v="2025-07-19T00:00:00"/>
    <n v="-3661"/>
    <n v="480"/>
    <n v="0"/>
  </r>
  <r>
    <x v="1769"/>
    <s v="BR005"/>
    <n v="34"/>
    <s v="F"/>
    <s v="3-6L"/>
    <s v="online"/>
    <x v="0"/>
    <s v="complete"/>
    <d v="2022-06-22T00:00:00"/>
    <n v="90740"/>
    <d v="2025-07-11T00:00:00"/>
    <n v="-11708"/>
    <n v="79032"/>
    <n v="0"/>
  </r>
  <r>
    <x v="1770"/>
    <s v="BR016"/>
    <n v="41"/>
    <s v="M"/>
    <s v="3-6L"/>
    <s v="online"/>
    <x v="0"/>
    <s v="complete"/>
    <d v="2024-07-01T00:00:00"/>
    <n v="10151"/>
    <d v="2025-06-10T00:00:00"/>
    <n v="8573"/>
    <n v="18724"/>
    <n v="0"/>
  </r>
  <r>
    <x v="1771"/>
    <s v="BR006"/>
    <n v="20"/>
    <s v="F"/>
    <s v="6-10L"/>
    <s v="branch"/>
    <x v="0"/>
    <s v="complete"/>
    <d v="2025-05-26T00:00:00"/>
    <n v="19998"/>
    <d v="2025-07-31T00:00:00"/>
    <n v="31546"/>
    <n v="51544"/>
    <n v="0"/>
  </r>
  <r>
    <x v="1772"/>
    <s v="BR014"/>
    <n v="49"/>
    <s v="F"/>
    <s v="6-10L"/>
    <s v="online"/>
    <x v="0"/>
    <s v="complete"/>
    <d v="2022-04-07T00:00:00"/>
    <n v="15543"/>
    <d v="2025-07-28T00:00:00"/>
    <n v="21875"/>
    <n v="37418"/>
    <n v="0"/>
  </r>
  <r>
    <x v="1773"/>
    <s v="BR020"/>
    <n v="52"/>
    <s v="M"/>
    <s v="6-10L"/>
    <s v="branch"/>
    <x v="0"/>
    <s v="complete"/>
    <d v="2022-02-17T00:00:00"/>
    <n v="6481"/>
    <d v="2025-04-30T00:00:00"/>
    <n v="-6494"/>
    <n v="-13"/>
    <n v="0"/>
  </r>
  <r>
    <x v="1774"/>
    <s v="BR002"/>
    <n v="55"/>
    <s v="M"/>
    <s v="&gt;10L"/>
    <s v="online"/>
    <x v="0"/>
    <s v="complete"/>
    <d v="2023-08-01T00:00:00"/>
    <n v="9934"/>
    <d v="2025-07-29T00:00:00"/>
    <n v="50902"/>
    <n v="60836"/>
    <n v="0"/>
  </r>
  <r>
    <x v="1775"/>
    <s v="BR018"/>
    <n v="30"/>
    <s v="M"/>
    <s v="6-10L"/>
    <s v="branch"/>
    <x v="0"/>
    <s v="complete"/>
    <d v="2024-09-19T00:00:00"/>
    <n v="31122"/>
    <d v="2025-07-27T00:00:00"/>
    <n v="2914"/>
    <n v="34036"/>
    <n v="0"/>
  </r>
  <r>
    <x v="1776"/>
    <s v="BR018"/>
    <n v="64"/>
    <s v="M"/>
    <s v="3-6L"/>
    <s v="online"/>
    <x v="0"/>
    <s v="complete"/>
    <d v="2024-06-02T00:00:00"/>
    <n v="3921"/>
    <d v="2025-07-15T00:00:00"/>
    <n v="26381"/>
    <n v="30302"/>
    <n v="0"/>
  </r>
  <r>
    <x v="1777"/>
    <s v="BR013"/>
    <n v="42"/>
    <s v="F"/>
    <s v="3-6L"/>
    <s v="branch"/>
    <x v="0"/>
    <s v="complete"/>
    <d v="2023-07-26T00:00:00"/>
    <n v="26217"/>
    <d v="2025-07-25T00:00:00"/>
    <n v="-18728"/>
    <n v="7489"/>
    <n v="0"/>
  </r>
  <r>
    <x v="1778"/>
    <s v="BR018"/>
    <n v="26"/>
    <s v="M"/>
    <s v="6-10L"/>
    <s v="branch"/>
    <x v="0"/>
    <s v="complete"/>
    <d v="2023-11-23T00:00:00"/>
    <n v="56052"/>
    <d v="2025-07-12T00:00:00"/>
    <n v="9279"/>
    <n v="65331"/>
    <n v="0"/>
  </r>
  <r>
    <x v="1779"/>
    <s v="BR017"/>
    <n v="21"/>
    <s v="M"/>
    <s v="&lt;3L"/>
    <s v="online"/>
    <x v="1"/>
    <s v="complete"/>
    <d v="2022-02-10T00:00:00"/>
    <n v="17897"/>
    <d v="2025-04-26T00:00:00"/>
    <n v="17877"/>
    <n v="35774"/>
    <n v="0"/>
  </r>
  <r>
    <x v="1780"/>
    <s v="BR013"/>
    <n v="31"/>
    <s v="M"/>
    <s v="&lt;3L"/>
    <s v="online"/>
    <x v="0"/>
    <s v="complete"/>
    <d v="2022-12-25T00:00:00"/>
    <n v="50686"/>
    <d v="2025-07-24T00:00:00"/>
    <n v="-7687"/>
    <n v="42999"/>
    <n v="0"/>
  </r>
  <r>
    <x v="1781"/>
    <s v="BR012"/>
    <n v="54"/>
    <s v="O"/>
    <s v="3-6L"/>
    <s v="branch"/>
    <x v="0"/>
    <s v="complete"/>
    <d v="2022-03-04T00:00:00"/>
    <n v="3390"/>
    <d v="2025-07-26T00:00:00"/>
    <n v="16135"/>
    <n v="19525"/>
    <n v="0"/>
  </r>
  <r>
    <x v="1782"/>
    <s v="BR003"/>
    <n v="51"/>
    <s v="F"/>
    <s v="6-10L"/>
    <s v="branch"/>
    <x v="0"/>
    <s v="complete"/>
    <d v="2025-01-19T00:00:00"/>
    <n v="2143"/>
    <d v="2025-07-24T00:00:00"/>
    <n v="46683"/>
    <n v="48826"/>
    <n v="0"/>
  </r>
  <r>
    <x v="1783"/>
    <s v="BR007"/>
    <n v="28"/>
    <s v="F"/>
    <s v="&lt;3L"/>
    <s v="online"/>
    <x v="0"/>
    <s v="complete"/>
    <d v="2021-07-08T00:00:00"/>
    <n v="17029"/>
    <d v="2025-07-24T00:00:00"/>
    <n v="3766"/>
    <n v="20795"/>
    <n v="0"/>
  </r>
  <r>
    <x v="1784"/>
    <s v="BR001"/>
    <n v="58"/>
    <s v="M"/>
    <s v="6-10L"/>
    <s v="online"/>
    <x v="0"/>
    <s v="complete"/>
    <d v="2024-02-12T00:00:00"/>
    <n v="7433"/>
    <d v="2025-07-23T00:00:00"/>
    <n v="-5165"/>
    <n v="2268"/>
    <n v="0"/>
  </r>
  <r>
    <x v="1785"/>
    <s v="BR005"/>
    <n v="20"/>
    <s v="F"/>
    <s v="6-10L"/>
    <s v="branch"/>
    <x v="0"/>
    <s v="complete"/>
    <d v="2022-03-12T00:00:00"/>
    <n v="32169"/>
    <d v="2025-07-05T00:00:00"/>
    <n v="28236"/>
    <n v="60405"/>
    <n v="0"/>
  </r>
  <r>
    <x v="1786"/>
    <s v="BR001"/>
    <n v="45"/>
    <s v="F"/>
    <s v="3-6L"/>
    <s v="online"/>
    <x v="0"/>
    <s v="complete"/>
    <d v="2023-03-07T00:00:00"/>
    <n v="9794"/>
    <d v="2025-06-17T00:00:00"/>
    <n v="21520"/>
    <n v="31314"/>
    <n v="0"/>
  </r>
  <r>
    <x v="1787"/>
    <s v="BR004"/>
    <n v="46"/>
    <s v="F"/>
    <s v="&lt;3L"/>
    <s v="branch"/>
    <x v="0"/>
    <s v="complete"/>
    <d v="2022-05-16T00:00:00"/>
    <n v="15478"/>
    <d v="2025-07-20T00:00:00"/>
    <n v="9393"/>
    <n v="24871"/>
    <n v="0"/>
  </r>
  <r>
    <x v="1788"/>
    <s v="BR001"/>
    <n v="26"/>
    <s v="O"/>
    <s v="&lt;3L"/>
    <s v="online"/>
    <x v="0"/>
    <s v="complete"/>
    <d v="2022-06-25T00:00:00"/>
    <n v="14487"/>
    <d v="2025-05-16T00:00:00"/>
    <n v="6015"/>
    <n v="20502"/>
    <n v="0"/>
  </r>
  <r>
    <x v="1789"/>
    <s v="BR013"/>
    <n v="20"/>
    <s v="M"/>
    <s v="6-10L"/>
    <s v="branch"/>
    <x v="0"/>
    <s v="complete"/>
    <d v="2022-03-12T00:00:00"/>
    <n v="14956"/>
    <d v="2025-05-19T00:00:00"/>
    <n v="1877"/>
    <n v="16833"/>
    <n v="0"/>
  </r>
  <r>
    <x v="1790"/>
    <s v="BR014"/>
    <n v="42"/>
    <s v="F"/>
    <s v="6-10L"/>
    <s v="branch"/>
    <x v="0"/>
    <s v="complete"/>
    <d v="2024-06-13T00:00:00"/>
    <n v="7765"/>
    <d v="2025-07-20T00:00:00"/>
    <n v="-23465"/>
    <n v="-15700"/>
    <n v="0"/>
  </r>
  <r>
    <x v="1791"/>
    <s v="BR015"/>
    <n v="51"/>
    <s v="F"/>
    <s v="6-10L"/>
    <s v="branch"/>
    <x v="0"/>
    <s v="complete"/>
    <d v="2022-09-04T00:00:00"/>
    <n v="3413"/>
    <d v="2025-07-25T00:00:00"/>
    <n v="25666"/>
    <n v="29079"/>
    <n v="0"/>
  </r>
  <r>
    <x v="1792"/>
    <s v="BR017"/>
    <n v="29"/>
    <s v="M"/>
    <s v="3-6L"/>
    <s v="online"/>
    <x v="0"/>
    <s v="complete"/>
    <d v="2024-04-30T00:00:00"/>
    <n v="10730"/>
    <d v="2025-06-07T00:00:00"/>
    <n v="670"/>
    <n v="11400"/>
    <n v="0"/>
  </r>
  <r>
    <x v="1793"/>
    <s v="BR012"/>
    <n v="59"/>
    <s v="F"/>
    <s v="&lt;3L"/>
    <s v="branch"/>
    <x v="0"/>
    <s v="complete"/>
    <d v="2023-02-03T00:00:00"/>
    <n v="56956"/>
    <d v="2025-07-21T00:00:00"/>
    <n v="2515"/>
    <n v="59471"/>
    <n v="0"/>
  </r>
  <r>
    <x v="1794"/>
    <s v="BR007"/>
    <n v="26"/>
    <s v="O"/>
    <s v="&lt;3L"/>
    <s v="online"/>
    <x v="1"/>
    <s v="pending"/>
    <d v="2023-07-05T00:00:00"/>
    <n v="7268"/>
    <d v="2025-05-20T00:00:00"/>
    <n v="25261"/>
    <n v="32529"/>
    <n v="0"/>
  </r>
  <r>
    <x v="1795"/>
    <s v="BR019"/>
    <n v="32"/>
    <s v="M"/>
    <s v="6-10L"/>
    <s v="online"/>
    <x v="0"/>
    <s v="complete"/>
    <d v="2023-06-28T00:00:00"/>
    <n v="7228"/>
    <d v="2025-07-30T00:00:00"/>
    <n v="3916"/>
    <n v="11144"/>
    <n v="0"/>
  </r>
  <r>
    <x v="1796"/>
    <s v="BR003"/>
    <n v="57"/>
    <s v="F"/>
    <s v="&lt;3L"/>
    <s v="online"/>
    <x v="0"/>
    <s v="complete"/>
    <d v="2025-06-21T00:00:00"/>
    <n v="15641"/>
    <d v="2025-07-28T00:00:00"/>
    <n v="-9743"/>
    <n v="5898"/>
    <n v="0"/>
  </r>
  <r>
    <x v="1797"/>
    <s v="BR018"/>
    <n v="42"/>
    <s v="O"/>
    <s v="3-6L"/>
    <s v="online"/>
    <x v="0"/>
    <s v="complete"/>
    <d v="2022-09-07T00:00:00"/>
    <n v="4117"/>
    <d v="2025-06-15T00:00:00"/>
    <n v="14652"/>
    <n v="18769"/>
    <n v="0"/>
  </r>
  <r>
    <x v="1798"/>
    <s v="BR004"/>
    <n v="22"/>
    <s v="F"/>
    <s v="3-6L"/>
    <s v="branch"/>
    <x v="0"/>
    <s v="complete"/>
    <d v="2021-12-14T00:00:00"/>
    <n v="36442"/>
    <d v="2025-07-22T00:00:00"/>
    <n v="975"/>
    <n v="37417"/>
    <n v="0"/>
  </r>
  <r>
    <x v="1799"/>
    <s v="BR003"/>
    <n v="28"/>
    <s v="M"/>
    <s v="&lt;3L"/>
    <s v="online"/>
    <x v="0"/>
    <s v="complete"/>
    <d v="2025-03-06T00:00:00"/>
    <n v="4529"/>
    <d v="2025-07-29T00:00:00"/>
    <n v="-1436"/>
    <n v="3093"/>
    <n v="0"/>
  </r>
  <r>
    <x v="1800"/>
    <s v="BR012"/>
    <n v="51"/>
    <s v="F"/>
    <s v="&lt;3L"/>
    <s v="branch"/>
    <x v="0"/>
    <s v="complete"/>
    <d v="2021-10-20T00:00:00"/>
    <n v="10004"/>
    <d v="2025-05-31T00:00:00"/>
    <n v="8359"/>
    <n v="18363"/>
    <n v="0"/>
  </r>
  <r>
    <x v="1801"/>
    <s v="BR012"/>
    <n v="41"/>
    <s v="M"/>
    <s v="3-6L"/>
    <s v="branch"/>
    <x v="0"/>
    <s v="complete"/>
    <d v="2024-10-27T00:00:00"/>
    <n v="169212"/>
    <d v="2025-07-30T00:00:00"/>
    <n v="32189"/>
    <n v="201401"/>
    <n v="0"/>
  </r>
  <r>
    <x v="1802"/>
    <s v="BR017"/>
    <n v="32"/>
    <s v="F"/>
    <s v="3-6L"/>
    <s v="branch"/>
    <x v="0"/>
    <s v="complete"/>
    <d v="2021-09-09T00:00:00"/>
    <n v="4262"/>
    <d v="2025-07-18T00:00:00"/>
    <n v="-621"/>
    <n v="3641"/>
    <n v="0"/>
  </r>
  <r>
    <x v="1803"/>
    <s v="BR006"/>
    <n v="55"/>
    <s v="M"/>
    <s v="&lt;3L"/>
    <s v="online"/>
    <x v="1"/>
    <s v="complete"/>
    <d v="2024-01-08T00:00:00"/>
    <n v="58243"/>
    <d v="2025-07-08T00:00:00"/>
    <n v="4145"/>
    <n v="62388"/>
    <n v="0"/>
  </r>
  <r>
    <x v="1804"/>
    <s v="BR015"/>
    <n v="25"/>
    <s v="F"/>
    <s v="6-10L"/>
    <s v="online"/>
    <x v="1"/>
    <s v="complete"/>
    <d v="2021-09-09T00:00:00"/>
    <n v="15082"/>
    <d v="2025-06-25T00:00:00"/>
    <n v="21855"/>
    <n v="36937"/>
    <n v="0"/>
  </r>
  <r>
    <x v="1805"/>
    <s v="BR002"/>
    <n v="22"/>
    <s v="F"/>
    <s v="6-10L"/>
    <s v="branch"/>
    <x v="0"/>
    <s v="complete"/>
    <d v="2025-03-25T00:00:00"/>
    <n v="17367"/>
    <d v="2025-07-31T00:00:00"/>
    <n v="26637"/>
    <n v="44004"/>
    <n v="0"/>
  </r>
  <r>
    <x v="1806"/>
    <s v="BR008"/>
    <n v="65"/>
    <s v="F"/>
    <s v="3-6L"/>
    <s v="online"/>
    <x v="0"/>
    <s v="complete"/>
    <d v="2023-08-04T00:00:00"/>
    <n v="5947"/>
    <d v="2025-07-31T00:00:00"/>
    <n v="-4975"/>
    <n v="972"/>
    <n v="0"/>
  </r>
  <r>
    <x v="1807"/>
    <s v="BR014"/>
    <n v="43"/>
    <s v="F"/>
    <s v="6-10L"/>
    <s v="online"/>
    <x v="0"/>
    <s v="complete"/>
    <d v="2022-07-05T00:00:00"/>
    <n v="29695"/>
    <d v="2025-06-09T00:00:00"/>
    <n v="-4229"/>
    <n v="25466"/>
    <n v="0"/>
  </r>
  <r>
    <x v="1808"/>
    <s v="BR005"/>
    <n v="35"/>
    <s v="F"/>
    <s v="3-6L"/>
    <s v="online"/>
    <x v="1"/>
    <s v="complete"/>
    <d v="2021-08-23T00:00:00"/>
    <n v="9266"/>
    <d v="2025-07-16T00:00:00"/>
    <n v="-3117"/>
    <n v="6149"/>
    <n v="0"/>
  </r>
  <r>
    <x v="1809"/>
    <s v="BR003"/>
    <n v="23"/>
    <s v="F"/>
    <s v="3-6L"/>
    <s v="online"/>
    <x v="0"/>
    <s v="complete"/>
    <d v="2022-09-14T00:00:00"/>
    <n v="4240"/>
    <d v="2025-07-23T00:00:00"/>
    <n v="9777"/>
    <n v="14017"/>
    <n v="0"/>
  </r>
  <r>
    <x v="1810"/>
    <s v="BR010"/>
    <n v="54"/>
    <s v="M"/>
    <s v="6-10L"/>
    <s v="branch"/>
    <x v="0"/>
    <s v="complete"/>
    <d v="2024-03-25T00:00:00"/>
    <n v="57277"/>
    <d v="2025-06-28T00:00:00"/>
    <n v="-8870"/>
    <n v="48407"/>
    <n v="0"/>
  </r>
  <r>
    <x v="1811"/>
    <s v="BR007"/>
    <n v="65"/>
    <s v="F"/>
    <s v="6-10L"/>
    <s v="online"/>
    <x v="1"/>
    <s v="complete"/>
    <d v="2022-10-07T00:00:00"/>
    <n v="9083"/>
    <d v="2025-06-16T00:00:00"/>
    <n v="11554"/>
    <n v="20637"/>
    <n v="0"/>
  </r>
  <r>
    <x v="1812"/>
    <s v="BR011"/>
    <n v="30"/>
    <s v="M"/>
    <s v="6-10L"/>
    <s v="online"/>
    <x v="0"/>
    <s v="complete"/>
    <d v="2022-02-16T00:00:00"/>
    <n v="2081"/>
    <d v="2025-05-20T00:00:00"/>
    <n v="6686"/>
    <n v="8767"/>
    <n v="0"/>
  </r>
  <r>
    <x v="1813"/>
    <s v="BR015"/>
    <n v="45"/>
    <s v="F"/>
    <s v="&lt;3L"/>
    <s v="online"/>
    <x v="0"/>
    <s v="complete"/>
    <d v="2023-08-25T00:00:00"/>
    <n v="10212"/>
    <d v="2025-06-17T00:00:00"/>
    <n v="11225"/>
    <n v="21437"/>
    <n v="0"/>
  </r>
  <r>
    <x v="1814"/>
    <s v="BR002"/>
    <n v="22"/>
    <s v="M"/>
    <s v="&lt;3L"/>
    <s v="online"/>
    <x v="0"/>
    <s v="complete"/>
    <d v="2022-12-01T00:00:00"/>
    <n v="29974"/>
    <d v="2025-04-27T00:00:00"/>
    <n v="2546"/>
    <n v="32520"/>
    <n v="0"/>
  </r>
  <r>
    <x v="1815"/>
    <s v="BR005"/>
    <n v="30"/>
    <s v="M"/>
    <s v="6-10L"/>
    <s v="online"/>
    <x v="1"/>
    <s v="complete"/>
    <d v="2021-10-05T00:00:00"/>
    <n v="25549"/>
    <d v="2025-06-28T00:00:00"/>
    <n v="9323"/>
    <n v="34872"/>
    <n v="0"/>
  </r>
  <r>
    <x v="1816"/>
    <s v="BR011"/>
    <n v="34"/>
    <s v="F"/>
    <s v="3-6L"/>
    <s v="online"/>
    <x v="0"/>
    <s v="complete"/>
    <d v="2021-09-15T00:00:00"/>
    <n v="7038"/>
    <d v="2025-04-01T00:00:00"/>
    <n v="-6240"/>
    <n v="798"/>
    <n v="0"/>
  </r>
  <r>
    <x v="1817"/>
    <s v="BR008"/>
    <n v="67"/>
    <s v="F"/>
    <s v="3-6L"/>
    <s v="online"/>
    <x v="0"/>
    <s v="complete"/>
    <d v="2024-03-29T00:00:00"/>
    <n v="5027"/>
    <d v="2025-07-26T00:00:00"/>
    <n v="28953"/>
    <n v="33980"/>
    <n v="0"/>
  </r>
  <r>
    <x v="1818"/>
    <s v="BR013"/>
    <n v="57"/>
    <s v="M"/>
    <s v="6-10L"/>
    <s v="branch"/>
    <x v="0"/>
    <s v="complete"/>
    <d v="2025-06-19T00:00:00"/>
    <n v="3408"/>
    <d v="2025-07-28T00:00:00"/>
    <n v="18948"/>
    <n v="22356"/>
    <n v="0"/>
  </r>
  <r>
    <x v="1819"/>
    <s v="BR011"/>
    <n v="62"/>
    <s v="F"/>
    <s v="6-10L"/>
    <s v="online"/>
    <x v="0"/>
    <s v="complete"/>
    <d v="2022-01-25T00:00:00"/>
    <n v="13059"/>
    <d v="2025-06-02T00:00:00"/>
    <n v="27885"/>
    <n v="40944"/>
    <n v="0"/>
  </r>
  <r>
    <x v="1820"/>
    <s v="BR017"/>
    <n v="49"/>
    <s v="F"/>
    <s v="6-10L"/>
    <s v="online"/>
    <x v="0"/>
    <s v="complete"/>
    <d v="2024-07-17T00:00:00"/>
    <n v="15537"/>
    <d v="2025-07-30T00:00:00"/>
    <n v="9261"/>
    <n v="24798"/>
    <n v="0"/>
  </r>
  <r>
    <x v="1821"/>
    <s v="BR015"/>
    <n v="46"/>
    <s v="F"/>
    <s v="3-6L"/>
    <s v="online"/>
    <x v="0"/>
    <s v="complete"/>
    <d v="2021-05-27T00:00:00"/>
    <n v="27145"/>
    <d v="2025-06-27T00:00:00"/>
    <n v="35571"/>
    <n v="62716"/>
    <n v="0"/>
  </r>
  <r>
    <x v="1822"/>
    <s v="BR001"/>
    <n v="68"/>
    <s v="M"/>
    <s v="6-10L"/>
    <s v="online"/>
    <x v="1"/>
    <s v="complete"/>
    <d v="2022-10-01T00:00:00"/>
    <n v="11510"/>
    <d v="2025-06-11T00:00:00"/>
    <n v="15376"/>
    <n v="26886"/>
    <n v="0"/>
  </r>
  <r>
    <x v="1823"/>
    <s v="BR019"/>
    <n v="20"/>
    <s v="F"/>
    <s v="&lt;3L"/>
    <s v="branch"/>
    <x v="0"/>
    <s v="complete"/>
    <d v="2023-04-28T00:00:00"/>
    <n v="11174"/>
    <d v="2025-07-19T00:00:00"/>
    <n v="21658"/>
    <n v="32832"/>
    <n v="0"/>
  </r>
  <r>
    <x v="1824"/>
    <s v="BR016"/>
    <n v="57"/>
    <s v="F"/>
    <s v="&lt;3L"/>
    <s v="online"/>
    <x v="1"/>
    <s v="complete"/>
    <d v="2022-03-26T00:00:00"/>
    <n v="10112"/>
    <d v="2025-07-11T00:00:00"/>
    <n v="14533"/>
    <n v="24645"/>
    <n v="0"/>
  </r>
  <r>
    <x v="1825"/>
    <s v="BR019"/>
    <n v="51"/>
    <s v="F"/>
    <s v="3-6L"/>
    <s v="online"/>
    <x v="0"/>
    <s v="complete"/>
    <d v="2023-06-05T00:00:00"/>
    <n v="15564"/>
    <d v="2025-07-23T00:00:00"/>
    <n v="33313"/>
    <n v="48877"/>
    <n v="0"/>
  </r>
  <r>
    <x v="1826"/>
    <s v="BR013"/>
    <n v="57"/>
    <s v="F"/>
    <s v="&lt;3L"/>
    <s v="online"/>
    <x v="0"/>
    <s v="pending"/>
    <d v="2025-01-16T00:00:00"/>
    <n v="11688"/>
    <d v="2025-07-06T00:00:00"/>
    <n v="15941"/>
    <n v="27629"/>
    <n v="0"/>
  </r>
  <r>
    <x v="1827"/>
    <s v="BR004"/>
    <n v="44"/>
    <s v="F"/>
    <s v="3-6L"/>
    <s v="branch"/>
    <x v="0"/>
    <s v="pending"/>
    <d v="2025-04-30T00:00:00"/>
    <n v="34169"/>
    <d v="2025-07-24T00:00:00"/>
    <n v="6488"/>
    <n v="40657"/>
    <n v="0"/>
  </r>
  <r>
    <x v="1828"/>
    <s v="BR011"/>
    <n v="30"/>
    <s v="M"/>
    <s v="6-10L"/>
    <s v="online"/>
    <x v="0"/>
    <s v="complete"/>
    <d v="2021-06-18T00:00:00"/>
    <n v="18230"/>
    <d v="2025-05-19T00:00:00"/>
    <n v="3900"/>
    <n v="22130"/>
    <n v="0"/>
  </r>
  <r>
    <x v="1829"/>
    <s v="BR018"/>
    <n v="62"/>
    <s v="M"/>
    <s v="3-6L"/>
    <s v="branch"/>
    <x v="0"/>
    <s v="complete"/>
    <d v="2022-03-31T00:00:00"/>
    <n v="14883"/>
    <d v="2025-06-29T00:00:00"/>
    <n v="-12717"/>
    <n v="2166"/>
    <n v="0"/>
  </r>
  <r>
    <x v="1830"/>
    <s v="BR018"/>
    <n v="50"/>
    <s v="M"/>
    <s v="&lt;3L"/>
    <s v="online"/>
    <x v="0"/>
    <s v="complete"/>
    <d v="2025-06-27T00:00:00"/>
    <n v="12814"/>
    <d v="2025-07-30T00:00:00"/>
    <n v="8793"/>
    <n v="21607"/>
    <n v="0"/>
  </r>
  <r>
    <x v="1831"/>
    <s v="BR010"/>
    <n v="23"/>
    <s v="M"/>
    <s v="3-6L"/>
    <s v="branch"/>
    <x v="0"/>
    <s v="complete"/>
    <d v="2022-03-29T00:00:00"/>
    <n v="5209"/>
    <d v="2025-07-19T00:00:00"/>
    <n v="8842"/>
    <n v="14051"/>
    <n v="0"/>
  </r>
  <r>
    <x v="1832"/>
    <s v="BR017"/>
    <n v="41"/>
    <s v="M"/>
    <s v="3-6L"/>
    <s v="branch"/>
    <x v="0"/>
    <s v="complete"/>
    <d v="2024-03-04T00:00:00"/>
    <n v="13351"/>
    <d v="2025-07-30T00:00:00"/>
    <n v="-940"/>
    <n v="12411"/>
    <n v="0"/>
  </r>
  <r>
    <x v="1833"/>
    <s v="BR013"/>
    <n v="36"/>
    <s v="F"/>
    <s v="3-6L"/>
    <s v="online"/>
    <x v="1"/>
    <s v="complete"/>
    <d v="2022-03-01T00:00:00"/>
    <n v="6999"/>
    <d v="2025-05-27T00:00:00"/>
    <n v="-7606"/>
    <n v="-607"/>
    <n v="0"/>
  </r>
  <r>
    <x v="1834"/>
    <s v="BR014"/>
    <n v="33"/>
    <s v="M"/>
    <s v="6-10L"/>
    <s v="online"/>
    <x v="0"/>
    <s v="complete"/>
    <d v="2022-08-20T00:00:00"/>
    <n v="18893"/>
    <d v="2025-07-30T00:00:00"/>
    <n v="31886"/>
    <n v="50779"/>
    <n v="0"/>
  </r>
  <r>
    <x v="1835"/>
    <s v="BR007"/>
    <n v="57"/>
    <s v="F"/>
    <s v="6-10L"/>
    <s v="online"/>
    <x v="0"/>
    <s v="complete"/>
    <d v="2021-11-17T00:00:00"/>
    <n v="10842"/>
    <d v="2025-01-10T00:00:00"/>
    <n v="6969"/>
    <n v="17811"/>
    <n v="1"/>
  </r>
  <r>
    <x v="1836"/>
    <s v="BR010"/>
    <n v="45"/>
    <s v="M"/>
    <s v="3-6L"/>
    <s v="online"/>
    <x v="0"/>
    <s v="complete"/>
    <d v="2024-12-03T00:00:00"/>
    <n v="70567"/>
    <d v="2025-07-28T00:00:00"/>
    <n v="14533"/>
    <n v="85100"/>
    <n v="0"/>
  </r>
  <r>
    <x v="1837"/>
    <s v="BR003"/>
    <n v="50"/>
    <s v="F"/>
    <s v="6-10L"/>
    <s v="online"/>
    <x v="0"/>
    <s v="complete"/>
    <d v="2025-01-16T00:00:00"/>
    <n v="3782"/>
    <d v="2025-07-28T00:00:00"/>
    <n v="18036"/>
    <n v="21818"/>
    <n v="0"/>
  </r>
  <r>
    <x v="1838"/>
    <s v="BR002"/>
    <n v="65"/>
    <s v="F"/>
    <s v="&lt;3L"/>
    <s v="online"/>
    <x v="0"/>
    <s v="complete"/>
    <d v="2022-05-12T00:00:00"/>
    <n v="602"/>
    <d v="2025-06-28T00:00:00"/>
    <n v="289"/>
    <n v="891"/>
    <n v="0"/>
  </r>
  <r>
    <x v="1839"/>
    <s v="BR019"/>
    <n v="58"/>
    <s v="M"/>
    <s v="3-6L"/>
    <s v="online"/>
    <x v="0"/>
    <s v="complete"/>
    <d v="2024-10-09T00:00:00"/>
    <n v="17460"/>
    <d v="2025-07-31T00:00:00"/>
    <n v="-1946"/>
    <n v="15514"/>
    <n v="0"/>
  </r>
  <r>
    <x v="1840"/>
    <s v="BR007"/>
    <n v="30"/>
    <s v="M"/>
    <s v="6-10L"/>
    <s v="online"/>
    <x v="0"/>
    <s v="complete"/>
    <d v="2022-08-23T00:00:00"/>
    <n v="7022"/>
    <d v="2025-06-08T00:00:00"/>
    <n v="5246"/>
    <n v="12268"/>
    <n v="0"/>
  </r>
  <r>
    <x v="1841"/>
    <s v="BR005"/>
    <n v="60"/>
    <s v="F"/>
    <s v="3-6L"/>
    <s v="online"/>
    <x v="1"/>
    <s v="complete"/>
    <d v="2021-06-15T00:00:00"/>
    <n v="15694"/>
    <d v="2025-05-31T00:00:00"/>
    <n v="12132"/>
    <n v="27826"/>
    <n v="0"/>
  </r>
  <r>
    <x v="1842"/>
    <s v="BR003"/>
    <n v="62"/>
    <s v="M"/>
    <s v="&gt;10L"/>
    <s v="online"/>
    <x v="0"/>
    <s v="complete"/>
    <d v="2024-06-22T00:00:00"/>
    <n v="3883"/>
    <d v="2025-07-18T00:00:00"/>
    <n v="-1300"/>
    <n v="2583"/>
    <n v="0"/>
  </r>
  <r>
    <x v="1843"/>
    <s v="BR002"/>
    <n v="42"/>
    <s v="F"/>
    <s v="3-6L"/>
    <s v="online"/>
    <x v="0"/>
    <s v="complete"/>
    <d v="2023-09-25T00:00:00"/>
    <n v="90126"/>
    <d v="2025-07-16T00:00:00"/>
    <n v="15938"/>
    <n v="106064"/>
    <n v="0"/>
  </r>
  <r>
    <x v="1844"/>
    <s v="BR006"/>
    <n v="59"/>
    <s v="F"/>
    <s v="6-10L"/>
    <s v="branch"/>
    <x v="0"/>
    <s v="complete"/>
    <d v="2022-04-05T00:00:00"/>
    <n v="9077"/>
    <d v="2025-07-06T00:00:00"/>
    <n v="35755"/>
    <n v="44832"/>
    <n v="0"/>
  </r>
  <r>
    <x v="1845"/>
    <s v="BR014"/>
    <n v="53"/>
    <s v="F"/>
    <s v="3-6L"/>
    <s v="online"/>
    <x v="0"/>
    <s v="complete"/>
    <d v="2022-02-28T00:00:00"/>
    <n v="6582"/>
    <d v="2025-07-09T00:00:00"/>
    <n v="17361"/>
    <n v="23943"/>
    <n v="0"/>
  </r>
  <r>
    <x v="1846"/>
    <s v="BR007"/>
    <n v="44"/>
    <s v="M"/>
    <s v="3-6L"/>
    <s v="branch"/>
    <x v="0"/>
    <s v="complete"/>
    <d v="2025-06-21T00:00:00"/>
    <n v="88476"/>
    <d v="2025-07-29T00:00:00"/>
    <n v="21442"/>
    <n v="109918"/>
    <n v="0"/>
  </r>
  <r>
    <x v="1847"/>
    <s v="BR002"/>
    <n v="55"/>
    <s v="F"/>
    <s v="3-6L"/>
    <s v="online"/>
    <x v="0"/>
    <s v="complete"/>
    <d v="2024-12-13T00:00:00"/>
    <n v="30957"/>
    <d v="2025-07-31T00:00:00"/>
    <n v="20899"/>
    <n v="51856"/>
    <n v="0"/>
  </r>
  <r>
    <x v="1848"/>
    <s v="BR011"/>
    <n v="24"/>
    <s v="F"/>
    <s v="6-10L"/>
    <s v="online"/>
    <x v="1"/>
    <s v="complete"/>
    <d v="2024-09-16T00:00:00"/>
    <n v="53611"/>
    <d v="2025-07-04T00:00:00"/>
    <n v="-11960"/>
    <n v="41651"/>
    <n v="0"/>
  </r>
  <r>
    <x v="1849"/>
    <s v="BR003"/>
    <n v="22"/>
    <s v="F"/>
    <s v="3-6L"/>
    <s v="online"/>
    <x v="0"/>
    <s v="complete"/>
    <d v="2021-08-03T00:00:00"/>
    <n v="11247"/>
    <d v="2025-07-29T00:00:00"/>
    <n v="12599"/>
    <n v="23846"/>
    <n v="0"/>
  </r>
  <r>
    <x v="1850"/>
    <s v="BR009"/>
    <n v="60"/>
    <s v="M"/>
    <s v="&gt;10L"/>
    <s v="online"/>
    <x v="0"/>
    <s v="pending"/>
    <d v="2024-06-17T00:00:00"/>
    <n v="14001"/>
    <d v="2025-07-05T00:00:00"/>
    <n v="22809"/>
    <n v="36810"/>
    <n v="0"/>
  </r>
  <r>
    <x v="1851"/>
    <s v="BR008"/>
    <n v="62"/>
    <s v="F"/>
    <s v="3-6L"/>
    <s v="branch"/>
    <x v="1"/>
    <s v="complete"/>
    <d v="2021-12-25T00:00:00"/>
    <n v="7356"/>
    <d v="2025-07-21T00:00:00"/>
    <n v="9021"/>
    <n v="16377"/>
    <n v="0"/>
  </r>
  <r>
    <x v="1852"/>
    <s v="BR011"/>
    <n v="68"/>
    <s v="F"/>
    <s v="&lt;3L"/>
    <s v="branch"/>
    <x v="0"/>
    <s v="complete"/>
    <d v="2025-06-24T00:00:00"/>
    <n v="6545"/>
    <d v="2025-07-31T00:00:00"/>
    <n v="6898"/>
    <n v="13443"/>
    <n v="0"/>
  </r>
  <r>
    <x v="1853"/>
    <s v="BR018"/>
    <n v="48"/>
    <s v="F"/>
    <s v="3-6L"/>
    <s v="online"/>
    <x v="0"/>
    <s v="complete"/>
    <d v="2021-03-29T00:00:00"/>
    <n v="19895"/>
    <d v="2025-05-25T00:00:00"/>
    <n v="6452"/>
    <n v="26347"/>
    <n v="0"/>
  </r>
  <r>
    <x v="1854"/>
    <s v="BR001"/>
    <n v="40"/>
    <s v="M"/>
    <s v="3-6L"/>
    <s v="branch"/>
    <x v="0"/>
    <s v="pending"/>
    <d v="2022-08-13T00:00:00"/>
    <n v="9242"/>
    <d v="2025-07-15T00:00:00"/>
    <n v="2293"/>
    <n v="11535"/>
    <n v="0"/>
  </r>
  <r>
    <x v="1855"/>
    <s v="BR015"/>
    <n v="59"/>
    <s v="F"/>
    <s v="6-10L"/>
    <s v="online"/>
    <x v="0"/>
    <s v="complete"/>
    <d v="2022-12-19T00:00:00"/>
    <n v="123108"/>
    <d v="2025-07-22T00:00:00"/>
    <n v="18105"/>
    <n v="141213"/>
    <n v="0"/>
  </r>
  <r>
    <x v="1856"/>
    <s v="BR004"/>
    <n v="27"/>
    <s v="M"/>
    <s v="3-6L"/>
    <s v="branch"/>
    <x v="0"/>
    <s v="complete"/>
    <d v="2024-10-10T00:00:00"/>
    <n v="31024"/>
    <d v="2025-07-31T00:00:00"/>
    <n v="1626"/>
    <n v="32650"/>
    <n v="0"/>
  </r>
  <r>
    <x v="1857"/>
    <s v="BR004"/>
    <n v="49"/>
    <s v="F"/>
    <s v="6-10L"/>
    <s v="branch"/>
    <x v="0"/>
    <s v="complete"/>
    <d v="2024-07-05T00:00:00"/>
    <n v="87839"/>
    <d v="2025-07-28T00:00:00"/>
    <n v="1944"/>
    <n v="89783"/>
    <n v="0"/>
  </r>
  <r>
    <x v="1858"/>
    <s v="BR010"/>
    <n v="60"/>
    <s v="F"/>
    <s v="3-6L"/>
    <s v="online"/>
    <x v="0"/>
    <s v="pending"/>
    <d v="2022-09-20T00:00:00"/>
    <n v="1438"/>
    <d v="2025-06-03T00:00:00"/>
    <n v="-7050"/>
    <n v="-5612"/>
    <n v="0"/>
  </r>
  <r>
    <x v="1859"/>
    <s v="BR011"/>
    <n v="47"/>
    <s v="F"/>
    <s v="3-6L"/>
    <s v="online"/>
    <x v="0"/>
    <s v="complete"/>
    <d v="2023-08-05T00:00:00"/>
    <n v="88914"/>
    <d v="2025-07-20T00:00:00"/>
    <n v="21434"/>
    <n v="110348"/>
    <n v="0"/>
  </r>
  <r>
    <x v="1860"/>
    <s v="BR018"/>
    <n v="56"/>
    <s v="F"/>
    <s v="6-10L"/>
    <s v="online"/>
    <x v="1"/>
    <s v="complete"/>
    <d v="2024-10-29T00:00:00"/>
    <n v="1230"/>
    <d v="2025-07-30T00:00:00"/>
    <n v="17525"/>
    <n v="18755"/>
    <n v="0"/>
  </r>
  <r>
    <x v="1861"/>
    <s v="BR015"/>
    <n v="48"/>
    <s v="M"/>
    <s v="&lt;3L"/>
    <s v="branch"/>
    <x v="0"/>
    <s v="complete"/>
    <d v="2021-01-31T00:00:00"/>
    <n v="3786"/>
    <d v="2025-05-22T00:00:00"/>
    <n v="10944"/>
    <n v="14730"/>
    <n v="0"/>
  </r>
  <r>
    <x v="1862"/>
    <s v="BR003"/>
    <n v="35"/>
    <s v="O"/>
    <s v="3-6L"/>
    <s v="online"/>
    <x v="0"/>
    <s v="complete"/>
    <d v="2024-09-04T00:00:00"/>
    <n v="2315"/>
    <d v="2025-07-23T00:00:00"/>
    <n v="-3840"/>
    <n v="-1525"/>
    <n v="0"/>
  </r>
  <r>
    <x v="1863"/>
    <s v="BR007"/>
    <n v="53"/>
    <s v="M"/>
    <s v="&gt;10L"/>
    <s v="branch"/>
    <x v="0"/>
    <s v="complete"/>
    <d v="2025-05-04T00:00:00"/>
    <n v="17035"/>
    <d v="2025-07-24T00:00:00"/>
    <n v="14344"/>
    <n v="31379"/>
    <n v="0"/>
  </r>
  <r>
    <x v="1864"/>
    <s v="BR007"/>
    <n v="19"/>
    <s v="F"/>
    <s v="6-10L"/>
    <s v="branch"/>
    <x v="0"/>
    <s v="complete"/>
    <d v="2021-02-23T00:00:00"/>
    <n v="13119"/>
    <d v="2025-05-30T00:00:00"/>
    <n v="-2014"/>
    <n v="11105"/>
    <n v="0"/>
  </r>
  <r>
    <x v="1865"/>
    <s v="BR017"/>
    <n v="31"/>
    <s v="F"/>
    <s v="3-6L"/>
    <s v="online"/>
    <x v="0"/>
    <s v="complete"/>
    <d v="2021-03-18T00:00:00"/>
    <n v="29582"/>
    <d v="2025-02-21T00:00:00"/>
    <n v="-4626"/>
    <n v="24956"/>
    <n v="0"/>
  </r>
  <r>
    <x v="1866"/>
    <s v="BR020"/>
    <n v="30"/>
    <s v="F"/>
    <s v="3-6L"/>
    <s v="online"/>
    <x v="0"/>
    <s v="complete"/>
    <d v="2022-07-31T00:00:00"/>
    <n v="12229"/>
    <d v="2025-05-14T00:00:00"/>
    <n v="3610"/>
    <n v="15839"/>
    <n v="0"/>
  </r>
  <r>
    <x v="1867"/>
    <s v="BR016"/>
    <n v="46"/>
    <s v="M"/>
    <s v="3-6L"/>
    <s v="branch"/>
    <x v="0"/>
    <s v="pending"/>
    <d v="2021-05-27T00:00:00"/>
    <n v="45483"/>
    <d v="2025-07-05T00:00:00"/>
    <n v="31637"/>
    <n v="77120"/>
    <n v="0"/>
  </r>
  <r>
    <x v="1868"/>
    <s v="BR016"/>
    <n v="29"/>
    <s v="F"/>
    <s v="3-6L"/>
    <s v="online"/>
    <x v="0"/>
    <s v="complete"/>
    <d v="2023-03-13T00:00:00"/>
    <n v="5257"/>
    <d v="2025-07-31T00:00:00"/>
    <n v="-406"/>
    <n v="4851"/>
    <n v="0"/>
  </r>
  <r>
    <x v="1869"/>
    <s v="BR008"/>
    <n v="56"/>
    <s v="F"/>
    <s v="6-10L"/>
    <s v="branch"/>
    <x v="0"/>
    <s v="complete"/>
    <d v="2024-05-04T00:00:00"/>
    <n v="46544"/>
    <d v="2025-07-31T00:00:00"/>
    <n v="8790"/>
    <n v="55334"/>
    <n v="0"/>
  </r>
  <r>
    <x v="1870"/>
    <s v="BR003"/>
    <n v="19"/>
    <s v="M"/>
    <s v="6-10L"/>
    <s v="online"/>
    <x v="0"/>
    <s v="complete"/>
    <d v="2023-08-07T00:00:00"/>
    <n v="12955"/>
    <d v="2025-07-24T00:00:00"/>
    <n v="-8365"/>
    <n v="4590"/>
    <n v="0"/>
  </r>
  <r>
    <x v="1871"/>
    <s v="BR020"/>
    <n v="49"/>
    <s v="F"/>
    <s v="3-6L"/>
    <s v="online"/>
    <x v="0"/>
    <s v="complete"/>
    <d v="2021-11-25T00:00:00"/>
    <n v="140908"/>
    <d v="2025-06-16T00:00:00"/>
    <n v="4467"/>
    <n v="145375"/>
    <n v="0"/>
  </r>
  <r>
    <x v="1872"/>
    <s v="BR015"/>
    <n v="30"/>
    <s v="M"/>
    <s v="&lt;3L"/>
    <s v="online"/>
    <x v="0"/>
    <s v="complete"/>
    <d v="2024-01-01T00:00:00"/>
    <n v="31949"/>
    <d v="2025-03-09T00:00:00"/>
    <n v="3872"/>
    <n v="35821"/>
    <n v="0"/>
  </r>
  <r>
    <x v="1873"/>
    <s v="BR001"/>
    <n v="63"/>
    <s v="M"/>
    <s v="3-6L"/>
    <s v="branch"/>
    <x v="0"/>
    <s v="complete"/>
    <d v="2024-02-20T00:00:00"/>
    <n v="9861"/>
    <d v="2025-07-12T00:00:00"/>
    <n v="3772"/>
    <n v="13633"/>
    <n v="0"/>
  </r>
  <r>
    <x v="1874"/>
    <s v="BR010"/>
    <n v="44"/>
    <s v="M"/>
    <s v="&lt;3L"/>
    <s v="online"/>
    <x v="0"/>
    <s v="complete"/>
    <d v="2025-04-09T00:00:00"/>
    <n v="12912"/>
    <d v="2025-07-25T00:00:00"/>
    <n v="-442"/>
    <n v="12470"/>
    <n v="0"/>
  </r>
  <r>
    <x v="1875"/>
    <s v="BR002"/>
    <n v="66"/>
    <s v="M"/>
    <s v="&lt;3L"/>
    <s v="branch"/>
    <x v="0"/>
    <s v="pending"/>
    <d v="2021-09-03T00:00:00"/>
    <n v="4870"/>
    <d v="2025-07-10T00:00:00"/>
    <n v="10909"/>
    <n v="15779"/>
    <n v="0"/>
  </r>
  <r>
    <x v="1876"/>
    <s v="BR007"/>
    <n v="58"/>
    <s v="F"/>
    <s v="3-6L"/>
    <s v="online"/>
    <x v="0"/>
    <s v="complete"/>
    <d v="2024-03-04T00:00:00"/>
    <n v="19137"/>
    <d v="2025-06-12T00:00:00"/>
    <n v="1359"/>
    <n v="20496"/>
    <n v="0"/>
  </r>
  <r>
    <x v="1877"/>
    <s v="BR014"/>
    <n v="34"/>
    <s v="M"/>
    <s v="&lt;3L"/>
    <s v="branch"/>
    <x v="1"/>
    <s v="complete"/>
    <d v="2025-03-05T00:00:00"/>
    <n v="9856"/>
    <d v="2025-07-27T00:00:00"/>
    <n v="27299"/>
    <n v="37155"/>
    <n v="0"/>
  </r>
  <r>
    <x v="1878"/>
    <s v="BR016"/>
    <n v="57"/>
    <s v="M"/>
    <s v="&lt;3L"/>
    <s v="online"/>
    <x v="1"/>
    <s v="complete"/>
    <d v="2023-04-20T00:00:00"/>
    <n v="27561"/>
    <d v="2025-07-12T00:00:00"/>
    <n v="26284"/>
    <n v="53845"/>
    <n v="0"/>
  </r>
  <r>
    <x v="1879"/>
    <s v="BR015"/>
    <n v="48"/>
    <s v="M"/>
    <s v="3-6L"/>
    <s v="online"/>
    <x v="1"/>
    <s v="complete"/>
    <d v="2022-08-29T00:00:00"/>
    <n v="3505"/>
    <d v="2025-07-31T00:00:00"/>
    <n v="18399"/>
    <n v="21904"/>
    <n v="0"/>
  </r>
  <r>
    <x v="1880"/>
    <s v="BR007"/>
    <n v="51"/>
    <s v="F"/>
    <s v="&lt;3L"/>
    <s v="branch"/>
    <x v="0"/>
    <s v="complete"/>
    <d v="2021-10-13T00:00:00"/>
    <n v="9608"/>
    <d v="2025-05-28T00:00:00"/>
    <n v="28199"/>
    <n v="37807"/>
    <n v="0"/>
  </r>
  <r>
    <x v="1881"/>
    <s v="BR013"/>
    <n v="41"/>
    <s v="F"/>
    <s v="&lt;3L"/>
    <s v="online"/>
    <x v="0"/>
    <s v="complete"/>
    <d v="2024-12-21T00:00:00"/>
    <n v="4190"/>
    <d v="2025-07-21T00:00:00"/>
    <n v="5526"/>
    <n v="9716"/>
    <n v="0"/>
  </r>
  <r>
    <x v="1882"/>
    <s v="BR010"/>
    <n v="62"/>
    <s v="M"/>
    <s v="3-6L"/>
    <s v="online"/>
    <x v="0"/>
    <s v="complete"/>
    <d v="2022-10-22T00:00:00"/>
    <n v="4459"/>
    <d v="2025-07-02T00:00:00"/>
    <n v="19627"/>
    <n v="24086"/>
    <n v="0"/>
  </r>
  <r>
    <x v="1883"/>
    <s v="BR009"/>
    <n v="52"/>
    <s v="M"/>
    <s v="&lt;3L"/>
    <s v="online"/>
    <x v="1"/>
    <s v="complete"/>
    <d v="2025-03-28T00:00:00"/>
    <n v="24491"/>
    <d v="2025-07-26T00:00:00"/>
    <n v="13222"/>
    <n v="37713"/>
    <n v="0"/>
  </r>
  <r>
    <x v="1884"/>
    <s v="BR009"/>
    <n v="65"/>
    <s v="F"/>
    <s v="3-6L"/>
    <s v="branch"/>
    <x v="0"/>
    <s v="complete"/>
    <d v="2024-11-19T00:00:00"/>
    <n v="41131"/>
    <d v="2025-07-27T00:00:00"/>
    <n v="16708"/>
    <n v="57839"/>
    <n v="0"/>
  </r>
  <r>
    <x v="1885"/>
    <s v="BR006"/>
    <n v="23"/>
    <s v="M"/>
    <s v="&lt;3L"/>
    <s v="branch"/>
    <x v="0"/>
    <s v="complete"/>
    <d v="2022-09-23T00:00:00"/>
    <n v="1297"/>
    <d v="2025-06-23T00:00:00"/>
    <n v="8220"/>
    <n v="9517"/>
    <n v="0"/>
  </r>
  <r>
    <x v="1886"/>
    <s v="BR012"/>
    <n v="36"/>
    <s v="F"/>
    <s v="6-10L"/>
    <s v="online"/>
    <x v="0"/>
    <s v="complete"/>
    <d v="2023-08-19T00:00:00"/>
    <n v="85980"/>
    <d v="2025-07-19T00:00:00"/>
    <n v="22679"/>
    <n v="108659"/>
    <n v="0"/>
  </r>
  <r>
    <x v="1887"/>
    <s v="BR020"/>
    <n v="47"/>
    <s v="M"/>
    <s v="&gt;10L"/>
    <s v="online"/>
    <x v="0"/>
    <s v="complete"/>
    <d v="2021-02-15T00:00:00"/>
    <n v="54398"/>
    <d v="2025-06-24T00:00:00"/>
    <n v="19613"/>
    <n v="74011"/>
    <n v="0"/>
  </r>
  <r>
    <x v="1888"/>
    <s v="BR020"/>
    <n v="24"/>
    <s v="F"/>
    <s v="6-10L"/>
    <s v="branch"/>
    <x v="0"/>
    <s v="complete"/>
    <d v="2022-03-17T00:00:00"/>
    <n v="3475"/>
    <d v="2025-07-12T00:00:00"/>
    <n v="24816"/>
    <n v="28291"/>
    <n v="0"/>
  </r>
  <r>
    <x v="1889"/>
    <s v="BR014"/>
    <n v="27"/>
    <s v="M"/>
    <s v="3-6L"/>
    <s v="online"/>
    <x v="0"/>
    <s v="complete"/>
    <d v="2024-04-03T00:00:00"/>
    <n v="30542"/>
    <d v="2025-07-17T00:00:00"/>
    <n v="19485"/>
    <n v="50027"/>
    <n v="0"/>
  </r>
  <r>
    <x v="1890"/>
    <s v="BR020"/>
    <n v="58"/>
    <s v="F"/>
    <s v="6-10L"/>
    <s v="branch"/>
    <x v="0"/>
    <s v="complete"/>
    <d v="2024-02-09T00:00:00"/>
    <n v="8432"/>
    <d v="2025-07-26T00:00:00"/>
    <n v="12021"/>
    <n v="20453"/>
    <n v="0"/>
  </r>
  <r>
    <x v="1891"/>
    <s v="BR007"/>
    <n v="49"/>
    <s v="M"/>
    <s v="6-10L"/>
    <s v="online"/>
    <x v="0"/>
    <s v="complete"/>
    <d v="2022-08-15T00:00:00"/>
    <n v="12111"/>
    <d v="2025-07-29T00:00:00"/>
    <n v="12377"/>
    <n v="24488"/>
    <n v="0"/>
  </r>
  <r>
    <x v="1892"/>
    <s v="BR008"/>
    <n v="51"/>
    <s v="O"/>
    <s v="&lt;3L"/>
    <s v="branch"/>
    <x v="0"/>
    <s v="complete"/>
    <d v="2024-09-14T00:00:00"/>
    <n v="24393"/>
    <d v="2025-07-11T00:00:00"/>
    <n v="28863"/>
    <n v="53256"/>
    <n v="0"/>
  </r>
  <r>
    <x v="1893"/>
    <s v="BR008"/>
    <n v="45"/>
    <s v="M"/>
    <s v="3-6L"/>
    <s v="branch"/>
    <x v="0"/>
    <s v="complete"/>
    <d v="2022-01-30T00:00:00"/>
    <n v="21590"/>
    <d v="2025-03-07T00:00:00"/>
    <n v="24738"/>
    <n v="46328"/>
    <n v="0"/>
  </r>
  <r>
    <x v="1894"/>
    <s v="BR008"/>
    <n v="32"/>
    <s v="F"/>
    <s v="6-10L"/>
    <s v="branch"/>
    <x v="1"/>
    <s v="complete"/>
    <d v="2023-02-11T00:00:00"/>
    <n v="7533"/>
    <d v="2025-07-04T00:00:00"/>
    <n v="25888"/>
    <n v="33421"/>
    <n v="0"/>
  </r>
  <r>
    <x v="1895"/>
    <s v="BR002"/>
    <n v="47"/>
    <s v="M"/>
    <s v="3-6L"/>
    <s v="branch"/>
    <x v="0"/>
    <s v="complete"/>
    <d v="2023-03-02T00:00:00"/>
    <n v="7501"/>
    <d v="2025-06-27T00:00:00"/>
    <n v="3938"/>
    <n v="11439"/>
    <n v="0"/>
  </r>
  <r>
    <x v="1896"/>
    <s v="BR014"/>
    <n v="54"/>
    <s v="M"/>
    <s v="&lt;3L"/>
    <s v="online"/>
    <x v="0"/>
    <s v="complete"/>
    <d v="2022-07-25T00:00:00"/>
    <n v="7957"/>
    <d v="2025-06-06T00:00:00"/>
    <n v="6629"/>
    <n v="14586"/>
    <n v="0"/>
  </r>
  <r>
    <x v="1897"/>
    <s v="BR010"/>
    <n v="46"/>
    <s v="F"/>
    <s v="6-10L"/>
    <s v="online"/>
    <x v="0"/>
    <s v="complete"/>
    <d v="2025-05-17T00:00:00"/>
    <n v="41891"/>
    <d v="2025-07-27T00:00:00"/>
    <n v="26022"/>
    <n v="67913"/>
    <n v="0"/>
  </r>
  <r>
    <x v="1898"/>
    <s v="BR018"/>
    <n v="39"/>
    <s v="M"/>
    <s v="6-10L"/>
    <s v="online"/>
    <x v="0"/>
    <s v="complete"/>
    <d v="2024-03-11T00:00:00"/>
    <n v="2076"/>
    <d v="2025-07-27T00:00:00"/>
    <n v="7126"/>
    <n v="9202"/>
    <n v="0"/>
  </r>
  <r>
    <x v="1899"/>
    <s v="BR018"/>
    <n v="21"/>
    <s v="F"/>
    <s v="&lt;3L"/>
    <s v="branch"/>
    <x v="0"/>
    <s v="complete"/>
    <d v="2023-06-22T00:00:00"/>
    <n v="11363"/>
    <d v="2025-06-25T00:00:00"/>
    <n v="-5657"/>
    <n v="5706"/>
    <n v="0"/>
  </r>
  <r>
    <x v="1900"/>
    <s v="BR018"/>
    <n v="37"/>
    <s v="F"/>
    <s v="3-6L"/>
    <s v="branch"/>
    <x v="0"/>
    <s v="complete"/>
    <d v="2023-05-05T00:00:00"/>
    <n v="64379"/>
    <d v="2025-05-02T00:00:00"/>
    <n v="5143"/>
    <n v="69522"/>
    <n v="0"/>
  </r>
  <r>
    <x v="1901"/>
    <s v="BR016"/>
    <n v="49"/>
    <s v="F"/>
    <s v="&lt;3L"/>
    <s v="branch"/>
    <x v="0"/>
    <s v="complete"/>
    <d v="2021-09-24T00:00:00"/>
    <n v="27003"/>
    <d v="2025-05-06T00:00:00"/>
    <n v="12267"/>
    <n v="39270"/>
    <n v="0"/>
  </r>
  <r>
    <x v="1902"/>
    <s v="BR020"/>
    <n v="53"/>
    <s v="M"/>
    <s v="6-10L"/>
    <s v="online"/>
    <x v="0"/>
    <s v="complete"/>
    <d v="2022-09-15T00:00:00"/>
    <n v="38214"/>
    <d v="2025-07-31T00:00:00"/>
    <n v="4958"/>
    <n v="43172"/>
    <n v="0"/>
  </r>
  <r>
    <x v="1903"/>
    <s v="BR005"/>
    <n v="67"/>
    <s v="F"/>
    <s v="3-6L"/>
    <s v="online"/>
    <x v="0"/>
    <s v="complete"/>
    <d v="2024-01-31T00:00:00"/>
    <n v="11521"/>
    <d v="2025-05-18T00:00:00"/>
    <n v="19302"/>
    <n v="30823"/>
    <n v="0"/>
  </r>
  <r>
    <x v="1904"/>
    <s v="BR020"/>
    <n v="21"/>
    <s v="M"/>
    <s v="3-6L"/>
    <s v="online"/>
    <x v="0"/>
    <s v="complete"/>
    <d v="2025-03-27T00:00:00"/>
    <n v="4173"/>
    <d v="2025-07-22T00:00:00"/>
    <n v="12300"/>
    <n v="16473"/>
    <n v="0"/>
  </r>
  <r>
    <x v="1905"/>
    <s v="BR005"/>
    <n v="44"/>
    <s v="F"/>
    <s v="6-10L"/>
    <s v="branch"/>
    <x v="0"/>
    <s v="complete"/>
    <d v="2024-09-27T00:00:00"/>
    <n v="14125"/>
    <d v="2025-07-23T00:00:00"/>
    <n v="8857"/>
    <n v="22982"/>
    <n v="0"/>
  </r>
  <r>
    <x v="1906"/>
    <s v="BR020"/>
    <n v="34"/>
    <s v="F"/>
    <s v="3-6L"/>
    <s v="online"/>
    <x v="0"/>
    <s v="complete"/>
    <d v="2022-05-18T00:00:00"/>
    <n v="6708"/>
    <d v="2025-06-05T00:00:00"/>
    <n v="1288"/>
    <n v="7996"/>
    <n v="0"/>
  </r>
  <r>
    <x v="1907"/>
    <s v="BR010"/>
    <n v="29"/>
    <s v="F"/>
    <s v="6-10L"/>
    <s v="online"/>
    <x v="0"/>
    <s v="complete"/>
    <d v="2022-12-28T00:00:00"/>
    <n v="124329"/>
    <d v="2025-05-31T00:00:00"/>
    <n v="18137"/>
    <n v="142466"/>
    <n v="0"/>
  </r>
  <r>
    <x v="1908"/>
    <s v="BR017"/>
    <n v="39"/>
    <s v="F"/>
    <s v="3-6L"/>
    <s v="branch"/>
    <x v="0"/>
    <s v="complete"/>
    <d v="2021-05-19T00:00:00"/>
    <n v="11405"/>
    <d v="2025-07-27T00:00:00"/>
    <n v="8035"/>
    <n v="19440"/>
    <n v="0"/>
  </r>
  <r>
    <x v="1909"/>
    <s v="BR013"/>
    <n v="34"/>
    <s v="F"/>
    <s v="3-6L"/>
    <s v="online"/>
    <x v="0"/>
    <s v="complete"/>
    <d v="2021-06-20T00:00:00"/>
    <n v="25272"/>
    <d v="2025-07-12T00:00:00"/>
    <n v="2417"/>
    <n v="27689"/>
    <n v="0"/>
  </r>
  <r>
    <x v="1910"/>
    <s v="BR017"/>
    <n v="27"/>
    <s v="M"/>
    <s v="3-6L"/>
    <s v="online"/>
    <x v="0"/>
    <s v="complete"/>
    <d v="2023-02-26T00:00:00"/>
    <n v="73306"/>
    <d v="2025-06-11T00:00:00"/>
    <n v="17201"/>
    <n v="90507"/>
    <n v="0"/>
  </r>
  <r>
    <x v="1911"/>
    <s v="BR018"/>
    <n v="18"/>
    <s v="F"/>
    <s v="&lt;3L"/>
    <s v="online"/>
    <x v="0"/>
    <s v="complete"/>
    <d v="2023-06-07T00:00:00"/>
    <n v="4462"/>
    <d v="2025-06-27T00:00:00"/>
    <n v="-11386"/>
    <n v="-6924"/>
    <n v="0"/>
  </r>
  <r>
    <x v="1912"/>
    <s v="BR013"/>
    <n v="39"/>
    <s v="M"/>
    <s v="3-6L"/>
    <s v="branch"/>
    <x v="0"/>
    <s v="complete"/>
    <d v="2022-03-18T00:00:00"/>
    <n v="1367"/>
    <d v="2025-07-17T00:00:00"/>
    <n v="34923"/>
    <n v="36290"/>
    <n v="0"/>
  </r>
  <r>
    <x v="1913"/>
    <s v="BR017"/>
    <n v="43"/>
    <s v="F"/>
    <s v="&lt;3L"/>
    <s v="online"/>
    <x v="0"/>
    <s v="pending"/>
    <d v="2023-12-12T00:00:00"/>
    <n v="21808"/>
    <d v="2025-07-26T00:00:00"/>
    <n v="-6082"/>
    <n v="15726"/>
    <n v="0"/>
  </r>
  <r>
    <x v="1914"/>
    <s v="BR015"/>
    <n v="35"/>
    <s v="F"/>
    <s v="6-10L"/>
    <s v="branch"/>
    <x v="0"/>
    <s v="complete"/>
    <d v="2024-03-22T00:00:00"/>
    <n v="26326"/>
    <d v="2025-07-20T00:00:00"/>
    <n v="26986"/>
    <n v="53312"/>
    <n v="0"/>
  </r>
  <r>
    <x v="1915"/>
    <s v="BR012"/>
    <n v="67"/>
    <s v="F"/>
    <s v="&gt;10L"/>
    <s v="online"/>
    <x v="0"/>
    <s v="complete"/>
    <d v="2022-05-16T00:00:00"/>
    <n v="8830"/>
    <d v="2025-03-20T00:00:00"/>
    <n v="4607"/>
    <n v="13437"/>
    <n v="0"/>
  </r>
  <r>
    <x v="1916"/>
    <s v="BR010"/>
    <n v="31"/>
    <s v="M"/>
    <s v="&gt;10L"/>
    <s v="branch"/>
    <x v="1"/>
    <s v="complete"/>
    <d v="2024-06-22T00:00:00"/>
    <n v="4204"/>
    <d v="2025-07-21T00:00:00"/>
    <n v="5900"/>
    <n v="10104"/>
    <n v="0"/>
  </r>
  <r>
    <x v="1917"/>
    <s v="BR013"/>
    <n v="64"/>
    <s v="F"/>
    <s v="3-6L"/>
    <s v="online"/>
    <x v="0"/>
    <s v="complete"/>
    <d v="2021-12-10T00:00:00"/>
    <n v="18212"/>
    <d v="2025-02-28T00:00:00"/>
    <n v="-1309"/>
    <n v="16903"/>
    <n v="0"/>
  </r>
  <r>
    <x v="1918"/>
    <s v="BR011"/>
    <n v="46"/>
    <s v="M"/>
    <s v="3-6L"/>
    <s v="online"/>
    <x v="0"/>
    <s v="complete"/>
    <d v="2023-06-30T00:00:00"/>
    <n v="13046"/>
    <d v="2025-07-27T00:00:00"/>
    <n v="-19615"/>
    <n v="-6569"/>
    <n v="0"/>
  </r>
  <r>
    <x v="1919"/>
    <s v="BR003"/>
    <n v="29"/>
    <s v="F"/>
    <s v="3-6L"/>
    <s v="branch"/>
    <x v="0"/>
    <s v="complete"/>
    <d v="2024-09-07T00:00:00"/>
    <n v="18439"/>
    <d v="2025-07-23T00:00:00"/>
    <n v="13261"/>
    <n v="31700"/>
    <n v="0"/>
  </r>
  <r>
    <x v="1920"/>
    <s v="BR010"/>
    <n v="53"/>
    <s v="M"/>
    <s v="6-10L"/>
    <s v="branch"/>
    <x v="0"/>
    <s v="complete"/>
    <d v="2023-06-18T00:00:00"/>
    <n v="4303"/>
    <d v="2025-07-23T00:00:00"/>
    <n v="4268"/>
    <n v="8571"/>
    <n v="0"/>
  </r>
  <r>
    <x v="1921"/>
    <s v="BR011"/>
    <n v="52"/>
    <s v="M"/>
    <s v="&lt;3L"/>
    <s v="online"/>
    <x v="0"/>
    <s v="complete"/>
    <d v="2025-02-28T00:00:00"/>
    <n v="18486"/>
    <d v="2025-07-25T00:00:00"/>
    <n v="24697"/>
    <n v="43183"/>
    <n v="0"/>
  </r>
  <r>
    <x v="1922"/>
    <s v="BR006"/>
    <n v="69"/>
    <s v="M"/>
    <s v="&gt;10L"/>
    <s v="branch"/>
    <x v="0"/>
    <s v="complete"/>
    <d v="2021-04-08T00:00:00"/>
    <n v="30319"/>
    <d v="2025-02-23T00:00:00"/>
    <n v="-4152"/>
    <n v="26167"/>
    <n v="0"/>
  </r>
  <r>
    <x v="1923"/>
    <s v="BR001"/>
    <n v="29"/>
    <s v="F"/>
    <s v="3-6L"/>
    <s v="online"/>
    <x v="0"/>
    <s v="complete"/>
    <d v="2023-09-12T00:00:00"/>
    <n v="2963"/>
    <d v="2025-06-21T00:00:00"/>
    <n v="27000"/>
    <n v="29963"/>
    <n v="0"/>
  </r>
  <r>
    <x v="1924"/>
    <s v="BR006"/>
    <n v="24"/>
    <s v="M"/>
    <s v="&gt;10L"/>
    <s v="branch"/>
    <x v="0"/>
    <s v="complete"/>
    <d v="2023-07-29T00:00:00"/>
    <n v="57550"/>
    <d v="2025-07-03T00:00:00"/>
    <n v="10119"/>
    <n v="67669"/>
    <n v="0"/>
  </r>
  <r>
    <x v="1925"/>
    <s v="BR005"/>
    <n v="46"/>
    <s v="M"/>
    <s v="6-10L"/>
    <s v="branch"/>
    <x v="0"/>
    <s v="complete"/>
    <d v="2024-01-10T00:00:00"/>
    <n v="17231"/>
    <d v="2025-07-31T00:00:00"/>
    <n v="17185"/>
    <n v="34416"/>
    <n v="0"/>
  </r>
  <r>
    <x v="1926"/>
    <s v="BR007"/>
    <n v="28"/>
    <s v="F"/>
    <s v="6-10L"/>
    <s v="online"/>
    <x v="0"/>
    <s v="complete"/>
    <d v="2024-10-26T00:00:00"/>
    <n v="31287"/>
    <d v="2025-07-18T00:00:00"/>
    <n v="17043"/>
    <n v="48330"/>
    <n v="0"/>
  </r>
  <r>
    <x v="1927"/>
    <s v="BR012"/>
    <n v="50"/>
    <s v="M"/>
    <s v="3-6L"/>
    <s v="branch"/>
    <x v="0"/>
    <s v="complete"/>
    <d v="2024-04-29T00:00:00"/>
    <n v="3718"/>
    <d v="2025-07-31T00:00:00"/>
    <n v="22011"/>
    <n v="25729"/>
    <n v="0"/>
  </r>
  <r>
    <x v="1928"/>
    <s v="BR012"/>
    <n v="23"/>
    <s v="F"/>
    <s v="&lt;3L"/>
    <s v="online"/>
    <x v="0"/>
    <s v="complete"/>
    <d v="2024-08-15T00:00:00"/>
    <n v="26439"/>
    <d v="2025-07-14T00:00:00"/>
    <n v="8828"/>
    <n v="35267"/>
    <n v="0"/>
  </r>
  <r>
    <x v="1929"/>
    <s v="BR007"/>
    <n v="64"/>
    <s v="F"/>
    <s v="3-6L"/>
    <s v="online"/>
    <x v="0"/>
    <s v="complete"/>
    <d v="2022-04-29T00:00:00"/>
    <n v="2580"/>
    <d v="2025-07-24T00:00:00"/>
    <n v="4809"/>
    <n v="7389"/>
    <n v="0"/>
  </r>
  <r>
    <x v="1930"/>
    <s v="BR002"/>
    <n v="32"/>
    <s v="F"/>
    <s v="3-6L"/>
    <s v="branch"/>
    <x v="0"/>
    <s v="complete"/>
    <d v="2022-10-11T00:00:00"/>
    <n v="5176"/>
    <d v="2025-07-09T00:00:00"/>
    <n v="21340"/>
    <n v="26516"/>
    <n v="0"/>
  </r>
  <r>
    <x v="1931"/>
    <s v="BR001"/>
    <n v="49"/>
    <s v="F"/>
    <s v="&lt;3L"/>
    <s v="branch"/>
    <x v="0"/>
    <s v="complete"/>
    <d v="2023-11-15T00:00:00"/>
    <n v="17385"/>
    <d v="2025-07-15T00:00:00"/>
    <n v="-3037"/>
    <n v="14348"/>
    <n v="0"/>
  </r>
  <r>
    <x v="1932"/>
    <s v="BR018"/>
    <n v="68"/>
    <s v="F"/>
    <s v="3-6L"/>
    <s v="online"/>
    <x v="1"/>
    <s v="complete"/>
    <d v="2023-07-15T00:00:00"/>
    <n v="10138"/>
    <d v="2025-07-04T00:00:00"/>
    <n v="11187"/>
    <n v="21325"/>
    <n v="0"/>
  </r>
  <r>
    <x v="1933"/>
    <s v="BR012"/>
    <n v="28"/>
    <s v="F"/>
    <s v="3-6L"/>
    <s v="online"/>
    <x v="0"/>
    <s v="complete"/>
    <d v="2025-05-27T00:00:00"/>
    <n v="13732"/>
    <d v="2025-07-29T00:00:00"/>
    <n v="32825"/>
    <n v="46557"/>
    <n v="0"/>
  </r>
  <r>
    <x v="1934"/>
    <s v="BR007"/>
    <n v="40"/>
    <s v="M"/>
    <s v="3-6L"/>
    <s v="online"/>
    <x v="0"/>
    <s v="complete"/>
    <d v="2021-11-09T00:00:00"/>
    <n v="91802"/>
    <d v="2025-04-30T00:00:00"/>
    <n v="11586"/>
    <n v="103388"/>
    <n v="0"/>
  </r>
  <r>
    <x v="1935"/>
    <s v="BR019"/>
    <n v="43"/>
    <s v="F"/>
    <s v="3-6L"/>
    <s v="branch"/>
    <x v="0"/>
    <s v="complete"/>
    <d v="2022-08-11T00:00:00"/>
    <n v="13518"/>
    <d v="2025-06-25T00:00:00"/>
    <n v="27145"/>
    <n v="40663"/>
    <n v="0"/>
  </r>
  <r>
    <x v="1936"/>
    <s v="BR003"/>
    <n v="51"/>
    <s v="M"/>
    <s v="&lt;3L"/>
    <s v="online"/>
    <x v="0"/>
    <s v="complete"/>
    <d v="2023-08-17T00:00:00"/>
    <n v="27165"/>
    <d v="2025-07-20T00:00:00"/>
    <n v="1853"/>
    <n v="29018"/>
    <n v="0"/>
  </r>
  <r>
    <x v="1937"/>
    <s v="BR010"/>
    <n v="63"/>
    <s v="F"/>
    <s v="&gt;10L"/>
    <s v="online"/>
    <x v="0"/>
    <s v="complete"/>
    <d v="2024-12-23T00:00:00"/>
    <n v="12497"/>
    <d v="2025-07-04T00:00:00"/>
    <n v="10163"/>
    <n v="22660"/>
    <n v="0"/>
  </r>
  <r>
    <x v="1938"/>
    <s v="BR011"/>
    <n v="51"/>
    <s v="M"/>
    <s v="&lt;3L"/>
    <s v="online"/>
    <x v="0"/>
    <s v="complete"/>
    <d v="2025-04-04T00:00:00"/>
    <n v="12132"/>
    <d v="2025-07-23T00:00:00"/>
    <n v="-730"/>
    <n v="11402"/>
    <n v="0"/>
  </r>
  <r>
    <x v="1939"/>
    <s v="BR005"/>
    <n v="46"/>
    <s v="F"/>
    <s v="3-6L"/>
    <s v="online"/>
    <x v="0"/>
    <s v="complete"/>
    <d v="2022-07-17T00:00:00"/>
    <n v="5023"/>
    <d v="2025-07-07T00:00:00"/>
    <n v="6551"/>
    <n v="11574"/>
    <n v="0"/>
  </r>
  <r>
    <x v="1940"/>
    <s v="BR002"/>
    <n v="21"/>
    <s v="M"/>
    <s v="3-6L"/>
    <s v="online"/>
    <x v="1"/>
    <s v="complete"/>
    <d v="2021-04-23T00:00:00"/>
    <n v="19305"/>
    <d v="2025-06-28T00:00:00"/>
    <n v="3436"/>
    <n v="22741"/>
    <n v="0"/>
  </r>
  <r>
    <x v="1941"/>
    <s v="BR008"/>
    <n v="34"/>
    <s v="F"/>
    <s v="6-10L"/>
    <s v="online"/>
    <x v="0"/>
    <s v="complete"/>
    <d v="2022-12-07T00:00:00"/>
    <n v="168633"/>
    <d v="2025-04-26T00:00:00"/>
    <n v="2036"/>
    <n v="170669"/>
    <n v="0"/>
  </r>
  <r>
    <x v="1942"/>
    <s v="BR014"/>
    <n v="52"/>
    <s v="M"/>
    <s v="&lt;3L"/>
    <s v="online"/>
    <x v="0"/>
    <s v="complete"/>
    <d v="2022-10-22T00:00:00"/>
    <n v="14587"/>
    <d v="2025-05-25T00:00:00"/>
    <n v="2172"/>
    <n v="16759"/>
    <n v="0"/>
  </r>
  <r>
    <x v="1943"/>
    <s v="BR008"/>
    <n v="30"/>
    <s v="F"/>
    <s v="3-6L"/>
    <s v="online"/>
    <x v="1"/>
    <s v="complete"/>
    <d v="2025-07-09T00:00:00"/>
    <n v="10229"/>
    <d v="2025-07-29T00:00:00"/>
    <n v="14795"/>
    <n v="25024"/>
    <n v="0"/>
  </r>
  <r>
    <x v="1944"/>
    <s v="BR006"/>
    <n v="58"/>
    <s v="F"/>
    <s v="3-6L"/>
    <s v="branch"/>
    <x v="0"/>
    <s v="complete"/>
    <d v="2022-12-23T00:00:00"/>
    <n v="41779"/>
    <d v="2025-05-15T00:00:00"/>
    <n v="7734"/>
    <n v="49513"/>
    <n v="0"/>
  </r>
  <r>
    <x v="1945"/>
    <s v="BR001"/>
    <n v="56"/>
    <s v="M"/>
    <s v="&lt;3L"/>
    <s v="online"/>
    <x v="0"/>
    <s v="complete"/>
    <d v="2022-05-27T00:00:00"/>
    <n v="37153"/>
    <d v="2025-06-26T00:00:00"/>
    <n v="14743"/>
    <n v="51896"/>
    <n v="0"/>
  </r>
  <r>
    <x v="1946"/>
    <s v="BR001"/>
    <n v="32"/>
    <s v="F"/>
    <s v="3-6L"/>
    <s v="branch"/>
    <x v="0"/>
    <s v="complete"/>
    <d v="2022-09-04T00:00:00"/>
    <n v="20724"/>
    <d v="2025-07-26T00:00:00"/>
    <n v="-49"/>
    <n v="20675"/>
    <n v="0"/>
  </r>
  <r>
    <x v="1947"/>
    <s v="BR008"/>
    <n v="46"/>
    <s v="F"/>
    <s v="&gt;10L"/>
    <s v="branch"/>
    <x v="0"/>
    <s v="complete"/>
    <d v="2022-10-27T00:00:00"/>
    <n v="9815"/>
    <d v="2025-07-25T00:00:00"/>
    <n v="17056"/>
    <n v="26871"/>
    <n v="0"/>
  </r>
  <r>
    <x v="1948"/>
    <s v="BR011"/>
    <n v="46"/>
    <s v="F"/>
    <s v="&gt;10L"/>
    <s v="branch"/>
    <x v="0"/>
    <s v="complete"/>
    <d v="2024-10-06T00:00:00"/>
    <n v="41958"/>
    <d v="2025-07-09T00:00:00"/>
    <n v="-172"/>
    <n v="41786"/>
    <n v="0"/>
  </r>
  <r>
    <x v="1949"/>
    <s v="BR018"/>
    <n v="28"/>
    <s v="M"/>
    <s v="&lt;3L"/>
    <s v="branch"/>
    <x v="0"/>
    <s v="complete"/>
    <d v="2021-05-16T00:00:00"/>
    <n v="15077"/>
    <d v="2025-01-05T00:00:00"/>
    <n v="10597"/>
    <n v="25674"/>
    <n v="1"/>
  </r>
  <r>
    <x v="1950"/>
    <s v="BR010"/>
    <n v="69"/>
    <s v="M"/>
    <s v="&lt;3L"/>
    <s v="online"/>
    <x v="0"/>
    <s v="complete"/>
    <d v="2022-06-14T00:00:00"/>
    <n v="33315"/>
    <d v="2025-04-11T00:00:00"/>
    <n v="-9854"/>
    <n v="23461"/>
    <n v="0"/>
  </r>
  <r>
    <x v="1951"/>
    <s v="BR012"/>
    <n v="49"/>
    <s v="M"/>
    <s v="3-6L"/>
    <s v="online"/>
    <x v="0"/>
    <s v="complete"/>
    <d v="2025-06-05T00:00:00"/>
    <n v="5888"/>
    <d v="2025-07-29T00:00:00"/>
    <n v="20047"/>
    <n v="25935"/>
    <n v="0"/>
  </r>
  <r>
    <x v="1952"/>
    <s v="BR020"/>
    <n v="19"/>
    <s v="M"/>
    <s v="3-6L"/>
    <s v="online"/>
    <x v="0"/>
    <s v="complete"/>
    <d v="2021-09-14T00:00:00"/>
    <n v="7430"/>
    <d v="2025-07-02T00:00:00"/>
    <n v="-4153"/>
    <n v="3277"/>
    <n v="0"/>
  </r>
  <r>
    <x v="1953"/>
    <s v="BR016"/>
    <n v="64"/>
    <s v="F"/>
    <s v="&lt;3L"/>
    <s v="online"/>
    <x v="0"/>
    <s v="complete"/>
    <d v="2024-05-27T00:00:00"/>
    <n v="14719"/>
    <d v="2025-07-31T00:00:00"/>
    <n v="2456"/>
    <n v="17175"/>
    <n v="0"/>
  </r>
  <r>
    <x v="1954"/>
    <s v="BR005"/>
    <n v="31"/>
    <s v="M"/>
    <s v="&lt;3L"/>
    <s v="branch"/>
    <x v="0"/>
    <s v="complete"/>
    <d v="2022-08-20T00:00:00"/>
    <n v="3885"/>
    <d v="2025-06-18T00:00:00"/>
    <n v="20647"/>
    <n v="24532"/>
    <n v="0"/>
  </r>
  <r>
    <x v="1955"/>
    <s v="BR016"/>
    <n v="37"/>
    <s v="F"/>
    <s v="&gt;10L"/>
    <s v="branch"/>
    <x v="1"/>
    <s v="complete"/>
    <d v="2023-09-01T00:00:00"/>
    <n v="9229"/>
    <d v="2025-06-24T00:00:00"/>
    <n v="2496"/>
    <n v="11725"/>
    <n v="0"/>
  </r>
  <r>
    <x v="1956"/>
    <s v="BR012"/>
    <n v="39"/>
    <s v="M"/>
    <s v="&gt;10L"/>
    <s v="branch"/>
    <x v="0"/>
    <s v="complete"/>
    <d v="2021-06-16T00:00:00"/>
    <n v="3716"/>
    <d v="2025-07-12T00:00:00"/>
    <n v="13290"/>
    <n v="17006"/>
    <n v="0"/>
  </r>
  <r>
    <x v="1957"/>
    <s v="BR006"/>
    <n v="28"/>
    <s v="F"/>
    <s v="&lt;3L"/>
    <s v="online"/>
    <x v="1"/>
    <s v="complete"/>
    <d v="2022-05-28T00:00:00"/>
    <n v="2850"/>
    <d v="2025-05-17T00:00:00"/>
    <n v="17961"/>
    <n v="20811"/>
    <n v="0"/>
  </r>
  <r>
    <x v="1958"/>
    <s v="BR005"/>
    <n v="44"/>
    <s v="F"/>
    <s v="3-6L"/>
    <s v="branch"/>
    <x v="0"/>
    <s v="pending"/>
    <d v="2023-04-18T00:00:00"/>
    <n v="152664"/>
    <d v="2025-07-23T00:00:00"/>
    <n v="29100"/>
    <n v="181764"/>
    <n v="0"/>
  </r>
  <r>
    <x v="1959"/>
    <s v="BR001"/>
    <n v="20"/>
    <s v="F"/>
    <s v="3-6L"/>
    <s v="online"/>
    <x v="0"/>
    <s v="complete"/>
    <d v="2022-01-23T00:00:00"/>
    <n v="7266"/>
    <d v="2025-06-21T00:00:00"/>
    <n v="8836"/>
    <n v="16102"/>
    <n v="0"/>
  </r>
  <r>
    <x v="1960"/>
    <s v="BR019"/>
    <n v="34"/>
    <s v="M"/>
    <s v="&lt;3L"/>
    <s v="online"/>
    <x v="0"/>
    <s v="complete"/>
    <d v="2023-06-26T00:00:00"/>
    <n v="7934"/>
    <d v="2025-06-22T00:00:00"/>
    <n v="-6168"/>
    <n v="1766"/>
    <n v="0"/>
  </r>
  <r>
    <x v="1961"/>
    <s v="BR010"/>
    <n v="61"/>
    <s v="F"/>
    <s v="3-6L"/>
    <s v="online"/>
    <x v="0"/>
    <s v="complete"/>
    <d v="2022-01-03T00:00:00"/>
    <n v="14476"/>
    <d v="2025-07-11T00:00:00"/>
    <n v="16488"/>
    <n v="30964"/>
    <n v="0"/>
  </r>
  <r>
    <x v="1962"/>
    <s v="BR014"/>
    <n v="45"/>
    <s v="M"/>
    <s v="3-6L"/>
    <s v="branch"/>
    <x v="1"/>
    <s v="complete"/>
    <d v="2023-12-24T00:00:00"/>
    <n v="4621"/>
    <d v="2025-06-23T00:00:00"/>
    <n v="13498"/>
    <n v="18119"/>
    <n v="0"/>
  </r>
  <r>
    <x v="1963"/>
    <s v="BR003"/>
    <n v="46"/>
    <s v="M"/>
    <s v="6-10L"/>
    <s v="online"/>
    <x v="0"/>
    <s v="complete"/>
    <d v="2025-02-21T00:00:00"/>
    <n v="8090"/>
    <d v="2025-07-27T00:00:00"/>
    <n v="14716"/>
    <n v="22806"/>
    <n v="0"/>
  </r>
  <r>
    <x v="1964"/>
    <s v="BR006"/>
    <n v="38"/>
    <s v="M"/>
    <s v="6-10L"/>
    <s v="branch"/>
    <x v="0"/>
    <s v="pending"/>
    <d v="2021-05-24T00:00:00"/>
    <n v="83651"/>
    <d v="2025-07-14T00:00:00"/>
    <n v="6023"/>
    <n v="89674"/>
    <n v="0"/>
  </r>
  <r>
    <x v="1965"/>
    <s v="BR005"/>
    <n v="64"/>
    <s v="F"/>
    <s v="3-6L"/>
    <s v="branch"/>
    <x v="0"/>
    <s v="complete"/>
    <d v="2021-12-29T00:00:00"/>
    <n v="19113"/>
    <d v="2025-07-13T00:00:00"/>
    <n v="6055"/>
    <n v="25168"/>
    <n v="0"/>
  </r>
  <r>
    <x v="1966"/>
    <s v="BR017"/>
    <n v="33"/>
    <s v="M"/>
    <s v="6-10L"/>
    <s v="branch"/>
    <x v="0"/>
    <s v="complete"/>
    <d v="2024-11-13T00:00:00"/>
    <n v="35814"/>
    <d v="2025-07-27T00:00:00"/>
    <n v="8484"/>
    <n v="44298"/>
    <n v="0"/>
  </r>
  <r>
    <x v="1967"/>
    <s v="BR018"/>
    <n v="54"/>
    <s v="F"/>
    <s v="3-6L"/>
    <s v="online"/>
    <x v="0"/>
    <s v="complete"/>
    <d v="2023-11-23T00:00:00"/>
    <n v="64447"/>
    <d v="2025-07-05T00:00:00"/>
    <n v="12018"/>
    <n v="76465"/>
    <n v="0"/>
  </r>
  <r>
    <x v="1968"/>
    <s v="BR012"/>
    <n v="37"/>
    <s v="M"/>
    <s v="3-6L"/>
    <s v="branch"/>
    <x v="0"/>
    <s v="complete"/>
    <d v="2021-05-12T00:00:00"/>
    <n v="16492"/>
    <d v="2025-07-12T00:00:00"/>
    <n v="19518"/>
    <n v="36010"/>
    <n v="0"/>
  </r>
  <r>
    <x v="1969"/>
    <s v="BR005"/>
    <n v="23"/>
    <s v="F"/>
    <s v="3-6L"/>
    <s v="branch"/>
    <x v="0"/>
    <s v="complete"/>
    <d v="2023-03-25T00:00:00"/>
    <n v="10708"/>
    <d v="2025-07-06T00:00:00"/>
    <n v="-10412"/>
    <n v="296"/>
    <n v="0"/>
  </r>
  <r>
    <x v="1970"/>
    <s v="BR009"/>
    <n v="36"/>
    <s v="M"/>
    <s v="&lt;3L"/>
    <s v="online"/>
    <x v="0"/>
    <s v="complete"/>
    <d v="2021-12-17T00:00:00"/>
    <n v="3185"/>
    <d v="2025-07-30T00:00:00"/>
    <n v="37762"/>
    <n v="40947"/>
    <n v="0"/>
  </r>
  <r>
    <x v="1971"/>
    <s v="BR012"/>
    <n v="22"/>
    <s v="F"/>
    <s v="&lt;3L"/>
    <s v="online"/>
    <x v="0"/>
    <s v="complete"/>
    <d v="2021-11-30T00:00:00"/>
    <n v="9110"/>
    <d v="2025-07-19T00:00:00"/>
    <n v="7609"/>
    <n v="16719"/>
    <n v="0"/>
  </r>
  <r>
    <x v="1972"/>
    <s v="BR020"/>
    <n v="20"/>
    <s v="F"/>
    <s v="3-6L"/>
    <s v="online"/>
    <x v="0"/>
    <s v="complete"/>
    <d v="2025-04-23T00:00:00"/>
    <n v="11356"/>
    <d v="2025-07-25T00:00:00"/>
    <n v="23181"/>
    <n v="34537"/>
    <n v="0"/>
  </r>
  <r>
    <x v="1973"/>
    <s v="BR009"/>
    <n v="18"/>
    <s v="F"/>
    <s v="&gt;10L"/>
    <s v="online"/>
    <x v="0"/>
    <s v="complete"/>
    <d v="2024-06-28T00:00:00"/>
    <n v="5959"/>
    <d v="2025-07-27T00:00:00"/>
    <n v="7037"/>
    <n v="12996"/>
    <n v="0"/>
  </r>
  <r>
    <x v="1974"/>
    <s v="BR003"/>
    <n v="55"/>
    <s v="F"/>
    <s v="&lt;3L"/>
    <s v="online"/>
    <x v="0"/>
    <s v="complete"/>
    <d v="2024-03-10T00:00:00"/>
    <n v="62644"/>
    <d v="2025-07-26T00:00:00"/>
    <n v="6356"/>
    <n v="69000"/>
    <n v="0"/>
  </r>
  <r>
    <x v="1975"/>
    <s v="BR001"/>
    <n v="32"/>
    <s v="M"/>
    <s v="3-6L"/>
    <s v="branch"/>
    <x v="0"/>
    <s v="complete"/>
    <d v="2022-02-04T00:00:00"/>
    <n v="40227"/>
    <d v="2025-07-24T00:00:00"/>
    <n v="9043"/>
    <n v="49270"/>
    <n v="0"/>
  </r>
  <r>
    <x v="1976"/>
    <s v="BR015"/>
    <n v="51"/>
    <s v="F"/>
    <s v="3-6L"/>
    <s v="online"/>
    <x v="0"/>
    <s v="complete"/>
    <d v="2021-07-18T00:00:00"/>
    <n v="35794"/>
    <d v="2025-04-07T00:00:00"/>
    <n v="14114"/>
    <n v="49908"/>
    <n v="0"/>
  </r>
  <r>
    <x v="1977"/>
    <s v="BR010"/>
    <n v="52"/>
    <s v="M"/>
    <s v="6-10L"/>
    <s v="online"/>
    <x v="0"/>
    <s v="complete"/>
    <d v="2024-12-27T00:00:00"/>
    <n v="11894"/>
    <d v="2025-07-31T00:00:00"/>
    <n v="5296"/>
    <n v="17190"/>
    <n v="0"/>
  </r>
  <r>
    <x v="1978"/>
    <s v="BR014"/>
    <n v="66"/>
    <s v="M"/>
    <s v="&lt;3L"/>
    <s v="branch"/>
    <x v="0"/>
    <s v="complete"/>
    <d v="2021-01-10T00:00:00"/>
    <n v="4755"/>
    <d v="2025-06-23T00:00:00"/>
    <n v="2283"/>
    <n v="7038"/>
    <n v="0"/>
  </r>
  <r>
    <x v="1979"/>
    <s v="BR007"/>
    <n v="42"/>
    <s v="F"/>
    <s v="&gt;10L"/>
    <s v="online"/>
    <x v="0"/>
    <s v="complete"/>
    <d v="2022-10-12T00:00:00"/>
    <n v="50413"/>
    <d v="2025-07-17T00:00:00"/>
    <n v="4881"/>
    <n v="55294"/>
    <n v="0"/>
  </r>
  <r>
    <x v="1980"/>
    <s v="BR004"/>
    <n v="41"/>
    <s v="F"/>
    <s v="6-10L"/>
    <s v="branch"/>
    <x v="0"/>
    <s v="complete"/>
    <d v="2022-04-10T00:00:00"/>
    <n v="18683"/>
    <d v="2025-01-08T00:00:00"/>
    <n v="2240"/>
    <n v="20923"/>
    <n v="1"/>
  </r>
  <r>
    <x v="1981"/>
    <s v="BR005"/>
    <n v="29"/>
    <s v="M"/>
    <s v="3-6L"/>
    <s v="online"/>
    <x v="0"/>
    <s v="complete"/>
    <d v="2023-08-13T00:00:00"/>
    <n v="28943"/>
    <d v="2025-07-30T00:00:00"/>
    <n v="8754"/>
    <n v="37697"/>
    <n v="0"/>
  </r>
  <r>
    <x v="1982"/>
    <s v="BR020"/>
    <n v="35"/>
    <s v="F"/>
    <s v="6-10L"/>
    <s v="online"/>
    <x v="0"/>
    <s v="complete"/>
    <d v="2022-02-24T00:00:00"/>
    <n v="24816"/>
    <d v="2025-06-09T00:00:00"/>
    <n v="10777"/>
    <n v="35593"/>
    <n v="0"/>
  </r>
  <r>
    <x v="1983"/>
    <s v="BR016"/>
    <n v="32"/>
    <s v="F"/>
    <s v="&lt;3L"/>
    <s v="online"/>
    <x v="0"/>
    <s v="complete"/>
    <d v="2022-06-05T00:00:00"/>
    <n v="18226"/>
    <d v="2025-05-28T00:00:00"/>
    <n v="41906"/>
    <n v="60132"/>
    <n v="0"/>
  </r>
  <r>
    <x v="1984"/>
    <s v="BR003"/>
    <n v="61"/>
    <s v="M"/>
    <s v="3-6L"/>
    <s v="online"/>
    <x v="0"/>
    <s v="complete"/>
    <d v="2024-11-23T00:00:00"/>
    <n v="98678"/>
    <d v="2025-07-05T00:00:00"/>
    <n v="7518"/>
    <n v="106196"/>
    <n v="0"/>
  </r>
  <r>
    <x v="1985"/>
    <s v="BR017"/>
    <n v="33"/>
    <s v="M"/>
    <s v="6-10L"/>
    <s v="online"/>
    <x v="0"/>
    <s v="complete"/>
    <d v="2023-10-07T00:00:00"/>
    <n v="6923"/>
    <d v="2025-07-19T00:00:00"/>
    <n v="22232"/>
    <n v="29155"/>
    <n v="0"/>
  </r>
  <r>
    <x v="1986"/>
    <s v="BR013"/>
    <n v="44"/>
    <s v="M"/>
    <s v="&lt;3L"/>
    <s v="branch"/>
    <x v="0"/>
    <s v="complete"/>
    <d v="2021-09-01T00:00:00"/>
    <n v="9809"/>
    <d v="2025-02-13T00:00:00"/>
    <n v="485"/>
    <n v="10294"/>
    <n v="0"/>
  </r>
  <r>
    <x v="1987"/>
    <s v="BR006"/>
    <n v="25"/>
    <s v="M"/>
    <s v="3-6L"/>
    <s v="online"/>
    <x v="0"/>
    <s v="complete"/>
    <d v="2024-04-30T00:00:00"/>
    <n v="68951"/>
    <d v="2025-07-24T00:00:00"/>
    <n v="-1980"/>
    <n v="66971"/>
    <n v="0"/>
  </r>
  <r>
    <x v="1988"/>
    <s v="BR005"/>
    <n v="63"/>
    <s v="M"/>
    <s v="3-6L"/>
    <s v="branch"/>
    <x v="0"/>
    <s v="complete"/>
    <d v="2021-12-14T00:00:00"/>
    <n v="14502"/>
    <d v="2025-07-26T00:00:00"/>
    <n v="8372"/>
    <n v="22874"/>
    <n v="0"/>
  </r>
  <r>
    <x v="1989"/>
    <s v="BR016"/>
    <n v="42"/>
    <s v="M"/>
    <s v="3-6L"/>
    <s v="online"/>
    <x v="0"/>
    <s v="complete"/>
    <d v="2022-12-26T00:00:00"/>
    <n v="11779"/>
    <d v="2025-05-26T00:00:00"/>
    <n v="27528"/>
    <n v="39307"/>
    <n v="0"/>
  </r>
  <r>
    <x v="1990"/>
    <s v="BR011"/>
    <n v="34"/>
    <s v="M"/>
    <s v="&gt;10L"/>
    <s v="online"/>
    <x v="0"/>
    <s v="complete"/>
    <d v="2023-12-18T00:00:00"/>
    <n v="10373"/>
    <d v="2025-07-30T00:00:00"/>
    <n v="15829"/>
    <n v="26202"/>
    <n v="0"/>
  </r>
  <r>
    <x v="1991"/>
    <s v="BR017"/>
    <n v="46"/>
    <s v="F"/>
    <s v="&lt;3L"/>
    <s v="branch"/>
    <x v="0"/>
    <s v="complete"/>
    <d v="2022-03-31T00:00:00"/>
    <n v="26352"/>
    <d v="2025-07-10T00:00:00"/>
    <n v="14114"/>
    <n v="40466"/>
    <n v="0"/>
  </r>
  <r>
    <x v="1992"/>
    <s v="BR005"/>
    <n v="25"/>
    <s v="F"/>
    <s v="6-10L"/>
    <s v="online"/>
    <x v="0"/>
    <s v="complete"/>
    <d v="2022-10-05T00:00:00"/>
    <n v="10622"/>
    <d v="2025-07-21T00:00:00"/>
    <n v="25217"/>
    <n v="35839"/>
    <n v="0"/>
  </r>
  <r>
    <x v="1993"/>
    <s v="BR006"/>
    <n v="32"/>
    <s v="O"/>
    <s v="3-6L"/>
    <s v="branch"/>
    <x v="0"/>
    <s v="complete"/>
    <d v="2024-05-13T00:00:00"/>
    <n v="9494"/>
    <d v="2025-07-30T00:00:00"/>
    <n v="6991"/>
    <n v="16485"/>
    <n v="0"/>
  </r>
  <r>
    <x v="1994"/>
    <s v="BR010"/>
    <n v="44"/>
    <s v="M"/>
    <s v="6-10L"/>
    <s v="branch"/>
    <x v="0"/>
    <s v="complete"/>
    <d v="2025-04-19T00:00:00"/>
    <n v="25921"/>
    <d v="2025-07-29T00:00:00"/>
    <n v="19138"/>
    <n v="45059"/>
    <n v="0"/>
  </r>
  <r>
    <x v="1995"/>
    <s v="BR001"/>
    <n v="63"/>
    <s v="F"/>
    <s v="3-6L"/>
    <s v="branch"/>
    <x v="0"/>
    <s v="complete"/>
    <d v="2023-06-05T00:00:00"/>
    <n v="14666"/>
    <d v="2025-07-13T00:00:00"/>
    <n v="19859"/>
    <n v="34525"/>
    <n v="0"/>
  </r>
  <r>
    <x v="1996"/>
    <s v="BR010"/>
    <n v="67"/>
    <s v="F"/>
    <s v="3-6L"/>
    <s v="online"/>
    <x v="0"/>
    <s v="complete"/>
    <d v="2021-01-17T00:00:00"/>
    <n v="4869"/>
    <d v="2025-07-14T00:00:00"/>
    <n v="16139"/>
    <n v="21008"/>
    <n v="0"/>
  </r>
  <r>
    <x v="1997"/>
    <s v="BR017"/>
    <n v="69"/>
    <s v="F"/>
    <s v="6-10L"/>
    <s v="online"/>
    <x v="0"/>
    <s v="complete"/>
    <d v="2022-07-21T00:00:00"/>
    <n v="13794"/>
    <d v="2025-07-24T00:00:00"/>
    <n v="13341"/>
    <n v="27135"/>
    <n v="0"/>
  </r>
  <r>
    <x v="1998"/>
    <s v="BR003"/>
    <n v="24"/>
    <s v="M"/>
    <s v="3-6L"/>
    <s v="branch"/>
    <x v="0"/>
    <s v="complete"/>
    <d v="2022-10-29T00:00:00"/>
    <n v="53881"/>
    <d v="2025-07-30T00:00:00"/>
    <n v="14986"/>
    <n v="68867"/>
    <n v="0"/>
  </r>
  <r>
    <x v="1999"/>
    <s v="BR002"/>
    <n v="20"/>
    <s v="F"/>
    <s v="3-6L"/>
    <s v="branch"/>
    <x v="0"/>
    <s v="complete"/>
    <d v="2022-07-22T00:00:00"/>
    <n v="28719"/>
    <d v="2025-06-10T00:00:00"/>
    <n v="-6556"/>
    <n v="2216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9F201F-1D5C-4187-B19A-0ED9DA545566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6" firstHeaderRow="0" firstDataRow="1" firstDataCol="1"/>
  <pivotFields count="14">
    <pivotField dataField="1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numFmtId="14" showAll="0"/>
    <pivotField showAll="0"/>
    <pivotField numFmtId="14" showAll="0"/>
    <pivotField showAll="0"/>
    <pivotField dataField="1" showAll="0"/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customer_id" fld="0" subtotal="count" baseField="0" baseItem="0"/>
    <dataField name="Sum of current_balance" fld="12" baseField="0" baseItem="0"/>
    <dataField name="Average of current_balance" fld="12" subtotal="average" baseField="6" baseItem="0"/>
  </dataFields>
  <formats count="2">
    <format dxfId="10">
      <pivotArea collapsedLevelsAreSubtotals="1" fieldPosition="0">
        <references count="2">
          <reference field="4294967294" count="1" selected="0">
            <x v="1"/>
          </reference>
          <reference field="6" count="0"/>
        </references>
      </pivotArea>
    </format>
    <format dxfId="9">
      <pivotArea collapsedLevelsAreSubtotals="1" fieldPosition="0">
        <references count="2">
          <reference field="4294967294" count="1" selected="0">
            <x v="2"/>
          </reference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FB1C681-9C30-430D-8785-E1B91C297AD3}" autoFormatId="16" applyNumberFormats="0" applyBorderFormats="0" applyFontFormats="0" applyPatternFormats="0" applyAlignmentFormats="0" applyWidthHeightFormats="0">
  <queryTableRefresh nextId="15">
    <queryTableFields count="14">
      <queryTableField id="1" name="customer_id" tableColumnId="1"/>
      <queryTableField id="2" name="branch_id" tableColumnId="2"/>
      <queryTableField id="3" name="age" tableColumnId="3"/>
      <queryTableField id="4" name="gender" tableColumnId="4"/>
      <queryTableField id="5" name="income_bracket" tableColumnId="5"/>
      <queryTableField id="6" name="channel" tableColumnId="6"/>
      <queryTableField id="7" name="account_type" tableColumnId="7"/>
      <queryTableField id="8" name="kyc_status" tableColumnId="8"/>
      <queryTableField id="9" name="account_open_date" tableColumnId="9"/>
      <queryTableField id="10" name="initial_deposit" tableColumnId="10"/>
      <queryTableField id="11" name="last_txn_date" tableColumnId="11"/>
      <queryTableField id="12" name="txn_net_sum" tableColumnId="12"/>
      <queryTableField id="13" name="current_balance" tableColumnId="13"/>
      <queryTableField id="14" name="churn_flag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7BB010-0974-449A-BE4C-B0202A48FEEB}" name="customer" displayName="customer" ref="A1:N2001" tableType="queryTable" totalsRowShown="0">
  <autoFilter ref="A1:N2001" xr:uid="{1C7BB010-0974-449A-BE4C-B0202A48FEEB}"/>
  <tableColumns count="14">
    <tableColumn id="1" xr3:uid="{72773212-A9F0-4B35-A397-F34FE19B167E}" uniqueName="1" name="customer_id" queryTableFieldId="1" dataDxfId="8"/>
    <tableColumn id="2" xr3:uid="{9D71D110-CC86-4DD4-A78D-031E5E4BFFD3}" uniqueName="2" name="branch_id" queryTableFieldId="2" dataDxfId="7"/>
    <tableColumn id="3" xr3:uid="{33FE7D1E-E616-48ED-8B2B-A29DF6C6DF5C}" uniqueName="3" name="age" queryTableFieldId="3"/>
    <tableColumn id="4" xr3:uid="{D5C4A7E0-17B4-4900-B0C8-88126CE8DC49}" uniqueName="4" name="gender" queryTableFieldId="4" dataDxfId="6"/>
    <tableColumn id="5" xr3:uid="{3E47509A-4E58-4E33-92D2-A85FA217B869}" uniqueName="5" name="income_bracket" queryTableFieldId="5" dataDxfId="5"/>
    <tableColumn id="6" xr3:uid="{2602A2D5-FAA8-4FE4-95BB-C3888161487E}" uniqueName="6" name="channel" queryTableFieldId="6" dataDxfId="4"/>
    <tableColumn id="7" xr3:uid="{6790273A-7921-481F-9390-AF3FC76B3612}" uniqueName="7" name="account_type" queryTableFieldId="7" dataDxfId="3"/>
    <tableColumn id="8" xr3:uid="{CD13168A-880C-4AE3-9DD5-597C1D1EBFE0}" uniqueName="8" name="kyc_status" queryTableFieldId="8" dataDxfId="2"/>
    <tableColumn id="9" xr3:uid="{D52F3D72-AEAC-4953-80FB-7CD8D08157D3}" uniqueName="9" name="account_open_date" queryTableFieldId="9" dataDxfId="1"/>
    <tableColumn id="10" xr3:uid="{F8A7AD75-FD5B-4FC6-8BA3-9EDBBE645A51}" uniqueName="10" name="initial_deposit" queryTableFieldId="10"/>
    <tableColumn id="11" xr3:uid="{EB7DBEA4-6CC0-4C53-BB71-F4585D0E5EDA}" uniqueName="11" name="last_txn_date" queryTableFieldId="11" dataDxfId="0"/>
    <tableColumn id="12" xr3:uid="{A8B2089B-1F83-4C1A-9C3C-ACD6917CDB2B}" uniqueName="12" name="txn_net_sum" queryTableFieldId="12"/>
    <tableColumn id="13" xr3:uid="{9E78982E-FBE2-4207-B5F6-9B684A84099D}" uniqueName="13" name="current_balance" queryTableFieldId="13"/>
    <tableColumn id="14" xr3:uid="{94E8EAD1-D66A-4CDB-89EF-54DAA058D768}" uniqueName="14" name="churn_flag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32E56-FD2B-482C-A632-09A4919C5106}">
  <dimension ref="A3:D6"/>
  <sheetViews>
    <sheetView workbookViewId="0">
      <selection activeCell="D5" sqref="D5"/>
    </sheetView>
  </sheetViews>
  <sheetFormatPr defaultRowHeight="14.4" x14ac:dyDescent="0.3"/>
  <cols>
    <col min="1" max="1" width="12.5546875" bestFit="1" customWidth="1"/>
    <col min="2" max="2" width="19.44140625" bestFit="1" customWidth="1"/>
    <col min="3" max="3" width="21.44140625" bestFit="1" customWidth="1"/>
    <col min="4" max="4" width="24.5546875" bestFit="1" customWidth="1"/>
  </cols>
  <sheetData>
    <row r="3" spans="1:4" x14ac:dyDescent="0.3">
      <c r="A3" s="3" t="s">
        <v>2047</v>
      </c>
      <c r="B3" t="s">
        <v>2050</v>
      </c>
      <c r="C3" t="s">
        <v>2049</v>
      </c>
      <c r="D3" t="s">
        <v>2051</v>
      </c>
    </row>
    <row r="4" spans="1:4" x14ac:dyDescent="0.3">
      <c r="A4" s="4" t="s">
        <v>41</v>
      </c>
      <c r="B4" s="1">
        <v>285</v>
      </c>
      <c r="C4" s="5">
        <v>8094813</v>
      </c>
      <c r="D4" s="6">
        <v>28402.852631578946</v>
      </c>
    </row>
    <row r="5" spans="1:4" x14ac:dyDescent="0.3">
      <c r="A5" s="4" t="s">
        <v>19</v>
      </c>
      <c r="B5" s="1">
        <v>1715</v>
      </c>
      <c r="C5" s="5">
        <v>57109232</v>
      </c>
      <c r="D5" s="6">
        <v>33299.843731778426</v>
      </c>
    </row>
    <row r="6" spans="1:4" x14ac:dyDescent="0.3">
      <c r="A6" s="4" t="s">
        <v>2048</v>
      </c>
      <c r="B6" s="1">
        <v>2000</v>
      </c>
      <c r="C6" s="1">
        <v>65204045</v>
      </c>
      <c r="D6" s="1">
        <v>32602.022499999999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E0074-A7A2-433D-945D-D63794F7336F}">
  <dimension ref="A1:N2001"/>
  <sheetViews>
    <sheetView topLeftCell="A1975" workbookViewId="0">
      <selection activeCell="A2" sqref="A2"/>
    </sheetView>
  </sheetViews>
  <sheetFormatPr defaultRowHeight="14.4" x14ac:dyDescent="0.3"/>
  <cols>
    <col min="1" max="1" width="13.6640625" bestFit="1" customWidth="1"/>
    <col min="2" max="2" width="11.6640625" bestFit="1" customWidth="1"/>
    <col min="3" max="3" width="6.21875" bestFit="1" customWidth="1"/>
    <col min="4" max="4" width="9.109375" bestFit="1" customWidth="1"/>
    <col min="5" max="5" width="16.88671875" bestFit="1" customWidth="1"/>
    <col min="6" max="6" width="9.88671875" bestFit="1" customWidth="1"/>
    <col min="7" max="7" width="14.77734375" bestFit="1" customWidth="1"/>
    <col min="8" max="8" width="12.109375" bestFit="1" customWidth="1"/>
    <col min="9" max="9" width="20.33203125" bestFit="1" customWidth="1"/>
    <col min="10" max="10" width="15" bestFit="1" customWidth="1"/>
    <col min="11" max="11" width="14.5546875" bestFit="1" customWidth="1"/>
    <col min="12" max="12" width="14.21875" bestFit="1" customWidth="1"/>
    <col min="13" max="13" width="17" bestFit="1" customWidth="1"/>
    <col min="14" max="14" width="12.2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 t="s">
        <v>14</v>
      </c>
      <c r="B2" s="1" t="s">
        <v>15</v>
      </c>
      <c r="C2">
        <v>56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2">
        <v>44727</v>
      </c>
      <c r="J2">
        <v>98089</v>
      </c>
      <c r="K2" s="2">
        <v>45851</v>
      </c>
      <c r="L2">
        <v>12103</v>
      </c>
      <c r="M2">
        <v>110192</v>
      </c>
      <c r="N2">
        <v>0</v>
      </c>
    </row>
    <row r="3" spans="1:14" x14ac:dyDescent="0.3">
      <c r="A3" s="1" t="s">
        <v>21</v>
      </c>
      <c r="B3" s="1" t="s">
        <v>22</v>
      </c>
      <c r="C3">
        <v>69</v>
      </c>
      <c r="D3" s="1" t="s">
        <v>23</v>
      </c>
      <c r="E3" s="1" t="s">
        <v>24</v>
      </c>
      <c r="F3" s="1" t="s">
        <v>25</v>
      </c>
      <c r="G3" s="1" t="s">
        <v>19</v>
      </c>
      <c r="H3" s="1" t="s">
        <v>20</v>
      </c>
      <c r="I3" s="2">
        <v>45807</v>
      </c>
      <c r="J3">
        <v>5127</v>
      </c>
      <c r="K3" s="2">
        <v>45864</v>
      </c>
      <c r="L3">
        <v>-6391</v>
      </c>
      <c r="M3">
        <v>-1264</v>
      </c>
      <c r="N3">
        <v>0</v>
      </c>
    </row>
    <row r="4" spans="1:14" x14ac:dyDescent="0.3">
      <c r="A4" s="1" t="s">
        <v>26</v>
      </c>
      <c r="B4" s="1" t="s">
        <v>27</v>
      </c>
      <c r="C4">
        <v>46</v>
      </c>
      <c r="D4" s="1" t="s">
        <v>16</v>
      </c>
      <c r="E4" s="1" t="s">
        <v>24</v>
      </c>
      <c r="F4" s="1" t="s">
        <v>18</v>
      </c>
      <c r="G4" s="1" t="s">
        <v>19</v>
      </c>
      <c r="H4" s="1" t="s">
        <v>20</v>
      </c>
      <c r="I4" s="2">
        <v>44779</v>
      </c>
      <c r="J4">
        <v>9304</v>
      </c>
      <c r="K4" s="2">
        <v>45844</v>
      </c>
      <c r="L4">
        <v>17739</v>
      </c>
      <c r="M4">
        <v>27043</v>
      </c>
      <c r="N4">
        <v>0</v>
      </c>
    </row>
    <row r="5" spans="1:14" x14ac:dyDescent="0.3">
      <c r="A5" s="1" t="s">
        <v>28</v>
      </c>
      <c r="B5" s="1" t="s">
        <v>29</v>
      </c>
      <c r="C5">
        <v>32</v>
      </c>
      <c r="D5" s="1" t="s">
        <v>30</v>
      </c>
      <c r="E5" s="1" t="s">
        <v>24</v>
      </c>
      <c r="F5" s="1" t="s">
        <v>25</v>
      </c>
      <c r="G5" s="1" t="s">
        <v>19</v>
      </c>
      <c r="H5" s="1" t="s">
        <v>20</v>
      </c>
      <c r="I5" s="2">
        <v>44776</v>
      </c>
      <c r="J5">
        <v>7310</v>
      </c>
      <c r="K5" s="2">
        <v>45824</v>
      </c>
      <c r="L5">
        <v>7452</v>
      </c>
      <c r="M5">
        <v>14762</v>
      </c>
      <c r="N5">
        <v>0</v>
      </c>
    </row>
    <row r="6" spans="1:14" x14ac:dyDescent="0.3">
      <c r="A6" s="1" t="s">
        <v>31</v>
      </c>
      <c r="B6" s="1" t="s">
        <v>32</v>
      </c>
      <c r="C6">
        <v>60</v>
      </c>
      <c r="D6" s="1" t="s">
        <v>23</v>
      </c>
      <c r="E6" s="1" t="s">
        <v>17</v>
      </c>
      <c r="F6" s="1" t="s">
        <v>18</v>
      </c>
      <c r="G6" s="1" t="s">
        <v>19</v>
      </c>
      <c r="H6" s="1" t="s">
        <v>20</v>
      </c>
      <c r="I6" s="2">
        <v>45193</v>
      </c>
      <c r="J6">
        <v>1818</v>
      </c>
      <c r="K6" s="2">
        <v>45866</v>
      </c>
      <c r="L6">
        <v>12418</v>
      </c>
      <c r="M6">
        <v>14236</v>
      </c>
      <c r="N6">
        <v>0</v>
      </c>
    </row>
    <row r="7" spans="1:14" x14ac:dyDescent="0.3">
      <c r="A7" s="1" t="s">
        <v>33</v>
      </c>
      <c r="B7" s="1" t="s">
        <v>34</v>
      </c>
      <c r="C7">
        <v>25</v>
      </c>
      <c r="D7" s="1" t="s">
        <v>16</v>
      </c>
      <c r="E7" s="1" t="s">
        <v>35</v>
      </c>
      <c r="F7" s="1" t="s">
        <v>18</v>
      </c>
      <c r="G7" s="1" t="s">
        <v>19</v>
      </c>
      <c r="H7" s="1" t="s">
        <v>20</v>
      </c>
      <c r="I7" s="2">
        <v>45821</v>
      </c>
      <c r="J7">
        <v>14512</v>
      </c>
      <c r="K7" s="2">
        <v>45869</v>
      </c>
      <c r="L7">
        <v>26840</v>
      </c>
      <c r="M7">
        <v>41352</v>
      </c>
      <c r="N7">
        <v>0</v>
      </c>
    </row>
    <row r="8" spans="1:14" x14ac:dyDescent="0.3">
      <c r="A8" s="1" t="s">
        <v>36</v>
      </c>
      <c r="B8" s="1" t="s">
        <v>37</v>
      </c>
      <c r="C8">
        <v>38</v>
      </c>
      <c r="D8" s="1" t="s">
        <v>23</v>
      </c>
      <c r="E8" s="1" t="s">
        <v>38</v>
      </c>
      <c r="F8" s="1" t="s">
        <v>25</v>
      </c>
      <c r="G8" s="1" t="s">
        <v>19</v>
      </c>
      <c r="H8" s="1" t="s">
        <v>20</v>
      </c>
      <c r="I8" s="2">
        <v>45841</v>
      </c>
      <c r="J8">
        <v>13027</v>
      </c>
      <c r="K8" s="2">
        <v>45868</v>
      </c>
      <c r="L8">
        <v>46831</v>
      </c>
      <c r="M8">
        <v>59858</v>
      </c>
      <c r="N8">
        <v>0</v>
      </c>
    </row>
    <row r="9" spans="1:14" x14ac:dyDescent="0.3">
      <c r="A9" s="1" t="s">
        <v>39</v>
      </c>
      <c r="B9" s="1" t="s">
        <v>40</v>
      </c>
      <c r="C9">
        <v>56</v>
      </c>
      <c r="D9" s="1" t="s">
        <v>16</v>
      </c>
      <c r="E9" s="1" t="s">
        <v>24</v>
      </c>
      <c r="F9" s="1" t="s">
        <v>25</v>
      </c>
      <c r="G9" s="1" t="s">
        <v>41</v>
      </c>
      <c r="H9" s="1" t="s">
        <v>20</v>
      </c>
      <c r="I9" s="2">
        <v>45166</v>
      </c>
      <c r="J9">
        <v>16008</v>
      </c>
      <c r="K9" s="2">
        <v>45824</v>
      </c>
      <c r="L9">
        <v>7766</v>
      </c>
      <c r="M9">
        <v>23774</v>
      </c>
      <c r="N9">
        <v>0</v>
      </c>
    </row>
    <row r="10" spans="1:14" x14ac:dyDescent="0.3">
      <c r="A10" s="1" t="s">
        <v>42</v>
      </c>
      <c r="B10" s="1" t="s">
        <v>43</v>
      </c>
      <c r="C10">
        <v>36</v>
      </c>
      <c r="D10" s="1" t="s">
        <v>16</v>
      </c>
      <c r="E10" s="1" t="s">
        <v>35</v>
      </c>
      <c r="F10" s="1" t="s">
        <v>25</v>
      </c>
      <c r="G10" s="1" t="s">
        <v>19</v>
      </c>
      <c r="H10" s="1" t="s">
        <v>20</v>
      </c>
      <c r="I10" s="2">
        <v>44198</v>
      </c>
      <c r="J10">
        <v>12276</v>
      </c>
      <c r="K10" s="2">
        <v>45718</v>
      </c>
      <c r="L10">
        <v>36648</v>
      </c>
      <c r="M10">
        <v>48924</v>
      </c>
      <c r="N10">
        <v>0</v>
      </c>
    </row>
    <row r="11" spans="1:14" x14ac:dyDescent="0.3">
      <c r="A11" s="1" t="s">
        <v>44</v>
      </c>
      <c r="B11" s="1" t="s">
        <v>32</v>
      </c>
      <c r="C11">
        <v>40</v>
      </c>
      <c r="D11" s="1" t="s">
        <v>23</v>
      </c>
      <c r="E11" s="1" t="s">
        <v>24</v>
      </c>
      <c r="F11" s="1" t="s">
        <v>25</v>
      </c>
      <c r="G11" s="1" t="s">
        <v>19</v>
      </c>
      <c r="H11" s="1" t="s">
        <v>20</v>
      </c>
      <c r="I11" s="2">
        <v>45703</v>
      </c>
      <c r="J11">
        <v>8435</v>
      </c>
      <c r="K11" s="2">
        <v>45862</v>
      </c>
      <c r="L11">
        <v>16301</v>
      </c>
      <c r="M11">
        <v>24736</v>
      </c>
      <c r="N11">
        <v>0</v>
      </c>
    </row>
    <row r="12" spans="1:14" x14ac:dyDescent="0.3">
      <c r="A12" s="1" t="s">
        <v>45</v>
      </c>
      <c r="B12" s="1" t="s">
        <v>37</v>
      </c>
      <c r="C12">
        <v>28</v>
      </c>
      <c r="D12" s="1" t="s">
        <v>16</v>
      </c>
      <c r="E12" s="1" t="s">
        <v>35</v>
      </c>
      <c r="F12" s="1" t="s">
        <v>18</v>
      </c>
      <c r="G12" s="1" t="s">
        <v>19</v>
      </c>
      <c r="H12" s="1" t="s">
        <v>20</v>
      </c>
      <c r="I12" s="2">
        <v>45151</v>
      </c>
      <c r="J12">
        <v>7964</v>
      </c>
      <c r="K12" s="2">
        <v>45861</v>
      </c>
      <c r="L12">
        <v>23526</v>
      </c>
      <c r="M12">
        <v>31490</v>
      </c>
      <c r="N12">
        <v>0</v>
      </c>
    </row>
    <row r="13" spans="1:14" x14ac:dyDescent="0.3">
      <c r="A13" s="1" t="s">
        <v>46</v>
      </c>
      <c r="B13" s="1" t="s">
        <v>40</v>
      </c>
      <c r="C13">
        <v>28</v>
      </c>
      <c r="D13" s="1" t="s">
        <v>23</v>
      </c>
      <c r="E13" s="1" t="s">
        <v>24</v>
      </c>
      <c r="F13" s="1" t="s">
        <v>18</v>
      </c>
      <c r="G13" s="1" t="s">
        <v>41</v>
      </c>
      <c r="H13" s="1" t="s">
        <v>20</v>
      </c>
      <c r="I13" s="2">
        <v>44809</v>
      </c>
      <c r="J13">
        <v>8102</v>
      </c>
      <c r="K13" s="2">
        <v>45635</v>
      </c>
      <c r="L13">
        <v>-4078</v>
      </c>
      <c r="M13">
        <v>4024</v>
      </c>
      <c r="N13">
        <v>1</v>
      </c>
    </row>
    <row r="14" spans="1:14" x14ac:dyDescent="0.3">
      <c r="A14" s="1" t="s">
        <v>47</v>
      </c>
      <c r="B14" s="1" t="s">
        <v>48</v>
      </c>
      <c r="C14">
        <v>41</v>
      </c>
      <c r="D14" s="1" t="s">
        <v>23</v>
      </c>
      <c r="E14" s="1" t="s">
        <v>17</v>
      </c>
      <c r="F14" s="1" t="s">
        <v>18</v>
      </c>
      <c r="G14" s="1" t="s">
        <v>41</v>
      </c>
      <c r="H14" s="1" t="s">
        <v>49</v>
      </c>
      <c r="I14" s="2">
        <v>45584</v>
      </c>
      <c r="J14">
        <v>4971</v>
      </c>
      <c r="K14" s="2">
        <v>45865</v>
      </c>
      <c r="L14">
        <v>-30442</v>
      </c>
      <c r="M14">
        <v>-25471</v>
      </c>
      <c r="N14">
        <v>0</v>
      </c>
    </row>
    <row r="15" spans="1:14" x14ac:dyDescent="0.3">
      <c r="A15" s="1" t="s">
        <v>50</v>
      </c>
      <c r="B15" s="1" t="s">
        <v>34</v>
      </c>
      <c r="C15">
        <v>53</v>
      </c>
      <c r="D15" s="1" t="s">
        <v>16</v>
      </c>
      <c r="E15" s="1" t="s">
        <v>38</v>
      </c>
      <c r="F15" s="1" t="s">
        <v>25</v>
      </c>
      <c r="G15" s="1" t="s">
        <v>41</v>
      </c>
      <c r="H15" s="1" t="s">
        <v>20</v>
      </c>
      <c r="I15" s="2">
        <v>44865</v>
      </c>
      <c r="J15">
        <v>5803</v>
      </c>
      <c r="K15" s="2">
        <v>45854</v>
      </c>
      <c r="L15">
        <v>7413</v>
      </c>
      <c r="M15">
        <v>13216</v>
      </c>
      <c r="N15">
        <v>0</v>
      </c>
    </row>
    <row r="16" spans="1:14" x14ac:dyDescent="0.3">
      <c r="A16" s="1" t="s">
        <v>51</v>
      </c>
      <c r="B16" s="1" t="s">
        <v>52</v>
      </c>
      <c r="C16">
        <v>57</v>
      </c>
      <c r="D16" s="1" t="s">
        <v>23</v>
      </c>
      <c r="E16" s="1" t="s">
        <v>38</v>
      </c>
      <c r="F16" s="1" t="s">
        <v>25</v>
      </c>
      <c r="G16" s="1" t="s">
        <v>19</v>
      </c>
      <c r="H16" s="1" t="s">
        <v>20</v>
      </c>
      <c r="I16" s="2">
        <v>44253</v>
      </c>
      <c r="J16">
        <v>5055</v>
      </c>
      <c r="K16" s="2">
        <v>45841</v>
      </c>
      <c r="L16">
        <v>4277</v>
      </c>
      <c r="M16">
        <v>9332</v>
      </c>
      <c r="N16">
        <v>0</v>
      </c>
    </row>
    <row r="17" spans="1:14" x14ac:dyDescent="0.3">
      <c r="A17" s="1" t="s">
        <v>53</v>
      </c>
      <c r="B17" s="1" t="s">
        <v>43</v>
      </c>
      <c r="C17">
        <v>41</v>
      </c>
      <c r="D17" s="1" t="s">
        <v>16</v>
      </c>
      <c r="E17" s="1" t="s">
        <v>38</v>
      </c>
      <c r="F17" s="1" t="s">
        <v>18</v>
      </c>
      <c r="G17" s="1" t="s">
        <v>19</v>
      </c>
      <c r="H17" s="1" t="s">
        <v>20</v>
      </c>
      <c r="I17" s="2">
        <v>45570</v>
      </c>
      <c r="J17">
        <v>23704</v>
      </c>
      <c r="K17" s="2">
        <v>45864</v>
      </c>
      <c r="L17">
        <v>3908</v>
      </c>
      <c r="M17">
        <v>27612</v>
      </c>
      <c r="N17">
        <v>0</v>
      </c>
    </row>
    <row r="18" spans="1:14" x14ac:dyDescent="0.3">
      <c r="A18" s="1" t="s">
        <v>54</v>
      </c>
      <c r="B18" s="1" t="s">
        <v>34</v>
      </c>
      <c r="C18">
        <v>20</v>
      </c>
      <c r="D18" s="1" t="s">
        <v>23</v>
      </c>
      <c r="E18" s="1" t="s">
        <v>35</v>
      </c>
      <c r="F18" s="1" t="s">
        <v>18</v>
      </c>
      <c r="G18" s="1" t="s">
        <v>19</v>
      </c>
      <c r="H18" s="1" t="s">
        <v>20</v>
      </c>
      <c r="I18" s="2">
        <v>45110</v>
      </c>
      <c r="J18">
        <v>18144</v>
      </c>
      <c r="K18" s="2">
        <v>45861</v>
      </c>
      <c r="L18">
        <v>9577</v>
      </c>
      <c r="M18">
        <v>27721</v>
      </c>
      <c r="N18">
        <v>0</v>
      </c>
    </row>
    <row r="19" spans="1:14" x14ac:dyDescent="0.3">
      <c r="A19" s="1" t="s">
        <v>55</v>
      </c>
      <c r="B19" s="1" t="s">
        <v>56</v>
      </c>
      <c r="C19">
        <v>39</v>
      </c>
      <c r="D19" s="1" t="s">
        <v>30</v>
      </c>
      <c r="E19" s="1" t="s">
        <v>38</v>
      </c>
      <c r="F19" s="1" t="s">
        <v>18</v>
      </c>
      <c r="G19" s="1" t="s">
        <v>19</v>
      </c>
      <c r="H19" s="1" t="s">
        <v>20</v>
      </c>
      <c r="I19" s="2">
        <v>44762</v>
      </c>
      <c r="J19">
        <v>13727</v>
      </c>
      <c r="K19" s="2">
        <v>45840</v>
      </c>
      <c r="L19">
        <v>21472</v>
      </c>
      <c r="M19">
        <v>35199</v>
      </c>
      <c r="N19">
        <v>0</v>
      </c>
    </row>
    <row r="20" spans="1:14" x14ac:dyDescent="0.3">
      <c r="A20" s="1" t="s">
        <v>57</v>
      </c>
      <c r="B20" s="1" t="s">
        <v>22</v>
      </c>
      <c r="C20">
        <v>19</v>
      </c>
      <c r="D20" s="1" t="s">
        <v>23</v>
      </c>
      <c r="E20" s="1" t="s">
        <v>24</v>
      </c>
      <c r="F20" s="1" t="s">
        <v>25</v>
      </c>
      <c r="G20" s="1" t="s">
        <v>19</v>
      </c>
      <c r="H20" s="1" t="s">
        <v>20</v>
      </c>
      <c r="I20" s="2">
        <v>44616</v>
      </c>
      <c r="J20">
        <v>93178</v>
      </c>
      <c r="K20" s="2">
        <v>45860</v>
      </c>
      <c r="L20">
        <v>29198</v>
      </c>
      <c r="M20">
        <v>122376</v>
      </c>
      <c r="N20">
        <v>0</v>
      </c>
    </row>
    <row r="21" spans="1:14" x14ac:dyDescent="0.3">
      <c r="A21" s="1" t="s">
        <v>58</v>
      </c>
      <c r="B21" s="1" t="s">
        <v>59</v>
      </c>
      <c r="C21">
        <v>41</v>
      </c>
      <c r="D21" s="1" t="s">
        <v>16</v>
      </c>
      <c r="E21" s="1" t="s">
        <v>38</v>
      </c>
      <c r="F21" s="1" t="s">
        <v>18</v>
      </c>
      <c r="G21" s="1" t="s">
        <v>19</v>
      </c>
      <c r="H21" s="1" t="s">
        <v>20</v>
      </c>
      <c r="I21" s="2">
        <v>45190</v>
      </c>
      <c r="J21">
        <v>5294</v>
      </c>
      <c r="K21" s="2">
        <v>45782</v>
      </c>
      <c r="L21">
        <v>18862</v>
      </c>
      <c r="M21">
        <v>24156</v>
      </c>
      <c r="N21">
        <v>0</v>
      </c>
    </row>
    <row r="22" spans="1:14" x14ac:dyDescent="0.3">
      <c r="A22" s="1" t="s">
        <v>60</v>
      </c>
      <c r="B22" s="1" t="s">
        <v>61</v>
      </c>
      <c r="C22">
        <v>61</v>
      </c>
      <c r="D22" s="1" t="s">
        <v>16</v>
      </c>
      <c r="E22" s="1" t="s">
        <v>38</v>
      </c>
      <c r="F22" s="1" t="s">
        <v>18</v>
      </c>
      <c r="G22" s="1" t="s">
        <v>19</v>
      </c>
      <c r="H22" s="1" t="s">
        <v>20</v>
      </c>
      <c r="I22" s="2">
        <v>44545</v>
      </c>
      <c r="J22">
        <v>40896</v>
      </c>
      <c r="K22" s="2">
        <v>45814</v>
      </c>
      <c r="L22">
        <v>15568</v>
      </c>
      <c r="M22">
        <v>56464</v>
      </c>
      <c r="N22">
        <v>0</v>
      </c>
    </row>
    <row r="23" spans="1:14" x14ac:dyDescent="0.3">
      <c r="A23" s="1" t="s">
        <v>62</v>
      </c>
      <c r="B23" s="1" t="s">
        <v>40</v>
      </c>
      <c r="C23">
        <v>47</v>
      </c>
      <c r="D23" s="1" t="s">
        <v>23</v>
      </c>
      <c r="E23" s="1" t="s">
        <v>24</v>
      </c>
      <c r="F23" s="1" t="s">
        <v>18</v>
      </c>
      <c r="G23" s="1" t="s">
        <v>19</v>
      </c>
      <c r="H23" s="1" t="s">
        <v>20</v>
      </c>
      <c r="I23" s="2">
        <v>44738</v>
      </c>
      <c r="J23">
        <v>10301</v>
      </c>
      <c r="K23" s="2">
        <v>45839</v>
      </c>
      <c r="L23">
        <v>-234</v>
      </c>
      <c r="M23">
        <v>10067</v>
      </c>
      <c r="N23">
        <v>0</v>
      </c>
    </row>
    <row r="24" spans="1:14" x14ac:dyDescent="0.3">
      <c r="A24" s="1" t="s">
        <v>63</v>
      </c>
      <c r="B24" s="1" t="s">
        <v>64</v>
      </c>
      <c r="C24">
        <v>55</v>
      </c>
      <c r="D24" s="1" t="s">
        <v>30</v>
      </c>
      <c r="E24" s="1" t="s">
        <v>38</v>
      </c>
      <c r="F24" s="1" t="s">
        <v>25</v>
      </c>
      <c r="G24" s="1" t="s">
        <v>19</v>
      </c>
      <c r="H24" s="1" t="s">
        <v>49</v>
      </c>
      <c r="I24" s="2">
        <v>45261</v>
      </c>
      <c r="J24">
        <v>15633</v>
      </c>
      <c r="K24" s="2">
        <v>45852</v>
      </c>
      <c r="L24">
        <v>8151</v>
      </c>
      <c r="M24">
        <v>23784</v>
      </c>
      <c r="N24">
        <v>0</v>
      </c>
    </row>
    <row r="25" spans="1:14" x14ac:dyDescent="0.3">
      <c r="A25" s="1" t="s">
        <v>65</v>
      </c>
      <c r="B25" s="1" t="s">
        <v>64</v>
      </c>
      <c r="C25">
        <v>19</v>
      </c>
      <c r="D25" s="1" t="s">
        <v>16</v>
      </c>
      <c r="E25" s="1" t="s">
        <v>17</v>
      </c>
      <c r="F25" s="1" t="s">
        <v>25</v>
      </c>
      <c r="G25" s="1" t="s">
        <v>19</v>
      </c>
      <c r="H25" s="1" t="s">
        <v>20</v>
      </c>
      <c r="I25" s="2">
        <v>45671</v>
      </c>
      <c r="J25">
        <v>26138</v>
      </c>
      <c r="K25" s="2">
        <v>45862</v>
      </c>
      <c r="L25">
        <v>30024</v>
      </c>
      <c r="M25">
        <v>56162</v>
      </c>
      <c r="N25">
        <v>0</v>
      </c>
    </row>
    <row r="26" spans="1:14" x14ac:dyDescent="0.3">
      <c r="A26" s="1" t="s">
        <v>66</v>
      </c>
      <c r="B26" s="1" t="s">
        <v>29</v>
      </c>
      <c r="C26">
        <v>38</v>
      </c>
      <c r="D26" s="1" t="s">
        <v>16</v>
      </c>
      <c r="E26" s="1" t="s">
        <v>38</v>
      </c>
      <c r="F26" s="1" t="s">
        <v>25</v>
      </c>
      <c r="G26" s="1" t="s">
        <v>41</v>
      </c>
      <c r="H26" s="1" t="s">
        <v>20</v>
      </c>
      <c r="I26" s="2">
        <v>45088</v>
      </c>
      <c r="J26">
        <v>8287</v>
      </c>
      <c r="K26" s="2">
        <v>45827</v>
      </c>
      <c r="L26">
        <v>17365</v>
      </c>
      <c r="M26">
        <v>25652</v>
      </c>
      <c r="N26">
        <v>0</v>
      </c>
    </row>
    <row r="27" spans="1:14" x14ac:dyDescent="0.3">
      <c r="A27" s="1" t="s">
        <v>67</v>
      </c>
      <c r="B27" s="1" t="s">
        <v>64</v>
      </c>
      <c r="C27">
        <v>50</v>
      </c>
      <c r="D27" s="1" t="s">
        <v>16</v>
      </c>
      <c r="E27" s="1" t="s">
        <v>38</v>
      </c>
      <c r="F27" s="1" t="s">
        <v>18</v>
      </c>
      <c r="G27" s="1" t="s">
        <v>19</v>
      </c>
      <c r="H27" s="1" t="s">
        <v>20</v>
      </c>
      <c r="I27" s="2">
        <v>45466</v>
      </c>
      <c r="J27">
        <v>4644</v>
      </c>
      <c r="K27" s="2">
        <v>45861</v>
      </c>
      <c r="L27">
        <v>-18544</v>
      </c>
      <c r="M27">
        <v>-13900</v>
      </c>
      <c r="N27">
        <v>0</v>
      </c>
    </row>
    <row r="28" spans="1:14" x14ac:dyDescent="0.3">
      <c r="A28" s="1" t="s">
        <v>68</v>
      </c>
      <c r="B28" s="1" t="s">
        <v>69</v>
      </c>
      <c r="C28">
        <v>29</v>
      </c>
      <c r="D28" s="1" t="s">
        <v>30</v>
      </c>
      <c r="E28" s="1" t="s">
        <v>38</v>
      </c>
      <c r="F28" s="1" t="s">
        <v>18</v>
      </c>
      <c r="G28" s="1" t="s">
        <v>19</v>
      </c>
      <c r="H28" s="1" t="s">
        <v>20</v>
      </c>
      <c r="I28" s="2">
        <v>45473</v>
      </c>
      <c r="J28">
        <v>5477</v>
      </c>
      <c r="K28" s="2">
        <v>45856</v>
      </c>
      <c r="L28">
        <v>31787</v>
      </c>
      <c r="M28">
        <v>37264</v>
      </c>
      <c r="N28">
        <v>0</v>
      </c>
    </row>
    <row r="29" spans="1:14" x14ac:dyDescent="0.3">
      <c r="A29" s="1" t="s">
        <v>70</v>
      </c>
      <c r="B29" s="1" t="s">
        <v>71</v>
      </c>
      <c r="C29">
        <v>39</v>
      </c>
      <c r="D29" s="1" t="s">
        <v>16</v>
      </c>
      <c r="E29" s="1" t="s">
        <v>38</v>
      </c>
      <c r="F29" s="1" t="s">
        <v>25</v>
      </c>
      <c r="G29" s="1" t="s">
        <v>19</v>
      </c>
      <c r="H29" s="1" t="s">
        <v>20</v>
      </c>
      <c r="I29" s="2">
        <v>45308</v>
      </c>
      <c r="J29">
        <v>1626</v>
      </c>
      <c r="K29" s="2">
        <v>45840</v>
      </c>
      <c r="L29">
        <v>39564</v>
      </c>
      <c r="M29">
        <v>41190</v>
      </c>
      <c r="N29">
        <v>0</v>
      </c>
    </row>
    <row r="30" spans="1:14" x14ac:dyDescent="0.3">
      <c r="A30" s="1" t="s">
        <v>72</v>
      </c>
      <c r="B30" s="1" t="s">
        <v>15</v>
      </c>
      <c r="C30">
        <v>61</v>
      </c>
      <c r="D30" s="1" t="s">
        <v>16</v>
      </c>
      <c r="E30" s="1" t="s">
        <v>38</v>
      </c>
      <c r="F30" s="1" t="s">
        <v>25</v>
      </c>
      <c r="G30" s="1" t="s">
        <v>19</v>
      </c>
      <c r="H30" s="1" t="s">
        <v>20</v>
      </c>
      <c r="I30" s="2">
        <v>44608</v>
      </c>
      <c r="J30">
        <v>24509</v>
      </c>
      <c r="K30" s="2">
        <v>45862</v>
      </c>
      <c r="L30">
        <v>23879</v>
      </c>
      <c r="M30">
        <v>48388</v>
      </c>
      <c r="N30">
        <v>0</v>
      </c>
    </row>
    <row r="31" spans="1:14" x14ac:dyDescent="0.3">
      <c r="A31" s="1" t="s">
        <v>73</v>
      </c>
      <c r="B31" s="1" t="s">
        <v>29</v>
      </c>
      <c r="C31">
        <v>42</v>
      </c>
      <c r="D31" s="1" t="s">
        <v>16</v>
      </c>
      <c r="E31" s="1" t="s">
        <v>24</v>
      </c>
      <c r="F31" s="1" t="s">
        <v>18</v>
      </c>
      <c r="G31" s="1" t="s">
        <v>19</v>
      </c>
      <c r="H31" s="1" t="s">
        <v>20</v>
      </c>
      <c r="I31" s="2">
        <v>45647</v>
      </c>
      <c r="J31">
        <v>23926</v>
      </c>
      <c r="K31" s="2">
        <v>45868</v>
      </c>
      <c r="L31">
        <v>20070</v>
      </c>
      <c r="M31">
        <v>43996</v>
      </c>
      <c r="N31">
        <v>0</v>
      </c>
    </row>
    <row r="32" spans="1:14" x14ac:dyDescent="0.3">
      <c r="A32" s="1" t="s">
        <v>74</v>
      </c>
      <c r="B32" s="1" t="s">
        <v>75</v>
      </c>
      <c r="C32">
        <v>66</v>
      </c>
      <c r="D32" s="1" t="s">
        <v>23</v>
      </c>
      <c r="E32" s="1" t="s">
        <v>38</v>
      </c>
      <c r="F32" s="1" t="s">
        <v>18</v>
      </c>
      <c r="G32" s="1" t="s">
        <v>19</v>
      </c>
      <c r="H32" s="1" t="s">
        <v>49</v>
      </c>
      <c r="I32" s="2">
        <v>44926</v>
      </c>
      <c r="J32">
        <v>65098</v>
      </c>
      <c r="K32" s="2">
        <v>45868</v>
      </c>
      <c r="L32">
        <v>10251</v>
      </c>
      <c r="M32">
        <v>75349</v>
      </c>
      <c r="N32">
        <v>0</v>
      </c>
    </row>
    <row r="33" spans="1:14" x14ac:dyDescent="0.3">
      <c r="A33" s="1" t="s">
        <v>76</v>
      </c>
      <c r="B33" s="1" t="s">
        <v>64</v>
      </c>
      <c r="C33">
        <v>44</v>
      </c>
      <c r="D33" s="1" t="s">
        <v>23</v>
      </c>
      <c r="E33" s="1" t="s">
        <v>17</v>
      </c>
      <c r="F33" s="1" t="s">
        <v>18</v>
      </c>
      <c r="G33" s="1" t="s">
        <v>19</v>
      </c>
      <c r="H33" s="1" t="s">
        <v>20</v>
      </c>
      <c r="I33" s="2">
        <v>44270</v>
      </c>
      <c r="J33">
        <v>20230</v>
      </c>
      <c r="K33" s="2">
        <v>45766</v>
      </c>
      <c r="L33">
        <v>3460</v>
      </c>
      <c r="M33">
        <v>23690</v>
      </c>
      <c r="N33">
        <v>0</v>
      </c>
    </row>
    <row r="34" spans="1:14" x14ac:dyDescent="0.3">
      <c r="A34" s="1" t="s">
        <v>77</v>
      </c>
      <c r="B34" s="1" t="s">
        <v>34</v>
      </c>
      <c r="C34">
        <v>59</v>
      </c>
      <c r="D34" s="1" t="s">
        <v>16</v>
      </c>
      <c r="E34" s="1" t="s">
        <v>17</v>
      </c>
      <c r="F34" s="1" t="s">
        <v>18</v>
      </c>
      <c r="G34" s="1" t="s">
        <v>19</v>
      </c>
      <c r="H34" s="1" t="s">
        <v>20</v>
      </c>
      <c r="I34" s="2">
        <v>44606</v>
      </c>
      <c r="J34">
        <v>25725</v>
      </c>
      <c r="K34" s="2">
        <v>45832</v>
      </c>
      <c r="L34">
        <v>9814</v>
      </c>
      <c r="M34">
        <v>35539</v>
      </c>
      <c r="N34">
        <v>0</v>
      </c>
    </row>
    <row r="35" spans="1:14" x14ac:dyDescent="0.3">
      <c r="A35" s="1" t="s">
        <v>78</v>
      </c>
      <c r="B35" s="1" t="s">
        <v>79</v>
      </c>
      <c r="C35">
        <v>45</v>
      </c>
      <c r="D35" s="1" t="s">
        <v>23</v>
      </c>
      <c r="E35" s="1" t="s">
        <v>24</v>
      </c>
      <c r="F35" s="1" t="s">
        <v>25</v>
      </c>
      <c r="G35" s="1" t="s">
        <v>41</v>
      </c>
      <c r="H35" s="1" t="s">
        <v>49</v>
      </c>
      <c r="I35" s="2">
        <v>45477</v>
      </c>
      <c r="J35">
        <v>12314</v>
      </c>
      <c r="K35" s="2">
        <v>45853</v>
      </c>
      <c r="L35">
        <v>3160</v>
      </c>
      <c r="M35">
        <v>15474</v>
      </c>
      <c r="N35">
        <v>0</v>
      </c>
    </row>
    <row r="36" spans="1:14" x14ac:dyDescent="0.3">
      <c r="A36" s="1" t="s">
        <v>80</v>
      </c>
      <c r="B36" s="1" t="s">
        <v>69</v>
      </c>
      <c r="C36">
        <v>33</v>
      </c>
      <c r="D36" s="1" t="s">
        <v>16</v>
      </c>
      <c r="E36" s="1" t="s">
        <v>24</v>
      </c>
      <c r="F36" s="1" t="s">
        <v>18</v>
      </c>
      <c r="G36" s="1" t="s">
        <v>19</v>
      </c>
      <c r="H36" s="1" t="s">
        <v>20</v>
      </c>
      <c r="I36" s="2">
        <v>44312</v>
      </c>
      <c r="J36">
        <v>21266</v>
      </c>
      <c r="K36" s="2">
        <v>45786</v>
      </c>
      <c r="L36">
        <v>3909</v>
      </c>
      <c r="M36">
        <v>25175</v>
      </c>
      <c r="N36">
        <v>0</v>
      </c>
    </row>
    <row r="37" spans="1:14" x14ac:dyDescent="0.3">
      <c r="A37" s="1" t="s">
        <v>81</v>
      </c>
      <c r="B37" s="1" t="s">
        <v>29</v>
      </c>
      <c r="C37">
        <v>32</v>
      </c>
      <c r="D37" s="1" t="s">
        <v>23</v>
      </c>
      <c r="E37" s="1" t="s">
        <v>24</v>
      </c>
      <c r="F37" s="1" t="s">
        <v>18</v>
      </c>
      <c r="G37" s="1" t="s">
        <v>19</v>
      </c>
      <c r="H37" s="1" t="s">
        <v>20</v>
      </c>
      <c r="I37" s="2">
        <v>44443</v>
      </c>
      <c r="J37">
        <v>39719</v>
      </c>
      <c r="K37" s="2">
        <v>45861</v>
      </c>
      <c r="L37">
        <v>-478</v>
      </c>
      <c r="M37">
        <v>39241</v>
      </c>
      <c r="N37">
        <v>0</v>
      </c>
    </row>
    <row r="38" spans="1:14" x14ac:dyDescent="0.3">
      <c r="A38" s="1" t="s">
        <v>82</v>
      </c>
      <c r="B38" s="1" t="s">
        <v>79</v>
      </c>
      <c r="C38">
        <v>64</v>
      </c>
      <c r="D38" s="1" t="s">
        <v>23</v>
      </c>
      <c r="E38" s="1" t="s">
        <v>38</v>
      </c>
      <c r="F38" s="1" t="s">
        <v>18</v>
      </c>
      <c r="G38" s="1" t="s">
        <v>19</v>
      </c>
      <c r="H38" s="1" t="s">
        <v>20</v>
      </c>
      <c r="I38" s="2">
        <v>45358</v>
      </c>
      <c r="J38">
        <v>16018</v>
      </c>
      <c r="K38" s="2">
        <v>45815</v>
      </c>
      <c r="L38">
        <v>5375</v>
      </c>
      <c r="M38">
        <v>21393</v>
      </c>
      <c r="N38">
        <v>0</v>
      </c>
    </row>
    <row r="39" spans="1:14" x14ac:dyDescent="0.3">
      <c r="A39" s="1" t="s">
        <v>83</v>
      </c>
      <c r="B39" s="1" t="s">
        <v>56</v>
      </c>
      <c r="C39">
        <v>68</v>
      </c>
      <c r="D39" s="1" t="s">
        <v>16</v>
      </c>
      <c r="E39" s="1" t="s">
        <v>24</v>
      </c>
      <c r="F39" s="1" t="s">
        <v>18</v>
      </c>
      <c r="G39" s="1" t="s">
        <v>41</v>
      </c>
      <c r="H39" s="1" t="s">
        <v>20</v>
      </c>
      <c r="I39" s="2">
        <v>45690</v>
      </c>
      <c r="J39">
        <v>7933</v>
      </c>
      <c r="K39" s="2">
        <v>45864</v>
      </c>
      <c r="L39">
        <v>15410</v>
      </c>
      <c r="M39">
        <v>23343</v>
      </c>
      <c r="N39">
        <v>0</v>
      </c>
    </row>
    <row r="40" spans="1:14" x14ac:dyDescent="0.3">
      <c r="A40" s="1" t="s">
        <v>84</v>
      </c>
      <c r="B40" s="1" t="s">
        <v>48</v>
      </c>
      <c r="C40">
        <v>61</v>
      </c>
      <c r="D40" s="1" t="s">
        <v>16</v>
      </c>
      <c r="E40" s="1" t="s">
        <v>24</v>
      </c>
      <c r="F40" s="1" t="s">
        <v>18</v>
      </c>
      <c r="G40" s="1" t="s">
        <v>19</v>
      </c>
      <c r="H40" s="1" t="s">
        <v>20</v>
      </c>
      <c r="I40" s="2">
        <v>45257</v>
      </c>
      <c r="J40">
        <v>10719</v>
      </c>
      <c r="K40" s="2">
        <v>45848</v>
      </c>
      <c r="L40">
        <v>6476</v>
      </c>
      <c r="M40">
        <v>17195</v>
      </c>
      <c r="N40">
        <v>0</v>
      </c>
    </row>
    <row r="41" spans="1:14" x14ac:dyDescent="0.3">
      <c r="A41" s="1" t="s">
        <v>85</v>
      </c>
      <c r="B41" s="1" t="s">
        <v>29</v>
      </c>
      <c r="C41">
        <v>69</v>
      </c>
      <c r="D41" s="1" t="s">
        <v>23</v>
      </c>
      <c r="E41" s="1" t="s">
        <v>17</v>
      </c>
      <c r="F41" s="1" t="s">
        <v>18</v>
      </c>
      <c r="G41" s="1" t="s">
        <v>19</v>
      </c>
      <c r="H41" s="1" t="s">
        <v>20</v>
      </c>
      <c r="I41" s="2">
        <v>44568</v>
      </c>
      <c r="J41">
        <v>28335</v>
      </c>
      <c r="K41" s="2">
        <v>45732</v>
      </c>
      <c r="L41">
        <v>-7974</v>
      </c>
      <c r="M41">
        <v>20361</v>
      </c>
      <c r="N41">
        <v>0</v>
      </c>
    </row>
    <row r="42" spans="1:14" x14ac:dyDescent="0.3">
      <c r="A42" s="1" t="s">
        <v>86</v>
      </c>
      <c r="B42" s="1" t="s">
        <v>87</v>
      </c>
      <c r="C42">
        <v>20</v>
      </c>
      <c r="D42" s="1" t="s">
        <v>16</v>
      </c>
      <c r="E42" s="1" t="s">
        <v>24</v>
      </c>
      <c r="F42" s="1" t="s">
        <v>18</v>
      </c>
      <c r="G42" s="1" t="s">
        <v>41</v>
      </c>
      <c r="H42" s="1" t="s">
        <v>20</v>
      </c>
      <c r="I42" s="2">
        <v>44286</v>
      </c>
      <c r="J42">
        <v>8174</v>
      </c>
      <c r="K42" s="2">
        <v>45748</v>
      </c>
      <c r="L42">
        <v>4151</v>
      </c>
      <c r="M42">
        <v>12325</v>
      </c>
      <c r="N42">
        <v>0</v>
      </c>
    </row>
    <row r="43" spans="1:14" x14ac:dyDescent="0.3">
      <c r="A43" s="1" t="s">
        <v>88</v>
      </c>
      <c r="B43" s="1" t="s">
        <v>40</v>
      </c>
      <c r="C43">
        <v>54</v>
      </c>
      <c r="D43" s="1" t="s">
        <v>16</v>
      </c>
      <c r="E43" s="1" t="s">
        <v>24</v>
      </c>
      <c r="F43" s="1" t="s">
        <v>25</v>
      </c>
      <c r="G43" s="1" t="s">
        <v>41</v>
      </c>
      <c r="H43" s="1" t="s">
        <v>20</v>
      </c>
      <c r="I43" s="2">
        <v>45226</v>
      </c>
      <c r="J43">
        <v>32502</v>
      </c>
      <c r="K43" s="2">
        <v>45861</v>
      </c>
      <c r="L43">
        <v>16687</v>
      </c>
      <c r="M43">
        <v>49189</v>
      </c>
      <c r="N43">
        <v>0</v>
      </c>
    </row>
    <row r="44" spans="1:14" x14ac:dyDescent="0.3">
      <c r="A44" s="1" t="s">
        <v>89</v>
      </c>
      <c r="B44" s="1" t="s">
        <v>59</v>
      </c>
      <c r="C44">
        <v>68</v>
      </c>
      <c r="D44" s="1" t="s">
        <v>23</v>
      </c>
      <c r="E44" s="1" t="s">
        <v>17</v>
      </c>
      <c r="F44" s="1" t="s">
        <v>18</v>
      </c>
      <c r="G44" s="1" t="s">
        <v>41</v>
      </c>
      <c r="H44" s="1" t="s">
        <v>20</v>
      </c>
      <c r="I44" s="2">
        <v>44276</v>
      </c>
      <c r="J44">
        <v>90093</v>
      </c>
      <c r="K44" s="2">
        <v>45745</v>
      </c>
      <c r="L44">
        <v>17717</v>
      </c>
      <c r="M44">
        <v>107810</v>
      </c>
      <c r="N44">
        <v>0</v>
      </c>
    </row>
    <row r="45" spans="1:14" x14ac:dyDescent="0.3">
      <c r="A45" s="1" t="s">
        <v>90</v>
      </c>
      <c r="B45" s="1" t="s">
        <v>52</v>
      </c>
      <c r="C45">
        <v>24</v>
      </c>
      <c r="D45" s="1" t="s">
        <v>16</v>
      </c>
      <c r="E45" s="1" t="s">
        <v>24</v>
      </c>
      <c r="F45" s="1" t="s">
        <v>18</v>
      </c>
      <c r="G45" s="1" t="s">
        <v>19</v>
      </c>
      <c r="H45" s="1" t="s">
        <v>20</v>
      </c>
      <c r="I45" s="2">
        <v>45222</v>
      </c>
      <c r="J45">
        <v>32908</v>
      </c>
      <c r="K45" s="2">
        <v>45843</v>
      </c>
      <c r="L45">
        <v>31999</v>
      </c>
      <c r="M45">
        <v>64907</v>
      </c>
      <c r="N45">
        <v>0</v>
      </c>
    </row>
    <row r="46" spans="1:14" x14ac:dyDescent="0.3">
      <c r="A46" s="1" t="s">
        <v>91</v>
      </c>
      <c r="B46" s="1" t="s">
        <v>64</v>
      </c>
      <c r="C46">
        <v>38</v>
      </c>
      <c r="D46" s="1" t="s">
        <v>23</v>
      </c>
      <c r="E46" s="1" t="s">
        <v>17</v>
      </c>
      <c r="F46" s="1" t="s">
        <v>25</v>
      </c>
      <c r="G46" s="1" t="s">
        <v>19</v>
      </c>
      <c r="H46" s="1" t="s">
        <v>20</v>
      </c>
      <c r="I46" s="2">
        <v>44574</v>
      </c>
      <c r="J46">
        <v>28202</v>
      </c>
      <c r="K46" s="2">
        <v>45856</v>
      </c>
      <c r="L46">
        <v>5813</v>
      </c>
      <c r="M46">
        <v>34015</v>
      </c>
      <c r="N46">
        <v>0</v>
      </c>
    </row>
    <row r="47" spans="1:14" x14ac:dyDescent="0.3">
      <c r="A47" s="1" t="s">
        <v>92</v>
      </c>
      <c r="B47" s="1" t="s">
        <v>75</v>
      </c>
      <c r="C47">
        <v>26</v>
      </c>
      <c r="D47" s="1" t="s">
        <v>23</v>
      </c>
      <c r="E47" s="1" t="s">
        <v>17</v>
      </c>
      <c r="F47" s="1" t="s">
        <v>25</v>
      </c>
      <c r="G47" s="1" t="s">
        <v>41</v>
      </c>
      <c r="H47" s="1" t="s">
        <v>49</v>
      </c>
      <c r="I47" s="2">
        <v>45710</v>
      </c>
      <c r="J47">
        <v>18914</v>
      </c>
      <c r="K47" s="2">
        <v>45868</v>
      </c>
      <c r="L47">
        <v>4983</v>
      </c>
      <c r="M47">
        <v>23897</v>
      </c>
      <c r="N47">
        <v>0</v>
      </c>
    </row>
    <row r="48" spans="1:14" x14ac:dyDescent="0.3">
      <c r="A48" s="1" t="s">
        <v>93</v>
      </c>
      <c r="B48" s="1" t="s">
        <v>75</v>
      </c>
      <c r="C48">
        <v>56</v>
      </c>
      <c r="D48" s="1" t="s">
        <v>30</v>
      </c>
      <c r="E48" s="1" t="s">
        <v>24</v>
      </c>
      <c r="F48" s="1" t="s">
        <v>25</v>
      </c>
      <c r="G48" s="1" t="s">
        <v>19</v>
      </c>
      <c r="H48" s="1" t="s">
        <v>20</v>
      </c>
      <c r="I48" s="2">
        <v>44991</v>
      </c>
      <c r="J48">
        <v>6143</v>
      </c>
      <c r="K48" s="2">
        <v>45846</v>
      </c>
      <c r="L48">
        <v>8928</v>
      </c>
      <c r="M48">
        <v>15071</v>
      </c>
      <c r="N48">
        <v>0</v>
      </c>
    </row>
    <row r="49" spans="1:14" x14ac:dyDescent="0.3">
      <c r="A49" s="1" t="s">
        <v>94</v>
      </c>
      <c r="B49" s="1" t="s">
        <v>52</v>
      </c>
      <c r="C49">
        <v>35</v>
      </c>
      <c r="D49" s="1" t="s">
        <v>23</v>
      </c>
      <c r="E49" s="1" t="s">
        <v>17</v>
      </c>
      <c r="F49" s="1" t="s">
        <v>18</v>
      </c>
      <c r="G49" s="1" t="s">
        <v>19</v>
      </c>
      <c r="H49" s="1" t="s">
        <v>20</v>
      </c>
      <c r="I49" s="2">
        <v>44571</v>
      </c>
      <c r="J49">
        <v>5611</v>
      </c>
      <c r="K49" s="2">
        <v>45799</v>
      </c>
      <c r="L49">
        <v>15253</v>
      </c>
      <c r="M49">
        <v>20864</v>
      </c>
      <c r="N49">
        <v>0</v>
      </c>
    </row>
    <row r="50" spans="1:14" x14ac:dyDescent="0.3">
      <c r="A50" s="1" t="s">
        <v>95</v>
      </c>
      <c r="B50" s="1" t="s">
        <v>27</v>
      </c>
      <c r="C50">
        <v>21</v>
      </c>
      <c r="D50" s="1" t="s">
        <v>16</v>
      </c>
      <c r="E50" s="1" t="s">
        <v>38</v>
      </c>
      <c r="F50" s="1" t="s">
        <v>18</v>
      </c>
      <c r="G50" s="1" t="s">
        <v>19</v>
      </c>
      <c r="H50" s="1" t="s">
        <v>20</v>
      </c>
      <c r="I50" s="2">
        <v>45624</v>
      </c>
      <c r="J50">
        <v>5555</v>
      </c>
      <c r="K50" s="2">
        <v>45863</v>
      </c>
      <c r="L50">
        <v>-4285</v>
      </c>
      <c r="M50">
        <v>1270</v>
      </c>
      <c r="N50">
        <v>0</v>
      </c>
    </row>
    <row r="51" spans="1:14" x14ac:dyDescent="0.3">
      <c r="A51" s="1" t="s">
        <v>96</v>
      </c>
      <c r="B51" s="1" t="s">
        <v>59</v>
      </c>
      <c r="C51">
        <v>42</v>
      </c>
      <c r="D51" s="1" t="s">
        <v>16</v>
      </c>
      <c r="E51" s="1" t="s">
        <v>38</v>
      </c>
      <c r="F51" s="1" t="s">
        <v>18</v>
      </c>
      <c r="G51" s="1" t="s">
        <v>19</v>
      </c>
      <c r="H51" s="1" t="s">
        <v>20</v>
      </c>
      <c r="I51" s="2">
        <v>44622</v>
      </c>
      <c r="J51">
        <v>23266</v>
      </c>
      <c r="K51" s="2">
        <v>45860</v>
      </c>
      <c r="L51">
        <v>8354</v>
      </c>
      <c r="M51">
        <v>31620</v>
      </c>
      <c r="N51">
        <v>0</v>
      </c>
    </row>
    <row r="52" spans="1:14" x14ac:dyDescent="0.3">
      <c r="A52" s="1" t="s">
        <v>97</v>
      </c>
      <c r="B52" s="1" t="s">
        <v>71</v>
      </c>
      <c r="C52">
        <v>31</v>
      </c>
      <c r="D52" s="1" t="s">
        <v>23</v>
      </c>
      <c r="E52" s="1" t="s">
        <v>24</v>
      </c>
      <c r="F52" s="1" t="s">
        <v>18</v>
      </c>
      <c r="G52" s="1" t="s">
        <v>41</v>
      </c>
      <c r="H52" s="1" t="s">
        <v>20</v>
      </c>
      <c r="I52" s="2">
        <v>44709</v>
      </c>
      <c r="J52">
        <v>9050</v>
      </c>
      <c r="K52" s="2">
        <v>45865</v>
      </c>
      <c r="L52">
        <v>2456</v>
      </c>
      <c r="M52">
        <v>11506</v>
      </c>
      <c r="N52">
        <v>0</v>
      </c>
    </row>
    <row r="53" spans="1:14" x14ac:dyDescent="0.3">
      <c r="A53" s="1" t="s">
        <v>98</v>
      </c>
      <c r="B53" s="1" t="s">
        <v>75</v>
      </c>
      <c r="C53">
        <v>67</v>
      </c>
      <c r="D53" s="1" t="s">
        <v>16</v>
      </c>
      <c r="E53" s="1" t="s">
        <v>35</v>
      </c>
      <c r="F53" s="1" t="s">
        <v>18</v>
      </c>
      <c r="G53" s="1" t="s">
        <v>19</v>
      </c>
      <c r="H53" s="1" t="s">
        <v>20</v>
      </c>
      <c r="I53" s="2">
        <v>45592</v>
      </c>
      <c r="J53">
        <v>12978</v>
      </c>
      <c r="K53" s="2">
        <v>45869</v>
      </c>
      <c r="L53">
        <v>14951</v>
      </c>
      <c r="M53">
        <v>27929</v>
      </c>
      <c r="N53">
        <v>0</v>
      </c>
    </row>
    <row r="54" spans="1:14" x14ac:dyDescent="0.3">
      <c r="A54" s="1" t="s">
        <v>99</v>
      </c>
      <c r="B54" s="1" t="s">
        <v>71</v>
      </c>
      <c r="C54">
        <v>26</v>
      </c>
      <c r="D54" s="1" t="s">
        <v>30</v>
      </c>
      <c r="E54" s="1" t="s">
        <v>24</v>
      </c>
      <c r="F54" s="1" t="s">
        <v>25</v>
      </c>
      <c r="G54" s="1" t="s">
        <v>19</v>
      </c>
      <c r="H54" s="1" t="s">
        <v>20</v>
      </c>
      <c r="I54" s="2">
        <v>44713</v>
      </c>
      <c r="J54">
        <v>20306</v>
      </c>
      <c r="K54" s="2">
        <v>45855</v>
      </c>
      <c r="L54">
        <v>19597</v>
      </c>
      <c r="M54">
        <v>39903</v>
      </c>
      <c r="N54">
        <v>0</v>
      </c>
    </row>
    <row r="55" spans="1:14" x14ac:dyDescent="0.3">
      <c r="A55" s="1" t="s">
        <v>100</v>
      </c>
      <c r="B55" s="1" t="s">
        <v>75</v>
      </c>
      <c r="C55">
        <v>43</v>
      </c>
      <c r="D55" s="1" t="s">
        <v>23</v>
      </c>
      <c r="E55" s="1" t="s">
        <v>24</v>
      </c>
      <c r="F55" s="1" t="s">
        <v>18</v>
      </c>
      <c r="G55" s="1" t="s">
        <v>41</v>
      </c>
      <c r="H55" s="1" t="s">
        <v>20</v>
      </c>
      <c r="I55" s="2">
        <v>44883</v>
      </c>
      <c r="J55">
        <v>5765</v>
      </c>
      <c r="K55" s="2">
        <v>45848</v>
      </c>
      <c r="L55">
        <v>12018</v>
      </c>
      <c r="M55">
        <v>17783</v>
      </c>
      <c r="N55">
        <v>0</v>
      </c>
    </row>
    <row r="56" spans="1:14" x14ac:dyDescent="0.3">
      <c r="A56" s="1" t="s">
        <v>101</v>
      </c>
      <c r="B56" s="1" t="s">
        <v>56</v>
      </c>
      <c r="C56">
        <v>19</v>
      </c>
      <c r="D56" s="1" t="s">
        <v>16</v>
      </c>
      <c r="E56" s="1" t="s">
        <v>35</v>
      </c>
      <c r="F56" s="1" t="s">
        <v>18</v>
      </c>
      <c r="G56" s="1" t="s">
        <v>19</v>
      </c>
      <c r="H56" s="1" t="s">
        <v>20</v>
      </c>
      <c r="I56" s="2">
        <v>44778</v>
      </c>
      <c r="J56">
        <v>8088</v>
      </c>
      <c r="K56" s="2">
        <v>45867</v>
      </c>
      <c r="L56">
        <v>11310</v>
      </c>
      <c r="M56">
        <v>19398</v>
      </c>
      <c r="N56">
        <v>0</v>
      </c>
    </row>
    <row r="57" spans="1:14" x14ac:dyDescent="0.3">
      <c r="A57" s="1" t="s">
        <v>102</v>
      </c>
      <c r="B57" s="1" t="s">
        <v>43</v>
      </c>
      <c r="C57">
        <v>37</v>
      </c>
      <c r="D57" s="1" t="s">
        <v>16</v>
      </c>
      <c r="E57" s="1" t="s">
        <v>17</v>
      </c>
      <c r="F57" s="1" t="s">
        <v>18</v>
      </c>
      <c r="G57" s="1" t="s">
        <v>19</v>
      </c>
      <c r="H57" s="1" t="s">
        <v>20</v>
      </c>
      <c r="I57" s="2">
        <v>44391</v>
      </c>
      <c r="J57">
        <v>18451</v>
      </c>
      <c r="K57" s="2">
        <v>45628</v>
      </c>
      <c r="L57">
        <v>19685</v>
      </c>
      <c r="M57">
        <v>38136</v>
      </c>
      <c r="N57">
        <v>1</v>
      </c>
    </row>
    <row r="58" spans="1:14" x14ac:dyDescent="0.3">
      <c r="A58" s="1" t="s">
        <v>103</v>
      </c>
      <c r="B58" s="1" t="s">
        <v>79</v>
      </c>
      <c r="C58">
        <v>45</v>
      </c>
      <c r="D58" s="1" t="s">
        <v>16</v>
      </c>
      <c r="E58" s="1" t="s">
        <v>35</v>
      </c>
      <c r="F58" s="1" t="s">
        <v>18</v>
      </c>
      <c r="G58" s="1" t="s">
        <v>19</v>
      </c>
      <c r="H58" s="1" t="s">
        <v>20</v>
      </c>
      <c r="I58" s="2">
        <v>44262</v>
      </c>
      <c r="J58">
        <v>9988</v>
      </c>
      <c r="K58" s="2">
        <v>45866</v>
      </c>
      <c r="L58">
        <v>19055</v>
      </c>
      <c r="M58">
        <v>29043</v>
      </c>
      <c r="N58">
        <v>0</v>
      </c>
    </row>
    <row r="59" spans="1:14" x14ac:dyDescent="0.3">
      <c r="A59" s="1" t="s">
        <v>104</v>
      </c>
      <c r="B59" s="1" t="s">
        <v>37</v>
      </c>
      <c r="C59">
        <v>64</v>
      </c>
      <c r="D59" s="1" t="s">
        <v>16</v>
      </c>
      <c r="E59" s="1" t="s">
        <v>17</v>
      </c>
      <c r="F59" s="1" t="s">
        <v>25</v>
      </c>
      <c r="G59" s="1" t="s">
        <v>19</v>
      </c>
      <c r="H59" s="1" t="s">
        <v>20</v>
      </c>
      <c r="I59" s="2">
        <v>45409</v>
      </c>
      <c r="J59">
        <v>10966</v>
      </c>
      <c r="K59" s="2">
        <v>45861</v>
      </c>
      <c r="L59">
        <v>14599</v>
      </c>
      <c r="M59">
        <v>25565</v>
      </c>
      <c r="N59">
        <v>0</v>
      </c>
    </row>
    <row r="60" spans="1:14" x14ac:dyDescent="0.3">
      <c r="A60" s="1" t="s">
        <v>105</v>
      </c>
      <c r="B60" s="1" t="s">
        <v>27</v>
      </c>
      <c r="C60">
        <v>24</v>
      </c>
      <c r="D60" s="1" t="s">
        <v>23</v>
      </c>
      <c r="E60" s="1" t="s">
        <v>24</v>
      </c>
      <c r="F60" s="1" t="s">
        <v>18</v>
      </c>
      <c r="G60" s="1" t="s">
        <v>19</v>
      </c>
      <c r="H60" s="1" t="s">
        <v>20</v>
      </c>
      <c r="I60" s="2">
        <v>45276</v>
      </c>
      <c r="J60">
        <v>4757</v>
      </c>
      <c r="K60" s="2">
        <v>45855</v>
      </c>
      <c r="L60">
        <v>14144</v>
      </c>
      <c r="M60">
        <v>18901</v>
      </c>
      <c r="N60">
        <v>0</v>
      </c>
    </row>
    <row r="61" spans="1:14" x14ac:dyDescent="0.3">
      <c r="A61" s="1" t="s">
        <v>106</v>
      </c>
      <c r="B61" s="1" t="s">
        <v>52</v>
      </c>
      <c r="C61">
        <v>61</v>
      </c>
      <c r="D61" s="1" t="s">
        <v>16</v>
      </c>
      <c r="E61" s="1" t="s">
        <v>17</v>
      </c>
      <c r="F61" s="1" t="s">
        <v>25</v>
      </c>
      <c r="G61" s="1" t="s">
        <v>19</v>
      </c>
      <c r="H61" s="1" t="s">
        <v>20</v>
      </c>
      <c r="I61" s="2">
        <v>44669</v>
      </c>
      <c r="J61">
        <v>11115</v>
      </c>
      <c r="K61" s="2">
        <v>45845</v>
      </c>
      <c r="L61">
        <v>41373</v>
      </c>
      <c r="M61">
        <v>52488</v>
      </c>
      <c r="N61">
        <v>0</v>
      </c>
    </row>
    <row r="62" spans="1:14" x14ac:dyDescent="0.3">
      <c r="A62" s="1" t="s">
        <v>107</v>
      </c>
      <c r="B62" s="1" t="s">
        <v>32</v>
      </c>
      <c r="C62">
        <v>25</v>
      </c>
      <c r="D62" s="1" t="s">
        <v>16</v>
      </c>
      <c r="E62" s="1" t="s">
        <v>38</v>
      </c>
      <c r="F62" s="1" t="s">
        <v>25</v>
      </c>
      <c r="G62" s="1" t="s">
        <v>19</v>
      </c>
      <c r="H62" s="1" t="s">
        <v>20</v>
      </c>
      <c r="I62" s="2">
        <v>44691</v>
      </c>
      <c r="J62">
        <v>69715</v>
      </c>
      <c r="K62" s="2">
        <v>45758</v>
      </c>
      <c r="L62">
        <v>6550</v>
      </c>
      <c r="M62">
        <v>76265</v>
      </c>
      <c r="N62">
        <v>0</v>
      </c>
    </row>
    <row r="63" spans="1:14" x14ac:dyDescent="0.3">
      <c r="A63" s="1" t="s">
        <v>108</v>
      </c>
      <c r="B63" s="1" t="s">
        <v>15</v>
      </c>
      <c r="C63">
        <v>64</v>
      </c>
      <c r="D63" s="1" t="s">
        <v>16</v>
      </c>
      <c r="E63" s="1" t="s">
        <v>24</v>
      </c>
      <c r="F63" s="1" t="s">
        <v>18</v>
      </c>
      <c r="G63" s="1" t="s">
        <v>19</v>
      </c>
      <c r="H63" s="1" t="s">
        <v>20</v>
      </c>
      <c r="I63" s="2">
        <v>45777</v>
      </c>
      <c r="J63">
        <v>8550</v>
      </c>
      <c r="K63" s="2">
        <v>45869</v>
      </c>
      <c r="L63">
        <v>6027</v>
      </c>
      <c r="M63">
        <v>14577</v>
      </c>
      <c r="N63">
        <v>0</v>
      </c>
    </row>
    <row r="64" spans="1:14" x14ac:dyDescent="0.3">
      <c r="A64" s="1" t="s">
        <v>109</v>
      </c>
      <c r="B64" s="1" t="s">
        <v>34</v>
      </c>
      <c r="C64">
        <v>52</v>
      </c>
      <c r="D64" s="1" t="s">
        <v>16</v>
      </c>
      <c r="E64" s="1" t="s">
        <v>38</v>
      </c>
      <c r="F64" s="1" t="s">
        <v>18</v>
      </c>
      <c r="G64" s="1" t="s">
        <v>19</v>
      </c>
      <c r="H64" s="1" t="s">
        <v>20</v>
      </c>
      <c r="I64" s="2">
        <v>45849</v>
      </c>
      <c r="J64">
        <v>4243</v>
      </c>
      <c r="K64" s="2">
        <v>45869</v>
      </c>
      <c r="L64">
        <v>4939</v>
      </c>
      <c r="M64">
        <v>9182</v>
      </c>
      <c r="N64">
        <v>0</v>
      </c>
    </row>
    <row r="65" spans="1:14" x14ac:dyDescent="0.3">
      <c r="A65" s="1" t="s">
        <v>110</v>
      </c>
      <c r="B65" s="1" t="s">
        <v>71</v>
      </c>
      <c r="C65">
        <v>31</v>
      </c>
      <c r="D65" s="1" t="s">
        <v>16</v>
      </c>
      <c r="E65" s="1" t="s">
        <v>24</v>
      </c>
      <c r="F65" s="1" t="s">
        <v>25</v>
      </c>
      <c r="G65" s="1" t="s">
        <v>19</v>
      </c>
      <c r="H65" s="1" t="s">
        <v>20</v>
      </c>
      <c r="I65" s="2">
        <v>44989</v>
      </c>
      <c r="J65">
        <v>34827</v>
      </c>
      <c r="K65" s="2">
        <v>45831</v>
      </c>
      <c r="L65">
        <v>14583</v>
      </c>
      <c r="M65">
        <v>49410</v>
      </c>
      <c r="N65">
        <v>0</v>
      </c>
    </row>
    <row r="66" spans="1:14" x14ac:dyDescent="0.3">
      <c r="A66" s="1" t="s">
        <v>111</v>
      </c>
      <c r="B66" s="1" t="s">
        <v>15</v>
      </c>
      <c r="C66">
        <v>34</v>
      </c>
      <c r="D66" s="1" t="s">
        <v>16</v>
      </c>
      <c r="E66" s="1" t="s">
        <v>24</v>
      </c>
      <c r="F66" s="1" t="s">
        <v>25</v>
      </c>
      <c r="G66" s="1" t="s">
        <v>19</v>
      </c>
      <c r="H66" s="1" t="s">
        <v>20</v>
      </c>
      <c r="I66" s="2">
        <v>45539</v>
      </c>
      <c r="J66">
        <v>22547</v>
      </c>
      <c r="K66" s="2">
        <v>45864</v>
      </c>
      <c r="L66">
        <v>-5819</v>
      </c>
      <c r="M66">
        <v>16728</v>
      </c>
      <c r="N66">
        <v>0</v>
      </c>
    </row>
    <row r="67" spans="1:14" x14ac:dyDescent="0.3">
      <c r="A67" s="1" t="s">
        <v>112</v>
      </c>
      <c r="B67" s="1" t="s">
        <v>48</v>
      </c>
      <c r="C67">
        <v>53</v>
      </c>
      <c r="D67" s="1" t="s">
        <v>16</v>
      </c>
      <c r="E67" s="1" t="s">
        <v>17</v>
      </c>
      <c r="F67" s="1" t="s">
        <v>18</v>
      </c>
      <c r="G67" s="1" t="s">
        <v>19</v>
      </c>
      <c r="H67" s="1" t="s">
        <v>20</v>
      </c>
      <c r="I67" s="2">
        <v>45429</v>
      </c>
      <c r="J67">
        <v>16525</v>
      </c>
      <c r="K67" s="2">
        <v>45863</v>
      </c>
      <c r="L67">
        <v>12784</v>
      </c>
      <c r="M67">
        <v>29309</v>
      </c>
      <c r="N67">
        <v>0</v>
      </c>
    </row>
    <row r="68" spans="1:14" x14ac:dyDescent="0.3">
      <c r="A68" s="1" t="s">
        <v>113</v>
      </c>
      <c r="B68" s="1" t="s">
        <v>43</v>
      </c>
      <c r="C68">
        <v>67</v>
      </c>
      <c r="D68" s="1" t="s">
        <v>16</v>
      </c>
      <c r="E68" s="1" t="s">
        <v>24</v>
      </c>
      <c r="F68" s="1" t="s">
        <v>25</v>
      </c>
      <c r="G68" s="1" t="s">
        <v>19</v>
      </c>
      <c r="H68" s="1" t="s">
        <v>20</v>
      </c>
      <c r="I68" s="2">
        <v>44694</v>
      </c>
      <c r="J68">
        <v>3574</v>
      </c>
      <c r="K68" s="2">
        <v>45855</v>
      </c>
      <c r="L68">
        <v>9339</v>
      </c>
      <c r="M68">
        <v>12913</v>
      </c>
      <c r="N68">
        <v>0</v>
      </c>
    </row>
    <row r="69" spans="1:14" x14ac:dyDescent="0.3">
      <c r="A69" s="1" t="s">
        <v>114</v>
      </c>
      <c r="B69" s="1" t="s">
        <v>87</v>
      </c>
      <c r="C69">
        <v>57</v>
      </c>
      <c r="D69" s="1" t="s">
        <v>16</v>
      </c>
      <c r="E69" s="1" t="s">
        <v>35</v>
      </c>
      <c r="F69" s="1" t="s">
        <v>18</v>
      </c>
      <c r="G69" s="1" t="s">
        <v>19</v>
      </c>
      <c r="H69" s="1" t="s">
        <v>20</v>
      </c>
      <c r="I69" s="2">
        <v>44294</v>
      </c>
      <c r="J69">
        <v>4119</v>
      </c>
      <c r="K69" s="2">
        <v>45868</v>
      </c>
      <c r="L69">
        <v>-4610</v>
      </c>
      <c r="M69">
        <v>-491</v>
      </c>
      <c r="N69">
        <v>0</v>
      </c>
    </row>
    <row r="70" spans="1:14" x14ac:dyDescent="0.3">
      <c r="A70" s="1" t="s">
        <v>115</v>
      </c>
      <c r="B70" s="1" t="s">
        <v>71</v>
      </c>
      <c r="C70">
        <v>21</v>
      </c>
      <c r="D70" s="1" t="s">
        <v>16</v>
      </c>
      <c r="E70" s="1" t="s">
        <v>24</v>
      </c>
      <c r="F70" s="1" t="s">
        <v>25</v>
      </c>
      <c r="G70" s="1" t="s">
        <v>19</v>
      </c>
      <c r="H70" s="1" t="s">
        <v>20</v>
      </c>
      <c r="I70" s="2">
        <v>44435</v>
      </c>
      <c r="J70">
        <v>2872</v>
      </c>
      <c r="K70" s="2">
        <v>45757</v>
      </c>
      <c r="L70">
        <v>11951</v>
      </c>
      <c r="M70">
        <v>14823</v>
      </c>
      <c r="N70">
        <v>0</v>
      </c>
    </row>
    <row r="71" spans="1:14" x14ac:dyDescent="0.3">
      <c r="A71" s="1" t="s">
        <v>116</v>
      </c>
      <c r="B71" s="1" t="s">
        <v>64</v>
      </c>
      <c r="C71">
        <v>19</v>
      </c>
      <c r="D71" s="1" t="s">
        <v>16</v>
      </c>
      <c r="E71" s="1" t="s">
        <v>38</v>
      </c>
      <c r="F71" s="1" t="s">
        <v>18</v>
      </c>
      <c r="G71" s="1" t="s">
        <v>19</v>
      </c>
      <c r="H71" s="1" t="s">
        <v>20</v>
      </c>
      <c r="I71" s="2">
        <v>45599</v>
      </c>
      <c r="J71">
        <v>20569</v>
      </c>
      <c r="K71" s="2">
        <v>45849</v>
      </c>
      <c r="L71">
        <v>-7219</v>
      </c>
      <c r="M71">
        <v>13350</v>
      </c>
      <c r="N71">
        <v>0</v>
      </c>
    </row>
    <row r="72" spans="1:14" x14ac:dyDescent="0.3">
      <c r="A72" s="1" t="s">
        <v>117</v>
      </c>
      <c r="B72" s="1" t="s">
        <v>22</v>
      </c>
      <c r="C72">
        <v>23</v>
      </c>
      <c r="D72" s="1" t="s">
        <v>23</v>
      </c>
      <c r="E72" s="1" t="s">
        <v>38</v>
      </c>
      <c r="F72" s="1" t="s">
        <v>18</v>
      </c>
      <c r="G72" s="1" t="s">
        <v>41</v>
      </c>
      <c r="H72" s="1" t="s">
        <v>20</v>
      </c>
      <c r="I72" s="2">
        <v>45420</v>
      </c>
      <c r="J72">
        <v>37044</v>
      </c>
      <c r="K72" s="2">
        <v>45838</v>
      </c>
      <c r="L72">
        <v>18178</v>
      </c>
      <c r="M72">
        <v>55222</v>
      </c>
      <c r="N72">
        <v>0</v>
      </c>
    </row>
    <row r="73" spans="1:14" x14ac:dyDescent="0.3">
      <c r="A73" s="1" t="s">
        <v>118</v>
      </c>
      <c r="B73" s="1" t="s">
        <v>32</v>
      </c>
      <c r="C73">
        <v>59</v>
      </c>
      <c r="D73" s="1" t="s">
        <v>23</v>
      </c>
      <c r="E73" s="1" t="s">
        <v>24</v>
      </c>
      <c r="F73" s="1" t="s">
        <v>25</v>
      </c>
      <c r="G73" s="1" t="s">
        <v>19</v>
      </c>
      <c r="H73" s="1" t="s">
        <v>20</v>
      </c>
      <c r="I73" s="2">
        <v>45308</v>
      </c>
      <c r="J73">
        <v>21275</v>
      </c>
      <c r="K73" s="2">
        <v>45838</v>
      </c>
      <c r="L73">
        <v>-2452</v>
      </c>
      <c r="M73">
        <v>18823</v>
      </c>
      <c r="N73">
        <v>0</v>
      </c>
    </row>
    <row r="74" spans="1:14" x14ac:dyDescent="0.3">
      <c r="A74" s="1" t="s">
        <v>119</v>
      </c>
      <c r="B74" s="1" t="s">
        <v>61</v>
      </c>
      <c r="C74">
        <v>21</v>
      </c>
      <c r="D74" s="1" t="s">
        <v>23</v>
      </c>
      <c r="E74" s="1" t="s">
        <v>24</v>
      </c>
      <c r="F74" s="1" t="s">
        <v>18</v>
      </c>
      <c r="G74" s="1" t="s">
        <v>19</v>
      </c>
      <c r="H74" s="1" t="s">
        <v>20</v>
      </c>
      <c r="I74" s="2">
        <v>44415</v>
      </c>
      <c r="J74">
        <v>93892</v>
      </c>
      <c r="K74" s="2">
        <v>45785</v>
      </c>
      <c r="L74">
        <v>5092</v>
      </c>
      <c r="M74">
        <v>98984</v>
      </c>
      <c r="N74">
        <v>0</v>
      </c>
    </row>
    <row r="75" spans="1:14" x14ac:dyDescent="0.3">
      <c r="A75" s="1" t="s">
        <v>120</v>
      </c>
      <c r="B75" s="1" t="s">
        <v>56</v>
      </c>
      <c r="C75">
        <v>46</v>
      </c>
      <c r="D75" s="1" t="s">
        <v>16</v>
      </c>
      <c r="E75" s="1" t="s">
        <v>17</v>
      </c>
      <c r="F75" s="1" t="s">
        <v>18</v>
      </c>
      <c r="G75" s="1" t="s">
        <v>19</v>
      </c>
      <c r="H75" s="1" t="s">
        <v>20</v>
      </c>
      <c r="I75" s="2">
        <v>45267</v>
      </c>
      <c r="J75">
        <v>8588</v>
      </c>
      <c r="K75" s="2">
        <v>45824</v>
      </c>
      <c r="L75">
        <v>27814</v>
      </c>
      <c r="M75">
        <v>36402</v>
      </c>
      <c r="N75">
        <v>0</v>
      </c>
    </row>
    <row r="76" spans="1:14" x14ac:dyDescent="0.3">
      <c r="A76" s="1" t="s">
        <v>121</v>
      </c>
      <c r="B76" s="1" t="s">
        <v>79</v>
      </c>
      <c r="C76">
        <v>35</v>
      </c>
      <c r="D76" s="1" t="s">
        <v>16</v>
      </c>
      <c r="E76" s="1" t="s">
        <v>17</v>
      </c>
      <c r="F76" s="1" t="s">
        <v>18</v>
      </c>
      <c r="G76" s="1" t="s">
        <v>41</v>
      </c>
      <c r="H76" s="1" t="s">
        <v>20</v>
      </c>
      <c r="I76" s="2">
        <v>45488</v>
      </c>
      <c r="J76">
        <v>9666</v>
      </c>
      <c r="K76" s="2">
        <v>45867</v>
      </c>
      <c r="L76">
        <v>-8932</v>
      </c>
      <c r="M76">
        <v>734</v>
      </c>
      <c r="N76">
        <v>0</v>
      </c>
    </row>
    <row r="77" spans="1:14" x14ac:dyDescent="0.3">
      <c r="A77" s="1" t="s">
        <v>122</v>
      </c>
      <c r="B77" s="1" t="s">
        <v>34</v>
      </c>
      <c r="C77">
        <v>43</v>
      </c>
      <c r="D77" s="1" t="s">
        <v>16</v>
      </c>
      <c r="E77" s="1" t="s">
        <v>17</v>
      </c>
      <c r="F77" s="1" t="s">
        <v>25</v>
      </c>
      <c r="G77" s="1" t="s">
        <v>19</v>
      </c>
      <c r="H77" s="1" t="s">
        <v>20</v>
      </c>
      <c r="I77" s="2">
        <v>45636</v>
      </c>
      <c r="J77">
        <v>14862</v>
      </c>
      <c r="K77" s="2">
        <v>45849</v>
      </c>
      <c r="L77">
        <v>-5985</v>
      </c>
      <c r="M77">
        <v>8877</v>
      </c>
      <c r="N77">
        <v>0</v>
      </c>
    </row>
    <row r="78" spans="1:14" x14ac:dyDescent="0.3">
      <c r="A78" s="1" t="s">
        <v>123</v>
      </c>
      <c r="B78" s="1" t="s">
        <v>71</v>
      </c>
      <c r="C78">
        <v>61</v>
      </c>
      <c r="D78" s="1" t="s">
        <v>16</v>
      </c>
      <c r="E78" s="1" t="s">
        <v>24</v>
      </c>
      <c r="F78" s="1" t="s">
        <v>25</v>
      </c>
      <c r="G78" s="1" t="s">
        <v>19</v>
      </c>
      <c r="H78" s="1" t="s">
        <v>20</v>
      </c>
      <c r="I78" s="2">
        <v>44219</v>
      </c>
      <c r="J78">
        <v>10620</v>
      </c>
      <c r="K78" s="2">
        <v>45855</v>
      </c>
      <c r="L78">
        <v>3872</v>
      </c>
      <c r="M78">
        <v>14492</v>
      </c>
      <c r="N78">
        <v>0</v>
      </c>
    </row>
    <row r="79" spans="1:14" x14ac:dyDescent="0.3">
      <c r="A79" s="1" t="s">
        <v>124</v>
      </c>
      <c r="B79" s="1" t="s">
        <v>87</v>
      </c>
      <c r="C79">
        <v>51</v>
      </c>
      <c r="D79" s="1" t="s">
        <v>16</v>
      </c>
      <c r="E79" s="1" t="s">
        <v>24</v>
      </c>
      <c r="F79" s="1" t="s">
        <v>25</v>
      </c>
      <c r="G79" s="1" t="s">
        <v>19</v>
      </c>
      <c r="H79" s="1" t="s">
        <v>49</v>
      </c>
      <c r="I79" s="2">
        <v>45342</v>
      </c>
      <c r="J79">
        <v>21998</v>
      </c>
      <c r="K79" s="2">
        <v>45860</v>
      </c>
      <c r="L79">
        <v>22541</v>
      </c>
      <c r="M79">
        <v>44539</v>
      </c>
      <c r="N79">
        <v>0</v>
      </c>
    </row>
    <row r="80" spans="1:14" x14ac:dyDescent="0.3">
      <c r="A80" s="1" t="s">
        <v>125</v>
      </c>
      <c r="B80" s="1" t="s">
        <v>79</v>
      </c>
      <c r="C80">
        <v>27</v>
      </c>
      <c r="D80" s="1" t="s">
        <v>23</v>
      </c>
      <c r="E80" s="1" t="s">
        <v>24</v>
      </c>
      <c r="F80" s="1" t="s">
        <v>18</v>
      </c>
      <c r="G80" s="1" t="s">
        <v>19</v>
      </c>
      <c r="H80" s="1" t="s">
        <v>20</v>
      </c>
      <c r="I80" s="2">
        <v>44228</v>
      </c>
      <c r="J80">
        <v>7047</v>
      </c>
      <c r="K80" s="2">
        <v>45824</v>
      </c>
      <c r="L80">
        <v>13265</v>
      </c>
      <c r="M80">
        <v>20312</v>
      </c>
      <c r="N80">
        <v>0</v>
      </c>
    </row>
    <row r="81" spans="1:14" x14ac:dyDescent="0.3">
      <c r="A81" s="1" t="s">
        <v>126</v>
      </c>
      <c r="B81" s="1" t="s">
        <v>40</v>
      </c>
      <c r="C81">
        <v>53</v>
      </c>
      <c r="D81" s="1" t="s">
        <v>16</v>
      </c>
      <c r="E81" s="1" t="s">
        <v>24</v>
      </c>
      <c r="F81" s="1" t="s">
        <v>25</v>
      </c>
      <c r="G81" s="1" t="s">
        <v>19</v>
      </c>
      <c r="H81" s="1" t="s">
        <v>20</v>
      </c>
      <c r="I81" s="2">
        <v>45379</v>
      </c>
      <c r="J81">
        <v>3312</v>
      </c>
      <c r="K81" s="2">
        <v>45857</v>
      </c>
      <c r="L81">
        <v>-5460</v>
      </c>
      <c r="M81">
        <v>-2148</v>
      </c>
      <c r="N81">
        <v>0</v>
      </c>
    </row>
    <row r="82" spans="1:14" x14ac:dyDescent="0.3">
      <c r="A82" s="1" t="s">
        <v>127</v>
      </c>
      <c r="B82" s="1" t="s">
        <v>40</v>
      </c>
      <c r="C82">
        <v>31</v>
      </c>
      <c r="D82" s="1" t="s">
        <v>16</v>
      </c>
      <c r="E82" s="1" t="s">
        <v>24</v>
      </c>
      <c r="F82" s="1" t="s">
        <v>18</v>
      </c>
      <c r="G82" s="1" t="s">
        <v>19</v>
      </c>
      <c r="H82" s="1" t="s">
        <v>49</v>
      </c>
      <c r="I82" s="2">
        <v>45260</v>
      </c>
      <c r="J82">
        <v>2232</v>
      </c>
      <c r="K82" s="2">
        <v>45865</v>
      </c>
      <c r="L82">
        <v>-4649</v>
      </c>
      <c r="M82">
        <v>-2417</v>
      </c>
      <c r="N82">
        <v>0</v>
      </c>
    </row>
    <row r="83" spans="1:14" x14ac:dyDescent="0.3">
      <c r="A83" s="1" t="s">
        <v>128</v>
      </c>
      <c r="B83" s="1" t="s">
        <v>27</v>
      </c>
      <c r="C83">
        <v>48</v>
      </c>
      <c r="D83" s="1" t="s">
        <v>16</v>
      </c>
      <c r="E83" s="1" t="s">
        <v>38</v>
      </c>
      <c r="F83" s="1" t="s">
        <v>18</v>
      </c>
      <c r="G83" s="1" t="s">
        <v>19</v>
      </c>
      <c r="H83" s="1" t="s">
        <v>20</v>
      </c>
      <c r="I83" s="2">
        <v>44445</v>
      </c>
      <c r="J83">
        <v>21601</v>
      </c>
      <c r="K83" s="2">
        <v>45825</v>
      </c>
      <c r="L83">
        <v>19218</v>
      </c>
      <c r="M83">
        <v>40819</v>
      </c>
      <c r="N83">
        <v>0</v>
      </c>
    </row>
    <row r="84" spans="1:14" x14ac:dyDescent="0.3">
      <c r="A84" s="1" t="s">
        <v>129</v>
      </c>
      <c r="B84" s="1" t="s">
        <v>22</v>
      </c>
      <c r="C84">
        <v>65</v>
      </c>
      <c r="D84" s="1" t="s">
        <v>23</v>
      </c>
      <c r="E84" s="1" t="s">
        <v>38</v>
      </c>
      <c r="F84" s="1" t="s">
        <v>25</v>
      </c>
      <c r="G84" s="1" t="s">
        <v>19</v>
      </c>
      <c r="H84" s="1" t="s">
        <v>20</v>
      </c>
      <c r="I84" s="2">
        <v>45478</v>
      </c>
      <c r="J84">
        <v>7896</v>
      </c>
      <c r="K84" s="2">
        <v>45869</v>
      </c>
      <c r="L84">
        <v>28934</v>
      </c>
      <c r="M84">
        <v>36830</v>
      </c>
      <c r="N84">
        <v>0</v>
      </c>
    </row>
    <row r="85" spans="1:14" x14ac:dyDescent="0.3">
      <c r="A85" s="1" t="s">
        <v>130</v>
      </c>
      <c r="B85" s="1" t="s">
        <v>75</v>
      </c>
      <c r="C85">
        <v>32</v>
      </c>
      <c r="D85" s="1" t="s">
        <v>23</v>
      </c>
      <c r="E85" s="1" t="s">
        <v>17</v>
      </c>
      <c r="F85" s="1" t="s">
        <v>18</v>
      </c>
      <c r="G85" s="1" t="s">
        <v>19</v>
      </c>
      <c r="H85" s="1" t="s">
        <v>20</v>
      </c>
      <c r="I85" s="2">
        <v>44311</v>
      </c>
      <c r="J85">
        <v>4148</v>
      </c>
      <c r="K85" s="2">
        <v>45821</v>
      </c>
      <c r="L85">
        <v>-1541</v>
      </c>
      <c r="M85">
        <v>2607</v>
      </c>
      <c r="N85">
        <v>0</v>
      </c>
    </row>
    <row r="86" spans="1:14" x14ac:dyDescent="0.3">
      <c r="A86" s="1" t="s">
        <v>131</v>
      </c>
      <c r="B86" s="1" t="s">
        <v>40</v>
      </c>
      <c r="C86">
        <v>25</v>
      </c>
      <c r="D86" s="1" t="s">
        <v>23</v>
      </c>
      <c r="E86" s="1" t="s">
        <v>17</v>
      </c>
      <c r="F86" s="1" t="s">
        <v>18</v>
      </c>
      <c r="G86" s="1" t="s">
        <v>19</v>
      </c>
      <c r="H86" s="1" t="s">
        <v>20</v>
      </c>
      <c r="I86" s="2">
        <v>45579</v>
      </c>
      <c r="J86">
        <v>7194</v>
      </c>
      <c r="K86" s="2">
        <v>45866</v>
      </c>
      <c r="L86">
        <v>6297</v>
      </c>
      <c r="M86">
        <v>13491</v>
      </c>
      <c r="N86">
        <v>0</v>
      </c>
    </row>
    <row r="87" spans="1:14" x14ac:dyDescent="0.3">
      <c r="A87" s="1" t="s">
        <v>132</v>
      </c>
      <c r="B87" s="1" t="s">
        <v>48</v>
      </c>
      <c r="C87">
        <v>31</v>
      </c>
      <c r="D87" s="1" t="s">
        <v>23</v>
      </c>
      <c r="E87" s="1" t="s">
        <v>38</v>
      </c>
      <c r="F87" s="1" t="s">
        <v>18</v>
      </c>
      <c r="G87" s="1" t="s">
        <v>19</v>
      </c>
      <c r="H87" s="1" t="s">
        <v>20</v>
      </c>
      <c r="I87" s="2">
        <v>44635</v>
      </c>
      <c r="J87">
        <v>94139</v>
      </c>
      <c r="K87" s="2">
        <v>45843</v>
      </c>
      <c r="L87">
        <v>-8361</v>
      </c>
      <c r="M87">
        <v>85778</v>
      </c>
      <c r="N87">
        <v>0</v>
      </c>
    </row>
    <row r="88" spans="1:14" x14ac:dyDescent="0.3">
      <c r="A88" s="1" t="s">
        <v>133</v>
      </c>
      <c r="B88" s="1" t="s">
        <v>52</v>
      </c>
      <c r="C88">
        <v>40</v>
      </c>
      <c r="D88" s="1" t="s">
        <v>16</v>
      </c>
      <c r="E88" s="1" t="s">
        <v>24</v>
      </c>
      <c r="F88" s="1" t="s">
        <v>18</v>
      </c>
      <c r="G88" s="1" t="s">
        <v>19</v>
      </c>
      <c r="H88" s="1" t="s">
        <v>20</v>
      </c>
      <c r="I88" s="2">
        <v>45349</v>
      </c>
      <c r="J88">
        <v>4399</v>
      </c>
      <c r="K88" s="2">
        <v>45854</v>
      </c>
      <c r="L88">
        <v>12526</v>
      </c>
      <c r="M88">
        <v>16925</v>
      </c>
      <c r="N88">
        <v>0</v>
      </c>
    </row>
    <row r="89" spans="1:14" x14ac:dyDescent="0.3">
      <c r="A89" s="1" t="s">
        <v>134</v>
      </c>
      <c r="B89" s="1" t="s">
        <v>22</v>
      </c>
      <c r="C89">
        <v>57</v>
      </c>
      <c r="D89" s="1" t="s">
        <v>23</v>
      </c>
      <c r="E89" s="1" t="s">
        <v>38</v>
      </c>
      <c r="F89" s="1" t="s">
        <v>25</v>
      </c>
      <c r="G89" s="1" t="s">
        <v>19</v>
      </c>
      <c r="H89" s="1" t="s">
        <v>20</v>
      </c>
      <c r="I89" s="2">
        <v>45742</v>
      </c>
      <c r="J89">
        <v>27645</v>
      </c>
      <c r="K89" s="2">
        <v>45861</v>
      </c>
      <c r="L89">
        <v>-1555</v>
      </c>
      <c r="M89">
        <v>26090</v>
      </c>
      <c r="N89">
        <v>0</v>
      </c>
    </row>
    <row r="90" spans="1:14" x14ac:dyDescent="0.3">
      <c r="A90" s="1" t="s">
        <v>135</v>
      </c>
      <c r="B90" s="1" t="s">
        <v>71</v>
      </c>
      <c r="C90">
        <v>38</v>
      </c>
      <c r="D90" s="1" t="s">
        <v>16</v>
      </c>
      <c r="E90" s="1" t="s">
        <v>24</v>
      </c>
      <c r="F90" s="1" t="s">
        <v>18</v>
      </c>
      <c r="G90" s="1" t="s">
        <v>19</v>
      </c>
      <c r="H90" s="1" t="s">
        <v>20</v>
      </c>
      <c r="I90" s="2">
        <v>44765</v>
      </c>
      <c r="J90">
        <v>20355</v>
      </c>
      <c r="K90" s="2">
        <v>45814</v>
      </c>
      <c r="L90">
        <v>-19531</v>
      </c>
      <c r="M90">
        <v>824</v>
      </c>
      <c r="N90">
        <v>0</v>
      </c>
    </row>
    <row r="91" spans="1:14" x14ac:dyDescent="0.3">
      <c r="A91" s="1" t="s">
        <v>136</v>
      </c>
      <c r="B91" s="1" t="s">
        <v>64</v>
      </c>
      <c r="C91">
        <v>33</v>
      </c>
      <c r="D91" s="1" t="s">
        <v>16</v>
      </c>
      <c r="E91" s="1" t="s">
        <v>24</v>
      </c>
      <c r="F91" s="1" t="s">
        <v>25</v>
      </c>
      <c r="G91" s="1" t="s">
        <v>41</v>
      </c>
      <c r="H91" s="1" t="s">
        <v>20</v>
      </c>
      <c r="I91" s="2">
        <v>45038</v>
      </c>
      <c r="J91">
        <v>51095</v>
      </c>
      <c r="K91" s="2">
        <v>45814</v>
      </c>
      <c r="L91">
        <v>5675</v>
      </c>
      <c r="M91">
        <v>56770</v>
      </c>
      <c r="N91">
        <v>0</v>
      </c>
    </row>
    <row r="92" spans="1:14" x14ac:dyDescent="0.3">
      <c r="A92" s="1" t="s">
        <v>137</v>
      </c>
      <c r="B92" s="1" t="s">
        <v>48</v>
      </c>
      <c r="C92">
        <v>62</v>
      </c>
      <c r="D92" s="1" t="s">
        <v>23</v>
      </c>
      <c r="E92" s="1" t="s">
        <v>17</v>
      </c>
      <c r="F92" s="1" t="s">
        <v>18</v>
      </c>
      <c r="G92" s="1" t="s">
        <v>19</v>
      </c>
      <c r="H92" s="1" t="s">
        <v>20</v>
      </c>
      <c r="I92" s="2">
        <v>44971</v>
      </c>
      <c r="J92">
        <v>11812</v>
      </c>
      <c r="K92" s="2">
        <v>45735</v>
      </c>
      <c r="L92">
        <v>19499</v>
      </c>
      <c r="M92">
        <v>31311</v>
      </c>
      <c r="N92">
        <v>0</v>
      </c>
    </row>
    <row r="93" spans="1:14" x14ac:dyDescent="0.3">
      <c r="A93" s="1" t="s">
        <v>138</v>
      </c>
      <c r="B93" s="1" t="s">
        <v>22</v>
      </c>
      <c r="C93">
        <v>35</v>
      </c>
      <c r="D93" s="1" t="s">
        <v>23</v>
      </c>
      <c r="E93" s="1" t="s">
        <v>24</v>
      </c>
      <c r="F93" s="1" t="s">
        <v>18</v>
      </c>
      <c r="G93" s="1" t="s">
        <v>41</v>
      </c>
      <c r="H93" s="1" t="s">
        <v>20</v>
      </c>
      <c r="I93" s="2">
        <v>44460</v>
      </c>
      <c r="J93">
        <v>2806</v>
      </c>
      <c r="K93" s="2">
        <v>45723</v>
      </c>
      <c r="L93">
        <v>15345</v>
      </c>
      <c r="M93">
        <v>18151</v>
      </c>
      <c r="N93">
        <v>0</v>
      </c>
    </row>
    <row r="94" spans="1:14" x14ac:dyDescent="0.3">
      <c r="A94" s="1" t="s">
        <v>139</v>
      </c>
      <c r="B94" s="1" t="s">
        <v>56</v>
      </c>
      <c r="C94">
        <v>64</v>
      </c>
      <c r="D94" s="1" t="s">
        <v>23</v>
      </c>
      <c r="E94" s="1" t="s">
        <v>24</v>
      </c>
      <c r="F94" s="1" t="s">
        <v>18</v>
      </c>
      <c r="G94" s="1" t="s">
        <v>19</v>
      </c>
      <c r="H94" s="1" t="s">
        <v>20</v>
      </c>
      <c r="I94" s="2">
        <v>45184</v>
      </c>
      <c r="J94">
        <v>36046</v>
      </c>
      <c r="K94" s="2">
        <v>45856</v>
      </c>
      <c r="L94">
        <v>-18208</v>
      </c>
      <c r="M94">
        <v>17838</v>
      </c>
      <c r="N94">
        <v>0</v>
      </c>
    </row>
    <row r="95" spans="1:14" x14ac:dyDescent="0.3">
      <c r="A95" s="1" t="s">
        <v>140</v>
      </c>
      <c r="B95" s="1" t="s">
        <v>48</v>
      </c>
      <c r="C95">
        <v>41</v>
      </c>
      <c r="D95" s="1" t="s">
        <v>23</v>
      </c>
      <c r="E95" s="1" t="s">
        <v>24</v>
      </c>
      <c r="F95" s="1" t="s">
        <v>25</v>
      </c>
      <c r="G95" s="1" t="s">
        <v>41</v>
      </c>
      <c r="H95" s="1" t="s">
        <v>20</v>
      </c>
      <c r="I95" s="2">
        <v>45440</v>
      </c>
      <c r="J95">
        <v>10406</v>
      </c>
      <c r="K95" s="2">
        <v>45869</v>
      </c>
      <c r="L95">
        <v>1768</v>
      </c>
      <c r="M95">
        <v>12174</v>
      </c>
      <c r="N95">
        <v>0</v>
      </c>
    </row>
    <row r="96" spans="1:14" x14ac:dyDescent="0.3">
      <c r="A96" s="1" t="s">
        <v>141</v>
      </c>
      <c r="B96" s="1" t="s">
        <v>56</v>
      </c>
      <c r="C96">
        <v>43</v>
      </c>
      <c r="D96" s="1" t="s">
        <v>23</v>
      </c>
      <c r="E96" s="1" t="s">
        <v>38</v>
      </c>
      <c r="F96" s="1" t="s">
        <v>25</v>
      </c>
      <c r="G96" s="1" t="s">
        <v>19</v>
      </c>
      <c r="H96" s="1" t="s">
        <v>20</v>
      </c>
      <c r="I96" s="2">
        <v>45730</v>
      </c>
      <c r="J96">
        <v>47785</v>
      </c>
      <c r="K96" s="2">
        <v>45859</v>
      </c>
      <c r="L96">
        <v>21827</v>
      </c>
      <c r="M96">
        <v>69612</v>
      </c>
      <c r="N96">
        <v>0</v>
      </c>
    </row>
    <row r="97" spans="1:14" x14ac:dyDescent="0.3">
      <c r="A97" s="1" t="s">
        <v>142</v>
      </c>
      <c r="B97" s="1" t="s">
        <v>64</v>
      </c>
      <c r="C97">
        <v>42</v>
      </c>
      <c r="D97" s="1" t="s">
        <v>16</v>
      </c>
      <c r="E97" s="1" t="s">
        <v>38</v>
      </c>
      <c r="F97" s="1" t="s">
        <v>25</v>
      </c>
      <c r="G97" s="1" t="s">
        <v>19</v>
      </c>
      <c r="H97" s="1" t="s">
        <v>20</v>
      </c>
      <c r="I97" s="2">
        <v>45620</v>
      </c>
      <c r="J97">
        <v>30211</v>
      </c>
      <c r="K97" s="2">
        <v>45869</v>
      </c>
      <c r="L97">
        <v>34948</v>
      </c>
      <c r="M97">
        <v>65159</v>
      </c>
      <c r="N97">
        <v>0</v>
      </c>
    </row>
    <row r="98" spans="1:14" x14ac:dyDescent="0.3">
      <c r="A98" s="1" t="s">
        <v>143</v>
      </c>
      <c r="B98" s="1" t="s">
        <v>87</v>
      </c>
      <c r="C98">
        <v>62</v>
      </c>
      <c r="D98" s="1" t="s">
        <v>23</v>
      </c>
      <c r="E98" s="1" t="s">
        <v>24</v>
      </c>
      <c r="F98" s="1" t="s">
        <v>25</v>
      </c>
      <c r="G98" s="1" t="s">
        <v>19</v>
      </c>
      <c r="H98" s="1" t="s">
        <v>20</v>
      </c>
      <c r="I98" s="2">
        <v>45050</v>
      </c>
      <c r="J98">
        <v>36166</v>
      </c>
      <c r="K98" s="2">
        <v>45824</v>
      </c>
      <c r="L98">
        <v>-6266</v>
      </c>
      <c r="M98">
        <v>29900</v>
      </c>
      <c r="N98">
        <v>0</v>
      </c>
    </row>
    <row r="99" spans="1:14" x14ac:dyDescent="0.3">
      <c r="A99" s="1" t="s">
        <v>144</v>
      </c>
      <c r="B99" s="1" t="s">
        <v>37</v>
      </c>
      <c r="C99">
        <v>58</v>
      </c>
      <c r="D99" s="1" t="s">
        <v>30</v>
      </c>
      <c r="E99" s="1" t="s">
        <v>38</v>
      </c>
      <c r="F99" s="1" t="s">
        <v>18</v>
      </c>
      <c r="G99" s="1" t="s">
        <v>19</v>
      </c>
      <c r="H99" s="1" t="s">
        <v>20</v>
      </c>
      <c r="I99" s="2">
        <v>45399</v>
      </c>
      <c r="J99">
        <v>142697</v>
      </c>
      <c r="K99" s="2">
        <v>45861</v>
      </c>
      <c r="L99">
        <v>15236</v>
      </c>
      <c r="M99">
        <v>157933</v>
      </c>
      <c r="N99">
        <v>0</v>
      </c>
    </row>
    <row r="100" spans="1:14" x14ac:dyDescent="0.3">
      <c r="A100" s="1" t="s">
        <v>145</v>
      </c>
      <c r="B100" s="1" t="s">
        <v>29</v>
      </c>
      <c r="C100">
        <v>46</v>
      </c>
      <c r="D100" s="1" t="s">
        <v>23</v>
      </c>
      <c r="E100" s="1" t="s">
        <v>24</v>
      </c>
      <c r="F100" s="1" t="s">
        <v>25</v>
      </c>
      <c r="G100" s="1" t="s">
        <v>19</v>
      </c>
      <c r="H100" s="1" t="s">
        <v>20</v>
      </c>
      <c r="I100" s="2">
        <v>45536</v>
      </c>
      <c r="J100">
        <v>17712</v>
      </c>
      <c r="K100" s="2">
        <v>45844</v>
      </c>
      <c r="L100">
        <v>13365</v>
      </c>
      <c r="M100">
        <v>31077</v>
      </c>
      <c r="N100">
        <v>0</v>
      </c>
    </row>
    <row r="101" spans="1:14" x14ac:dyDescent="0.3">
      <c r="A101" s="1" t="s">
        <v>146</v>
      </c>
      <c r="B101" s="1" t="s">
        <v>34</v>
      </c>
      <c r="C101">
        <v>32</v>
      </c>
      <c r="D101" s="1" t="s">
        <v>16</v>
      </c>
      <c r="E101" s="1" t="s">
        <v>24</v>
      </c>
      <c r="F101" s="1" t="s">
        <v>25</v>
      </c>
      <c r="G101" s="1" t="s">
        <v>19</v>
      </c>
      <c r="H101" s="1" t="s">
        <v>20</v>
      </c>
      <c r="I101" s="2">
        <v>45022</v>
      </c>
      <c r="J101">
        <v>56549</v>
      </c>
      <c r="K101" s="2">
        <v>45840</v>
      </c>
      <c r="L101">
        <v>14418</v>
      </c>
      <c r="M101">
        <v>70967</v>
      </c>
      <c r="N101">
        <v>0</v>
      </c>
    </row>
    <row r="102" spans="1:14" x14ac:dyDescent="0.3">
      <c r="A102" s="1" t="s">
        <v>147</v>
      </c>
      <c r="B102" s="1" t="s">
        <v>43</v>
      </c>
      <c r="C102">
        <v>62</v>
      </c>
      <c r="D102" s="1" t="s">
        <v>16</v>
      </c>
      <c r="E102" s="1" t="s">
        <v>38</v>
      </c>
      <c r="F102" s="1" t="s">
        <v>25</v>
      </c>
      <c r="G102" s="1" t="s">
        <v>19</v>
      </c>
      <c r="H102" s="1" t="s">
        <v>20</v>
      </c>
      <c r="I102" s="2">
        <v>44390</v>
      </c>
      <c r="J102">
        <v>8912</v>
      </c>
      <c r="K102" s="2">
        <v>45813</v>
      </c>
      <c r="L102">
        <v>-14160</v>
      </c>
      <c r="M102">
        <v>-5248</v>
      </c>
      <c r="N102">
        <v>0</v>
      </c>
    </row>
    <row r="103" spans="1:14" x14ac:dyDescent="0.3">
      <c r="A103" s="1" t="s">
        <v>148</v>
      </c>
      <c r="B103" s="1" t="s">
        <v>75</v>
      </c>
      <c r="C103">
        <v>18</v>
      </c>
      <c r="D103" s="1" t="s">
        <v>16</v>
      </c>
      <c r="E103" s="1" t="s">
        <v>24</v>
      </c>
      <c r="F103" s="1" t="s">
        <v>18</v>
      </c>
      <c r="G103" s="1" t="s">
        <v>19</v>
      </c>
      <c r="H103" s="1" t="s">
        <v>20</v>
      </c>
      <c r="I103" s="2">
        <v>44929</v>
      </c>
      <c r="J103">
        <v>22942</v>
      </c>
      <c r="K103" s="2">
        <v>45862</v>
      </c>
      <c r="L103">
        <v>22668</v>
      </c>
      <c r="M103">
        <v>45610</v>
      </c>
      <c r="N103">
        <v>0</v>
      </c>
    </row>
    <row r="104" spans="1:14" x14ac:dyDescent="0.3">
      <c r="A104" s="1" t="s">
        <v>149</v>
      </c>
      <c r="B104" s="1" t="s">
        <v>59</v>
      </c>
      <c r="C104">
        <v>42</v>
      </c>
      <c r="D104" s="1" t="s">
        <v>16</v>
      </c>
      <c r="E104" s="1" t="s">
        <v>24</v>
      </c>
      <c r="F104" s="1" t="s">
        <v>18</v>
      </c>
      <c r="G104" s="1" t="s">
        <v>19</v>
      </c>
      <c r="H104" s="1" t="s">
        <v>20</v>
      </c>
      <c r="I104" s="2">
        <v>45606</v>
      </c>
      <c r="J104">
        <v>8085</v>
      </c>
      <c r="K104" s="2">
        <v>45868</v>
      </c>
      <c r="L104">
        <v>-1806</v>
      </c>
      <c r="M104">
        <v>6279</v>
      </c>
      <c r="N104">
        <v>0</v>
      </c>
    </row>
    <row r="105" spans="1:14" x14ac:dyDescent="0.3">
      <c r="A105" s="1" t="s">
        <v>150</v>
      </c>
      <c r="B105" s="1" t="s">
        <v>64</v>
      </c>
      <c r="C105">
        <v>24</v>
      </c>
      <c r="D105" s="1" t="s">
        <v>16</v>
      </c>
      <c r="E105" s="1" t="s">
        <v>17</v>
      </c>
      <c r="F105" s="1" t="s">
        <v>25</v>
      </c>
      <c r="G105" s="1" t="s">
        <v>19</v>
      </c>
      <c r="H105" s="1" t="s">
        <v>20</v>
      </c>
      <c r="I105" s="2">
        <v>45195</v>
      </c>
      <c r="J105">
        <v>21574</v>
      </c>
      <c r="K105" s="2">
        <v>45842</v>
      </c>
      <c r="L105">
        <v>16131</v>
      </c>
      <c r="M105">
        <v>37705</v>
      </c>
      <c r="N105">
        <v>0</v>
      </c>
    </row>
    <row r="106" spans="1:14" x14ac:dyDescent="0.3">
      <c r="A106" s="1" t="s">
        <v>151</v>
      </c>
      <c r="B106" s="1" t="s">
        <v>69</v>
      </c>
      <c r="C106">
        <v>26</v>
      </c>
      <c r="D106" s="1" t="s">
        <v>16</v>
      </c>
      <c r="E106" s="1" t="s">
        <v>24</v>
      </c>
      <c r="F106" s="1" t="s">
        <v>25</v>
      </c>
      <c r="G106" s="1" t="s">
        <v>19</v>
      </c>
      <c r="H106" s="1" t="s">
        <v>20</v>
      </c>
      <c r="I106" s="2">
        <v>45409</v>
      </c>
      <c r="J106">
        <v>19435</v>
      </c>
      <c r="K106" s="2">
        <v>45843</v>
      </c>
      <c r="L106">
        <v>8928</v>
      </c>
      <c r="M106">
        <v>28363</v>
      </c>
      <c r="N106">
        <v>0</v>
      </c>
    </row>
    <row r="107" spans="1:14" x14ac:dyDescent="0.3">
      <c r="A107" s="1" t="s">
        <v>152</v>
      </c>
      <c r="B107" s="1" t="s">
        <v>27</v>
      </c>
      <c r="C107">
        <v>41</v>
      </c>
      <c r="D107" s="1" t="s">
        <v>16</v>
      </c>
      <c r="E107" s="1" t="s">
        <v>38</v>
      </c>
      <c r="F107" s="1" t="s">
        <v>18</v>
      </c>
      <c r="G107" s="1" t="s">
        <v>19</v>
      </c>
      <c r="H107" s="1" t="s">
        <v>20</v>
      </c>
      <c r="I107" s="2">
        <v>44506</v>
      </c>
      <c r="J107">
        <v>1702</v>
      </c>
      <c r="K107" s="2">
        <v>45712</v>
      </c>
      <c r="L107">
        <v>-11581</v>
      </c>
      <c r="M107">
        <v>-9879</v>
      </c>
      <c r="N107">
        <v>0</v>
      </c>
    </row>
    <row r="108" spans="1:14" x14ac:dyDescent="0.3">
      <c r="A108" s="1" t="s">
        <v>153</v>
      </c>
      <c r="B108" s="1" t="s">
        <v>52</v>
      </c>
      <c r="C108">
        <v>18</v>
      </c>
      <c r="D108" s="1" t="s">
        <v>16</v>
      </c>
      <c r="E108" s="1" t="s">
        <v>38</v>
      </c>
      <c r="F108" s="1" t="s">
        <v>25</v>
      </c>
      <c r="G108" s="1" t="s">
        <v>19</v>
      </c>
      <c r="H108" s="1" t="s">
        <v>20</v>
      </c>
      <c r="I108" s="2">
        <v>45810</v>
      </c>
      <c r="J108">
        <v>7246</v>
      </c>
      <c r="K108" s="2">
        <v>45868</v>
      </c>
      <c r="L108">
        <v>6951</v>
      </c>
      <c r="M108">
        <v>14197</v>
      </c>
      <c r="N108">
        <v>0</v>
      </c>
    </row>
    <row r="109" spans="1:14" x14ac:dyDescent="0.3">
      <c r="A109" s="1" t="s">
        <v>154</v>
      </c>
      <c r="B109" s="1" t="s">
        <v>56</v>
      </c>
      <c r="C109">
        <v>61</v>
      </c>
      <c r="D109" s="1" t="s">
        <v>23</v>
      </c>
      <c r="E109" s="1" t="s">
        <v>38</v>
      </c>
      <c r="F109" s="1" t="s">
        <v>25</v>
      </c>
      <c r="G109" s="1" t="s">
        <v>19</v>
      </c>
      <c r="H109" s="1" t="s">
        <v>20</v>
      </c>
      <c r="I109" s="2">
        <v>44873</v>
      </c>
      <c r="J109">
        <v>16820</v>
      </c>
      <c r="K109" s="2">
        <v>45843</v>
      </c>
      <c r="L109">
        <v>-3950</v>
      </c>
      <c r="M109">
        <v>12870</v>
      </c>
      <c r="N109">
        <v>0</v>
      </c>
    </row>
    <row r="110" spans="1:14" x14ac:dyDescent="0.3">
      <c r="A110" s="1" t="s">
        <v>155</v>
      </c>
      <c r="B110" s="1" t="s">
        <v>59</v>
      </c>
      <c r="C110">
        <v>25</v>
      </c>
      <c r="D110" s="1" t="s">
        <v>23</v>
      </c>
      <c r="E110" s="1" t="s">
        <v>38</v>
      </c>
      <c r="F110" s="1" t="s">
        <v>18</v>
      </c>
      <c r="G110" s="1" t="s">
        <v>41</v>
      </c>
      <c r="H110" s="1" t="s">
        <v>20</v>
      </c>
      <c r="I110" s="2">
        <v>45290</v>
      </c>
      <c r="J110">
        <v>1398</v>
      </c>
      <c r="K110" s="2">
        <v>45842</v>
      </c>
      <c r="L110">
        <v>24456</v>
      </c>
      <c r="M110">
        <v>25854</v>
      </c>
      <c r="N110">
        <v>0</v>
      </c>
    </row>
    <row r="111" spans="1:14" x14ac:dyDescent="0.3">
      <c r="A111" s="1" t="s">
        <v>156</v>
      </c>
      <c r="B111" s="1" t="s">
        <v>87</v>
      </c>
      <c r="C111">
        <v>41</v>
      </c>
      <c r="D111" s="1" t="s">
        <v>16</v>
      </c>
      <c r="E111" s="1" t="s">
        <v>24</v>
      </c>
      <c r="F111" s="1" t="s">
        <v>25</v>
      </c>
      <c r="G111" s="1" t="s">
        <v>19</v>
      </c>
      <c r="H111" s="1" t="s">
        <v>20</v>
      </c>
      <c r="I111" s="2">
        <v>44228</v>
      </c>
      <c r="J111">
        <v>12139</v>
      </c>
      <c r="K111" s="2">
        <v>45853</v>
      </c>
      <c r="L111">
        <v>9315</v>
      </c>
      <c r="M111">
        <v>21454</v>
      </c>
      <c r="N111">
        <v>0</v>
      </c>
    </row>
    <row r="112" spans="1:14" x14ac:dyDescent="0.3">
      <c r="A112" s="1" t="s">
        <v>157</v>
      </c>
      <c r="B112" s="1" t="s">
        <v>59</v>
      </c>
      <c r="C112">
        <v>28</v>
      </c>
      <c r="D112" s="1" t="s">
        <v>16</v>
      </c>
      <c r="E112" s="1" t="s">
        <v>24</v>
      </c>
      <c r="F112" s="1" t="s">
        <v>18</v>
      </c>
      <c r="G112" s="1" t="s">
        <v>19</v>
      </c>
      <c r="H112" s="1" t="s">
        <v>20</v>
      </c>
      <c r="I112" s="2">
        <v>44410</v>
      </c>
      <c r="J112">
        <v>36624</v>
      </c>
      <c r="K112" s="2">
        <v>45869</v>
      </c>
      <c r="L112">
        <v>23802</v>
      </c>
      <c r="M112">
        <v>60426</v>
      </c>
      <c r="N112">
        <v>0</v>
      </c>
    </row>
    <row r="113" spans="1:14" x14ac:dyDescent="0.3">
      <c r="A113" s="1" t="s">
        <v>158</v>
      </c>
      <c r="B113" s="1" t="s">
        <v>87</v>
      </c>
      <c r="C113">
        <v>68</v>
      </c>
      <c r="D113" s="1" t="s">
        <v>16</v>
      </c>
      <c r="E113" s="1" t="s">
        <v>17</v>
      </c>
      <c r="F113" s="1" t="s">
        <v>18</v>
      </c>
      <c r="G113" s="1" t="s">
        <v>19</v>
      </c>
      <c r="H113" s="1" t="s">
        <v>20</v>
      </c>
      <c r="I113" s="2">
        <v>45505</v>
      </c>
      <c r="J113">
        <v>49033</v>
      </c>
      <c r="K113" s="2">
        <v>45863</v>
      </c>
      <c r="L113">
        <v>26081</v>
      </c>
      <c r="M113">
        <v>75114</v>
      </c>
      <c r="N113">
        <v>0</v>
      </c>
    </row>
    <row r="114" spans="1:14" x14ac:dyDescent="0.3">
      <c r="A114" s="1" t="s">
        <v>159</v>
      </c>
      <c r="B114" s="1" t="s">
        <v>64</v>
      </c>
      <c r="C114">
        <v>34</v>
      </c>
      <c r="D114" s="1" t="s">
        <v>16</v>
      </c>
      <c r="E114" s="1" t="s">
        <v>24</v>
      </c>
      <c r="F114" s="1" t="s">
        <v>18</v>
      </c>
      <c r="G114" s="1" t="s">
        <v>19</v>
      </c>
      <c r="H114" s="1" t="s">
        <v>20</v>
      </c>
      <c r="I114" s="2">
        <v>45816</v>
      </c>
      <c r="J114">
        <v>6109</v>
      </c>
      <c r="K114" s="2">
        <v>45866</v>
      </c>
      <c r="L114">
        <v>20342</v>
      </c>
      <c r="M114">
        <v>26451</v>
      </c>
      <c r="N114">
        <v>0</v>
      </c>
    </row>
    <row r="115" spans="1:14" x14ac:dyDescent="0.3">
      <c r="A115" s="1" t="s">
        <v>160</v>
      </c>
      <c r="B115" s="1" t="s">
        <v>64</v>
      </c>
      <c r="C115">
        <v>25</v>
      </c>
      <c r="D115" s="1" t="s">
        <v>30</v>
      </c>
      <c r="E115" s="1" t="s">
        <v>24</v>
      </c>
      <c r="F115" s="1" t="s">
        <v>18</v>
      </c>
      <c r="G115" s="1" t="s">
        <v>19</v>
      </c>
      <c r="H115" s="1" t="s">
        <v>20</v>
      </c>
      <c r="I115" s="2">
        <v>44732</v>
      </c>
      <c r="J115">
        <v>52282</v>
      </c>
      <c r="K115" s="2">
        <v>45786</v>
      </c>
      <c r="L115">
        <v>17683</v>
      </c>
      <c r="M115">
        <v>69965</v>
      </c>
      <c r="N115">
        <v>0</v>
      </c>
    </row>
    <row r="116" spans="1:14" x14ac:dyDescent="0.3">
      <c r="A116" s="1" t="s">
        <v>161</v>
      </c>
      <c r="B116" s="1" t="s">
        <v>37</v>
      </c>
      <c r="C116">
        <v>52</v>
      </c>
      <c r="D116" s="1" t="s">
        <v>23</v>
      </c>
      <c r="E116" s="1" t="s">
        <v>35</v>
      </c>
      <c r="F116" s="1" t="s">
        <v>25</v>
      </c>
      <c r="G116" s="1" t="s">
        <v>19</v>
      </c>
      <c r="H116" s="1" t="s">
        <v>20</v>
      </c>
      <c r="I116" s="2">
        <v>44259</v>
      </c>
      <c r="J116">
        <v>44717</v>
      </c>
      <c r="K116" s="2">
        <v>45860</v>
      </c>
      <c r="L116">
        <v>41840</v>
      </c>
      <c r="M116">
        <v>86557</v>
      </c>
      <c r="N116">
        <v>0</v>
      </c>
    </row>
    <row r="117" spans="1:14" x14ac:dyDescent="0.3">
      <c r="A117" s="1" t="s">
        <v>162</v>
      </c>
      <c r="B117" s="1" t="s">
        <v>56</v>
      </c>
      <c r="C117">
        <v>52</v>
      </c>
      <c r="D117" s="1" t="s">
        <v>23</v>
      </c>
      <c r="E117" s="1" t="s">
        <v>24</v>
      </c>
      <c r="F117" s="1" t="s">
        <v>18</v>
      </c>
      <c r="G117" s="1" t="s">
        <v>19</v>
      </c>
      <c r="H117" s="1" t="s">
        <v>20</v>
      </c>
      <c r="I117" s="2">
        <v>44800</v>
      </c>
      <c r="J117">
        <v>1559</v>
      </c>
      <c r="K117" s="2">
        <v>45845</v>
      </c>
      <c r="L117">
        <v>19911</v>
      </c>
      <c r="M117">
        <v>21470</v>
      </c>
      <c r="N117">
        <v>0</v>
      </c>
    </row>
    <row r="118" spans="1:14" x14ac:dyDescent="0.3">
      <c r="A118" s="1" t="s">
        <v>163</v>
      </c>
      <c r="B118" s="1" t="s">
        <v>29</v>
      </c>
      <c r="C118">
        <v>50</v>
      </c>
      <c r="D118" s="1" t="s">
        <v>23</v>
      </c>
      <c r="E118" s="1" t="s">
        <v>24</v>
      </c>
      <c r="F118" s="1" t="s">
        <v>18</v>
      </c>
      <c r="G118" s="1" t="s">
        <v>19</v>
      </c>
      <c r="H118" s="1" t="s">
        <v>20</v>
      </c>
      <c r="I118" s="2">
        <v>44226</v>
      </c>
      <c r="J118">
        <v>15000</v>
      </c>
      <c r="K118" s="2">
        <v>45820</v>
      </c>
      <c r="L118">
        <v>5499</v>
      </c>
      <c r="M118">
        <v>20499</v>
      </c>
      <c r="N118">
        <v>0</v>
      </c>
    </row>
    <row r="119" spans="1:14" x14ac:dyDescent="0.3">
      <c r="A119" s="1" t="s">
        <v>164</v>
      </c>
      <c r="B119" s="1" t="s">
        <v>43</v>
      </c>
      <c r="C119">
        <v>22</v>
      </c>
      <c r="D119" s="1" t="s">
        <v>16</v>
      </c>
      <c r="E119" s="1" t="s">
        <v>24</v>
      </c>
      <c r="F119" s="1" t="s">
        <v>18</v>
      </c>
      <c r="G119" s="1" t="s">
        <v>19</v>
      </c>
      <c r="H119" s="1" t="s">
        <v>20</v>
      </c>
      <c r="I119" s="2">
        <v>44518</v>
      </c>
      <c r="J119">
        <v>16755</v>
      </c>
      <c r="K119" s="2">
        <v>45857</v>
      </c>
      <c r="L119">
        <v>8412</v>
      </c>
      <c r="M119">
        <v>25167</v>
      </c>
      <c r="N119">
        <v>0</v>
      </c>
    </row>
    <row r="120" spans="1:14" x14ac:dyDescent="0.3">
      <c r="A120" s="1" t="s">
        <v>165</v>
      </c>
      <c r="B120" s="1" t="s">
        <v>37</v>
      </c>
      <c r="C120">
        <v>59</v>
      </c>
      <c r="D120" s="1" t="s">
        <v>16</v>
      </c>
      <c r="E120" s="1" t="s">
        <v>24</v>
      </c>
      <c r="F120" s="1" t="s">
        <v>18</v>
      </c>
      <c r="G120" s="1" t="s">
        <v>19</v>
      </c>
      <c r="H120" s="1" t="s">
        <v>20</v>
      </c>
      <c r="I120" s="2">
        <v>45455</v>
      </c>
      <c r="J120">
        <v>61010</v>
      </c>
      <c r="K120" s="2">
        <v>45854</v>
      </c>
      <c r="L120">
        <v>18167</v>
      </c>
      <c r="M120">
        <v>79177</v>
      </c>
      <c r="N120">
        <v>0</v>
      </c>
    </row>
    <row r="121" spans="1:14" x14ac:dyDescent="0.3">
      <c r="A121" s="1" t="s">
        <v>166</v>
      </c>
      <c r="B121" s="1" t="s">
        <v>22</v>
      </c>
      <c r="C121">
        <v>56</v>
      </c>
      <c r="D121" s="1" t="s">
        <v>23</v>
      </c>
      <c r="E121" s="1" t="s">
        <v>38</v>
      </c>
      <c r="F121" s="1" t="s">
        <v>18</v>
      </c>
      <c r="G121" s="1" t="s">
        <v>19</v>
      </c>
      <c r="H121" s="1" t="s">
        <v>20</v>
      </c>
      <c r="I121" s="2">
        <v>45764</v>
      </c>
      <c r="J121">
        <v>17790</v>
      </c>
      <c r="K121" s="2">
        <v>45868</v>
      </c>
      <c r="L121">
        <v>26835</v>
      </c>
      <c r="M121">
        <v>44625</v>
      </c>
      <c r="N121">
        <v>0</v>
      </c>
    </row>
    <row r="122" spans="1:14" x14ac:dyDescent="0.3">
      <c r="A122" s="1" t="s">
        <v>167</v>
      </c>
      <c r="B122" s="1" t="s">
        <v>71</v>
      </c>
      <c r="C122">
        <v>58</v>
      </c>
      <c r="D122" s="1" t="s">
        <v>16</v>
      </c>
      <c r="E122" s="1" t="s">
        <v>17</v>
      </c>
      <c r="F122" s="1" t="s">
        <v>25</v>
      </c>
      <c r="G122" s="1" t="s">
        <v>19</v>
      </c>
      <c r="H122" s="1" t="s">
        <v>20</v>
      </c>
      <c r="I122" s="2">
        <v>44343</v>
      </c>
      <c r="J122">
        <v>53838</v>
      </c>
      <c r="K122" s="2">
        <v>45797</v>
      </c>
      <c r="L122">
        <v>22895</v>
      </c>
      <c r="M122">
        <v>76733</v>
      </c>
      <c r="N122">
        <v>0</v>
      </c>
    </row>
    <row r="123" spans="1:14" x14ac:dyDescent="0.3">
      <c r="A123" s="1" t="s">
        <v>168</v>
      </c>
      <c r="B123" s="1" t="s">
        <v>43</v>
      </c>
      <c r="C123">
        <v>45</v>
      </c>
      <c r="D123" s="1" t="s">
        <v>23</v>
      </c>
      <c r="E123" s="1" t="s">
        <v>24</v>
      </c>
      <c r="F123" s="1" t="s">
        <v>18</v>
      </c>
      <c r="G123" s="1" t="s">
        <v>41</v>
      </c>
      <c r="H123" s="1" t="s">
        <v>20</v>
      </c>
      <c r="I123" s="2">
        <v>45130</v>
      </c>
      <c r="J123">
        <v>6119</v>
      </c>
      <c r="K123" s="2">
        <v>45847</v>
      </c>
      <c r="L123">
        <v>30462</v>
      </c>
      <c r="M123">
        <v>36581</v>
      </c>
      <c r="N123">
        <v>0</v>
      </c>
    </row>
    <row r="124" spans="1:14" x14ac:dyDescent="0.3">
      <c r="A124" s="1" t="s">
        <v>169</v>
      </c>
      <c r="B124" s="1" t="s">
        <v>34</v>
      </c>
      <c r="C124">
        <v>24</v>
      </c>
      <c r="D124" s="1" t="s">
        <v>16</v>
      </c>
      <c r="E124" s="1" t="s">
        <v>38</v>
      </c>
      <c r="F124" s="1" t="s">
        <v>25</v>
      </c>
      <c r="G124" s="1" t="s">
        <v>19</v>
      </c>
      <c r="H124" s="1" t="s">
        <v>20</v>
      </c>
      <c r="I124" s="2">
        <v>44621</v>
      </c>
      <c r="J124">
        <v>2703</v>
      </c>
      <c r="K124" s="2">
        <v>45717</v>
      </c>
      <c r="L124">
        <v>12870</v>
      </c>
      <c r="M124">
        <v>15573</v>
      </c>
      <c r="N124">
        <v>0</v>
      </c>
    </row>
    <row r="125" spans="1:14" x14ac:dyDescent="0.3">
      <c r="A125" s="1" t="s">
        <v>170</v>
      </c>
      <c r="B125" s="1" t="s">
        <v>48</v>
      </c>
      <c r="C125">
        <v>26</v>
      </c>
      <c r="D125" s="1" t="s">
        <v>16</v>
      </c>
      <c r="E125" s="1" t="s">
        <v>24</v>
      </c>
      <c r="F125" s="1" t="s">
        <v>25</v>
      </c>
      <c r="G125" s="1" t="s">
        <v>19</v>
      </c>
      <c r="H125" s="1" t="s">
        <v>20</v>
      </c>
      <c r="I125" s="2">
        <v>44429</v>
      </c>
      <c r="J125">
        <v>6989</v>
      </c>
      <c r="K125" s="2">
        <v>45818</v>
      </c>
      <c r="L125">
        <v>3558</v>
      </c>
      <c r="M125">
        <v>10547</v>
      </c>
      <c r="N125">
        <v>0</v>
      </c>
    </row>
    <row r="126" spans="1:14" x14ac:dyDescent="0.3">
      <c r="A126" s="1" t="s">
        <v>171</v>
      </c>
      <c r="B126" s="1" t="s">
        <v>34</v>
      </c>
      <c r="C126">
        <v>25</v>
      </c>
      <c r="D126" s="1" t="s">
        <v>23</v>
      </c>
      <c r="E126" s="1" t="s">
        <v>24</v>
      </c>
      <c r="F126" s="1" t="s">
        <v>18</v>
      </c>
      <c r="G126" s="1" t="s">
        <v>19</v>
      </c>
      <c r="H126" s="1" t="s">
        <v>20</v>
      </c>
      <c r="I126" s="2">
        <v>44563</v>
      </c>
      <c r="J126">
        <v>64666</v>
      </c>
      <c r="K126" s="2">
        <v>45837</v>
      </c>
      <c r="L126">
        <v>25941</v>
      </c>
      <c r="M126">
        <v>90607</v>
      </c>
      <c r="N126">
        <v>0</v>
      </c>
    </row>
    <row r="127" spans="1:14" x14ac:dyDescent="0.3">
      <c r="A127" s="1" t="s">
        <v>172</v>
      </c>
      <c r="B127" s="1" t="s">
        <v>27</v>
      </c>
      <c r="C127">
        <v>29</v>
      </c>
      <c r="D127" s="1" t="s">
        <v>16</v>
      </c>
      <c r="E127" s="1" t="s">
        <v>38</v>
      </c>
      <c r="F127" s="1" t="s">
        <v>25</v>
      </c>
      <c r="G127" s="1" t="s">
        <v>19</v>
      </c>
      <c r="H127" s="1" t="s">
        <v>20</v>
      </c>
      <c r="I127" s="2">
        <v>45163</v>
      </c>
      <c r="J127">
        <v>33722</v>
      </c>
      <c r="K127" s="2">
        <v>45859</v>
      </c>
      <c r="L127">
        <v>-16835</v>
      </c>
      <c r="M127">
        <v>16887</v>
      </c>
      <c r="N127">
        <v>0</v>
      </c>
    </row>
    <row r="128" spans="1:14" x14ac:dyDescent="0.3">
      <c r="A128" s="1" t="s">
        <v>173</v>
      </c>
      <c r="B128" s="1" t="s">
        <v>79</v>
      </c>
      <c r="C128">
        <v>51</v>
      </c>
      <c r="D128" s="1" t="s">
        <v>23</v>
      </c>
      <c r="E128" s="1" t="s">
        <v>38</v>
      </c>
      <c r="F128" s="1" t="s">
        <v>18</v>
      </c>
      <c r="G128" s="1" t="s">
        <v>19</v>
      </c>
      <c r="H128" s="1" t="s">
        <v>20</v>
      </c>
      <c r="I128" s="2">
        <v>44305</v>
      </c>
      <c r="J128">
        <v>136279</v>
      </c>
      <c r="K128" s="2">
        <v>45725</v>
      </c>
      <c r="L128">
        <v>17549</v>
      </c>
      <c r="M128">
        <v>153828</v>
      </c>
      <c r="N128">
        <v>0</v>
      </c>
    </row>
    <row r="129" spans="1:14" x14ac:dyDescent="0.3">
      <c r="A129" s="1" t="s">
        <v>174</v>
      </c>
      <c r="B129" s="1" t="s">
        <v>43</v>
      </c>
      <c r="C129">
        <v>50</v>
      </c>
      <c r="D129" s="1" t="s">
        <v>23</v>
      </c>
      <c r="E129" s="1" t="s">
        <v>17</v>
      </c>
      <c r="F129" s="1" t="s">
        <v>18</v>
      </c>
      <c r="G129" s="1" t="s">
        <v>19</v>
      </c>
      <c r="H129" s="1" t="s">
        <v>20</v>
      </c>
      <c r="I129" s="2">
        <v>44923</v>
      </c>
      <c r="J129">
        <v>3155</v>
      </c>
      <c r="K129" s="2">
        <v>45864</v>
      </c>
      <c r="L129">
        <v>5981</v>
      </c>
      <c r="M129">
        <v>9136</v>
      </c>
      <c r="N129">
        <v>0</v>
      </c>
    </row>
    <row r="130" spans="1:14" x14ac:dyDescent="0.3">
      <c r="A130" s="1" t="s">
        <v>175</v>
      </c>
      <c r="B130" s="1" t="s">
        <v>87</v>
      </c>
      <c r="C130">
        <v>65</v>
      </c>
      <c r="D130" s="1" t="s">
        <v>23</v>
      </c>
      <c r="E130" s="1" t="s">
        <v>38</v>
      </c>
      <c r="F130" s="1" t="s">
        <v>18</v>
      </c>
      <c r="G130" s="1" t="s">
        <v>19</v>
      </c>
      <c r="H130" s="1" t="s">
        <v>20</v>
      </c>
      <c r="I130" s="2">
        <v>44423</v>
      </c>
      <c r="J130">
        <v>37848</v>
      </c>
      <c r="K130" s="2">
        <v>45817</v>
      </c>
      <c r="L130">
        <v>7708</v>
      </c>
      <c r="M130">
        <v>45556</v>
      </c>
      <c r="N130">
        <v>0</v>
      </c>
    </row>
    <row r="131" spans="1:14" x14ac:dyDescent="0.3">
      <c r="A131" s="1" t="s">
        <v>176</v>
      </c>
      <c r="B131" s="1" t="s">
        <v>34</v>
      </c>
      <c r="C131">
        <v>40</v>
      </c>
      <c r="D131" s="1" t="s">
        <v>23</v>
      </c>
      <c r="E131" s="1" t="s">
        <v>38</v>
      </c>
      <c r="F131" s="1" t="s">
        <v>18</v>
      </c>
      <c r="G131" s="1" t="s">
        <v>19</v>
      </c>
      <c r="H131" s="1" t="s">
        <v>20</v>
      </c>
      <c r="I131" s="2">
        <v>44653</v>
      </c>
      <c r="J131">
        <v>28421</v>
      </c>
      <c r="K131" s="2">
        <v>45767</v>
      </c>
      <c r="L131">
        <v>-18027</v>
      </c>
      <c r="M131">
        <v>10394</v>
      </c>
      <c r="N131">
        <v>0</v>
      </c>
    </row>
    <row r="132" spans="1:14" x14ac:dyDescent="0.3">
      <c r="A132" s="1" t="s">
        <v>177</v>
      </c>
      <c r="B132" s="1" t="s">
        <v>71</v>
      </c>
      <c r="C132">
        <v>41</v>
      </c>
      <c r="D132" s="1" t="s">
        <v>23</v>
      </c>
      <c r="E132" s="1" t="s">
        <v>24</v>
      </c>
      <c r="F132" s="1" t="s">
        <v>18</v>
      </c>
      <c r="G132" s="1" t="s">
        <v>19</v>
      </c>
      <c r="H132" s="1" t="s">
        <v>20</v>
      </c>
      <c r="I132" s="2">
        <v>44516</v>
      </c>
      <c r="J132">
        <v>10044</v>
      </c>
      <c r="K132" s="2">
        <v>45869</v>
      </c>
      <c r="L132">
        <v>772</v>
      </c>
      <c r="M132">
        <v>10816</v>
      </c>
      <c r="N132">
        <v>0</v>
      </c>
    </row>
    <row r="133" spans="1:14" x14ac:dyDescent="0.3">
      <c r="A133" s="1" t="s">
        <v>178</v>
      </c>
      <c r="B133" s="1" t="s">
        <v>40</v>
      </c>
      <c r="C133">
        <v>54</v>
      </c>
      <c r="D133" s="1" t="s">
        <v>16</v>
      </c>
      <c r="E133" s="1" t="s">
        <v>35</v>
      </c>
      <c r="F133" s="1" t="s">
        <v>25</v>
      </c>
      <c r="G133" s="1" t="s">
        <v>19</v>
      </c>
      <c r="H133" s="1" t="s">
        <v>20</v>
      </c>
      <c r="I133" s="2">
        <v>45674</v>
      </c>
      <c r="J133">
        <v>29025</v>
      </c>
      <c r="K133" s="2">
        <v>45858</v>
      </c>
      <c r="L133">
        <v>15693</v>
      </c>
      <c r="M133">
        <v>44718</v>
      </c>
      <c r="N133">
        <v>0</v>
      </c>
    </row>
    <row r="134" spans="1:14" x14ac:dyDescent="0.3">
      <c r="A134" s="1" t="s">
        <v>179</v>
      </c>
      <c r="B134" s="1" t="s">
        <v>87</v>
      </c>
      <c r="C134">
        <v>52</v>
      </c>
      <c r="D134" s="1" t="s">
        <v>16</v>
      </c>
      <c r="E134" s="1" t="s">
        <v>38</v>
      </c>
      <c r="F134" s="1" t="s">
        <v>18</v>
      </c>
      <c r="G134" s="1" t="s">
        <v>19</v>
      </c>
      <c r="H134" s="1" t="s">
        <v>20</v>
      </c>
      <c r="I134" s="2">
        <v>45381</v>
      </c>
      <c r="J134">
        <v>15367</v>
      </c>
      <c r="K134" s="2">
        <v>45832</v>
      </c>
      <c r="L134">
        <v>13830</v>
      </c>
      <c r="M134">
        <v>29197</v>
      </c>
      <c r="N134">
        <v>0</v>
      </c>
    </row>
    <row r="135" spans="1:14" x14ac:dyDescent="0.3">
      <c r="A135" s="1" t="s">
        <v>180</v>
      </c>
      <c r="B135" s="1" t="s">
        <v>79</v>
      </c>
      <c r="C135">
        <v>61</v>
      </c>
      <c r="D135" s="1" t="s">
        <v>16</v>
      </c>
      <c r="E135" s="1" t="s">
        <v>38</v>
      </c>
      <c r="F135" s="1" t="s">
        <v>25</v>
      </c>
      <c r="G135" s="1" t="s">
        <v>19</v>
      </c>
      <c r="H135" s="1" t="s">
        <v>20</v>
      </c>
      <c r="I135" s="2">
        <v>45649</v>
      </c>
      <c r="J135">
        <v>21169</v>
      </c>
      <c r="K135" s="2">
        <v>45849</v>
      </c>
      <c r="L135">
        <v>-4374</v>
      </c>
      <c r="M135">
        <v>16795</v>
      </c>
      <c r="N135">
        <v>0</v>
      </c>
    </row>
    <row r="136" spans="1:14" x14ac:dyDescent="0.3">
      <c r="A136" s="1" t="s">
        <v>181</v>
      </c>
      <c r="B136" s="1" t="s">
        <v>52</v>
      </c>
      <c r="C136">
        <v>57</v>
      </c>
      <c r="D136" s="1" t="s">
        <v>23</v>
      </c>
      <c r="E136" s="1" t="s">
        <v>38</v>
      </c>
      <c r="F136" s="1" t="s">
        <v>18</v>
      </c>
      <c r="G136" s="1" t="s">
        <v>19</v>
      </c>
      <c r="H136" s="1" t="s">
        <v>20</v>
      </c>
      <c r="I136" s="2">
        <v>44838</v>
      </c>
      <c r="J136">
        <v>26385</v>
      </c>
      <c r="K136" s="2">
        <v>45851</v>
      </c>
      <c r="L136">
        <v>-3364</v>
      </c>
      <c r="M136">
        <v>23021</v>
      </c>
      <c r="N136">
        <v>0</v>
      </c>
    </row>
    <row r="137" spans="1:14" x14ac:dyDescent="0.3">
      <c r="A137" s="1" t="s">
        <v>182</v>
      </c>
      <c r="B137" s="1" t="s">
        <v>27</v>
      </c>
      <c r="C137">
        <v>39</v>
      </c>
      <c r="D137" s="1" t="s">
        <v>16</v>
      </c>
      <c r="E137" s="1" t="s">
        <v>17</v>
      </c>
      <c r="F137" s="1" t="s">
        <v>25</v>
      </c>
      <c r="G137" s="1" t="s">
        <v>19</v>
      </c>
      <c r="H137" s="1" t="s">
        <v>20</v>
      </c>
      <c r="I137" s="2">
        <v>44721</v>
      </c>
      <c r="J137">
        <v>35600</v>
      </c>
      <c r="K137" s="2">
        <v>45859</v>
      </c>
      <c r="L137">
        <v>16626</v>
      </c>
      <c r="M137">
        <v>52226</v>
      </c>
      <c r="N137">
        <v>0</v>
      </c>
    </row>
    <row r="138" spans="1:14" x14ac:dyDescent="0.3">
      <c r="A138" s="1" t="s">
        <v>183</v>
      </c>
      <c r="B138" s="1" t="s">
        <v>48</v>
      </c>
      <c r="C138">
        <v>44</v>
      </c>
      <c r="D138" s="1" t="s">
        <v>23</v>
      </c>
      <c r="E138" s="1" t="s">
        <v>17</v>
      </c>
      <c r="F138" s="1" t="s">
        <v>18</v>
      </c>
      <c r="G138" s="1" t="s">
        <v>19</v>
      </c>
      <c r="H138" s="1" t="s">
        <v>49</v>
      </c>
      <c r="I138" s="2">
        <v>44833</v>
      </c>
      <c r="J138">
        <v>14571</v>
      </c>
      <c r="K138" s="2">
        <v>45859</v>
      </c>
      <c r="L138">
        <v>15832</v>
      </c>
      <c r="M138">
        <v>30403</v>
      </c>
      <c r="N138">
        <v>0</v>
      </c>
    </row>
    <row r="139" spans="1:14" x14ac:dyDescent="0.3">
      <c r="A139" s="1" t="s">
        <v>184</v>
      </c>
      <c r="B139" s="1" t="s">
        <v>87</v>
      </c>
      <c r="C139">
        <v>52</v>
      </c>
      <c r="D139" s="1" t="s">
        <v>23</v>
      </c>
      <c r="E139" s="1" t="s">
        <v>24</v>
      </c>
      <c r="F139" s="1" t="s">
        <v>18</v>
      </c>
      <c r="G139" s="1" t="s">
        <v>19</v>
      </c>
      <c r="H139" s="1" t="s">
        <v>20</v>
      </c>
      <c r="I139" s="2">
        <v>44228</v>
      </c>
      <c r="J139">
        <v>79011</v>
      </c>
      <c r="K139" s="2">
        <v>45765</v>
      </c>
      <c r="L139">
        <v>13414</v>
      </c>
      <c r="M139">
        <v>92425</v>
      </c>
      <c r="N139">
        <v>0</v>
      </c>
    </row>
    <row r="140" spans="1:14" x14ac:dyDescent="0.3">
      <c r="A140" s="1" t="s">
        <v>185</v>
      </c>
      <c r="B140" s="1" t="s">
        <v>87</v>
      </c>
      <c r="C140">
        <v>18</v>
      </c>
      <c r="D140" s="1" t="s">
        <v>16</v>
      </c>
      <c r="E140" s="1" t="s">
        <v>24</v>
      </c>
      <c r="F140" s="1" t="s">
        <v>18</v>
      </c>
      <c r="G140" s="1" t="s">
        <v>19</v>
      </c>
      <c r="H140" s="1" t="s">
        <v>20</v>
      </c>
      <c r="I140" s="2">
        <v>45409</v>
      </c>
      <c r="J140">
        <v>10767</v>
      </c>
      <c r="K140" s="2">
        <v>45864</v>
      </c>
      <c r="L140">
        <v>16013</v>
      </c>
      <c r="M140">
        <v>26780</v>
      </c>
      <c r="N140">
        <v>0</v>
      </c>
    </row>
    <row r="141" spans="1:14" x14ac:dyDescent="0.3">
      <c r="A141" s="1" t="s">
        <v>186</v>
      </c>
      <c r="B141" s="1" t="s">
        <v>15</v>
      </c>
      <c r="C141">
        <v>52</v>
      </c>
      <c r="D141" s="1" t="s">
        <v>23</v>
      </c>
      <c r="E141" s="1" t="s">
        <v>24</v>
      </c>
      <c r="F141" s="1" t="s">
        <v>18</v>
      </c>
      <c r="G141" s="1" t="s">
        <v>19</v>
      </c>
      <c r="H141" s="1" t="s">
        <v>20</v>
      </c>
      <c r="I141" s="2">
        <v>44782</v>
      </c>
      <c r="J141">
        <v>87883</v>
      </c>
      <c r="K141" s="2">
        <v>45865</v>
      </c>
      <c r="L141">
        <v>24015</v>
      </c>
      <c r="M141">
        <v>111898</v>
      </c>
      <c r="N141">
        <v>0</v>
      </c>
    </row>
    <row r="142" spans="1:14" x14ac:dyDescent="0.3">
      <c r="A142" s="1" t="s">
        <v>187</v>
      </c>
      <c r="B142" s="1" t="s">
        <v>52</v>
      </c>
      <c r="C142">
        <v>54</v>
      </c>
      <c r="D142" s="1" t="s">
        <v>16</v>
      </c>
      <c r="E142" s="1" t="s">
        <v>38</v>
      </c>
      <c r="F142" s="1" t="s">
        <v>18</v>
      </c>
      <c r="G142" s="1" t="s">
        <v>19</v>
      </c>
      <c r="H142" s="1" t="s">
        <v>20</v>
      </c>
      <c r="I142" s="2">
        <v>44721</v>
      </c>
      <c r="J142">
        <v>4325</v>
      </c>
      <c r="K142" s="2">
        <v>45777</v>
      </c>
      <c r="L142">
        <v>13513</v>
      </c>
      <c r="M142">
        <v>17838</v>
      </c>
      <c r="N142">
        <v>0</v>
      </c>
    </row>
    <row r="143" spans="1:14" x14ac:dyDescent="0.3">
      <c r="A143" s="1" t="s">
        <v>188</v>
      </c>
      <c r="B143" s="1" t="s">
        <v>52</v>
      </c>
      <c r="C143">
        <v>64</v>
      </c>
      <c r="D143" s="1" t="s">
        <v>16</v>
      </c>
      <c r="E143" s="1" t="s">
        <v>38</v>
      </c>
      <c r="F143" s="1" t="s">
        <v>25</v>
      </c>
      <c r="G143" s="1" t="s">
        <v>41</v>
      </c>
      <c r="H143" s="1" t="s">
        <v>20</v>
      </c>
      <c r="I143" s="2">
        <v>45197</v>
      </c>
      <c r="J143">
        <v>4989</v>
      </c>
      <c r="K143" s="2">
        <v>45817</v>
      </c>
      <c r="L143">
        <v>8266</v>
      </c>
      <c r="M143">
        <v>13255</v>
      </c>
      <c r="N143">
        <v>0</v>
      </c>
    </row>
    <row r="144" spans="1:14" x14ac:dyDescent="0.3">
      <c r="A144" s="1" t="s">
        <v>189</v>
      </c>
      <c r="B144" s="1" t="s">
        <v>40</v>
      </c>
      <c r="C144">
        <v>31</v>
      </c>
      <c r="D144" s="1" t="s">
        <v>23</v>
      </c>
      <c r="E144" s="1" t="s">
        <v>24</v>
      </c>
      <c r="F144" s="1" t="s">
        <v>18</v>
      </c>
      <c r="G144" s="1" t="s">
        <v>19</v>
      </c>
      <c r="H144" s="1" t="s">
        <v>20</v>
      </c>
      <c r="I144" s="2">
        <v>44926</v>
      </c>
      <c r="J144">
        <v>5290</v>
      </c>
      <c r="K144" s="2">
        <v>45802</v>
      </c>
      <c r="L144">
        <v>17048</v>
      </c>
      <c r="M144">
        <v>22338</v>
      </c>
      <c r="N144">
        <v>0</v>
      </c>
    </row>
    <row r="145" spans="1:14" x14ac:dyDescent="0.3">
      <c r="A145" s="1" t="s">
        <v>190</v>
      </c>
      <c r="B145" s="1" t="s">
        <v>69</v>
      </c>
      <c r="C145">
        <v>20</v>
      </c>
      <c r="D145" s="1" t="s">
        <v>23</v>
      </c>
      <c r="E145" s="1" t="s">
        <v>38</v>
      </c>
      <c r="F145" s="1" t="s">
        <v>25</v>
      </c>
      <c r="G145" s="1" t="s">
        <v>19</v>
      </c>
      <c r="H145" s="1" t="s">
        <v>20</v>
      </c>
      <c r="I145" s="2">
        <v>45837</v>
      </c>
      <c r="J145">
        <v>34782</v>
      </c>
      <c r="K145" s="2">
        <v>45869</v>
      </c>
      <c r="L145">
        <v>-2634</v>
      </c>
      <c r="M145">
        <v>32148</v>
      </c>
      <c r="N145">
        <v>0</v>
      </c>
    </row>
    <row r="146" spans="1:14" x14ac:dyDescent="0.3">
      <c r="A146" s="1" t="s">
        <v>191</v>
      </c>
      <c r="B146" s="1" t="s">
        <v>22</v>
      </c>
      <c r="C146">
        <v>18</v>
      </c>
      <c r="D146" s="1" t="s">
        <v>23</v>
      </c>
      <c r="E146" s="1" t="s">
        <v>38</v>
      </c>
      <c r="F146" s="1" t="s">
        <v>25</v>
      </c>
      <c r="G146" s="1" t="s">
        <v>19</v>
      </c>
      <c r="H146" s="1" t="s">
        <v>20</v>
      </c>
      <c r="I146" s="2">
        <v>44793</v>
      </c>
      <c r="J146">
        <v>5970</v>
      </c>
      <c r="K146" s="2">
        <v>45828</v>
      </c>
      <c r="L146">
        <v>9726</v>
      </c>
      <c r="M146">
        <v>15696</v>
      </c>
      <c r="N146">
        <v>0</v>
      </c>
    </row>
    <row r="147" spans="1:14" x14ac:dyDescent="0.3">
      <c r="A147" s="1" t="s">
        <v>192</v>
      </c>
      <c r="B147" s="1" t="s">
        <v>56</v>
      </c>
      <c r="C147">
        <v>22</v>
      </c>
      <c r="D147" s="1" t="s">
        <v>16</v>
      </c>
      <c r="E147" s="1" t="s">
        <v>24</v>
      </c>
      <c r="F147" s="1" t="s">
        <v>25</v>
      </c>
      <c r="G147" s="1" t="s">
        <v>19</v>
      </c>
      <c r="H147" s="1" t="s">
        <v>20</v>
      </c>
      <c r="I147" s="2">
        <v>45224</v>
      </c>
      <c r="J147">
        <v>59286</v>
      </c>
      <c r="K147" s="2">
        <v>45830</v>
      </c>
      <c r="L147">
        <v>-13011</v>
      </c>
      <c r="M147">
        <v>46275</v>
      </c>
      <c r="N147">
        <v>0</v>
      </c>
    </row>
    <row r="148" spans="1:14" x14ac:dyDescent="0.3">
      <c r="A148" s="1" t="s">
        <v>193</v>
      </c>
      <c r="B148" s="1" t="s">
        <v>69</v>
      </c>
      <c r="C148">
        <v>43</v>
      </c>
      <c r="D148" s="1" t="s">
        <v>23</v>
      </c>
      <c r="E148" s="1" t="s">
        <v>17</v>
      </c>
      <c r="F148" s="1" t="s">
        <v>18</v>
      </c>
      <c r="G148" s="1" t="s">
        <v>19</v>
      </c>
      <c r="H148" s="1" t="s">
        <v>20</v>
      </c>
      <c r="I148" s="2">
        <v>44718</v>
      </c>
      <c r="J148">
        <v>7891</v>
      </c>
      <c r="K148" s="2">
        <v>45735</v>
      </c>
      <c r="L148">
        <v>12046</v>
      </c>
      <c r="M148">
        <v>19937</v>
      </c>
      <c r="N148">
        <v>0</v>
      </c>
    </row>
    <row r="149" spans="1:14" x14ac:dyDescent="0.3">
      <c r="A149" s="1" t="s">
        <v>194</v>
      </c>
      <c r="B149" s="1" t="s">
        <v>75</v>
      </c>
      <c r="C149">
        <v>31</v>
      </c>
      <c r="D149" s="1" t="s">
        <v>23</v>
      </c>
      <c r="E149" s="1" t="s">
        <v>24</v>
      </c>
      <c r="F149" s="1" t="s">
        <v>18</v>
      </c>
      <c r="G149" s="1" t="s">
        <v>19</v>
      </c>
      <c r="H149" s="1" t="s">
        <v>20</v>
      </c>
      <c r="I149" s="2">
        <v>45854</v>
      </c>
      <c r="J149">
        <v>19916</v>
      </c>
      <c r="K149" s="2">
        <v>45869</v>
      </c>
      <c r="L149">
        <v>-2728</v>
      </c>
      <c r="M149">
        <v>17188</v>
      </c>
      <c r="N149">
        <v>0</v>
      </c>
    </row>
    <row r="150" spans="1:14" x14ac:dyDescent="0.3">
      <c r="A150" s="1" t="s">
        <v>195</v>
      </c>
      <c r="B150" s="1" t="s">
        <v>37</v>
      </c>
      <c r="C150">
        <v>56</v>
      </c>
      <c r="D150" s="1" t="s">
        <v>23</v>
      </c>
      <c r="E150" s="1" t="s">
        <v>38</v>
      </c>
      <c r="F150" s="1" t="s">
        <v>25</v>
      </c>
      <c r="G150" s="1" t="s">
        <v>19</v>
      </c>
      <c r="H150" s="1" t="s">
        <v>20</v>
      </c>
      <c r="I150" s="2">
        <v>44941</v>
      </c>
      <c r="J150">
        <v>25339</v>
      </c>
      <c r="K150" s="2">
        <v>45858</v>
      </c>
      <c r="L150">
        <v>24704</v>
      </c>
      <c r="M150">
        <v>50043</v>
      </c>
      <c r="N150">
        <v>0</v>
      </c>
    </row>
    <row r="151" spans="1:14" x14ac:dyDescent="0.3">
      <c r="A151" s="1" t="s">
        <v>196</v>
      </c>
      <c r="B151" s="1" t="s">
        <v>69</v>
      </c>
      <c r="C151">
        <v>44</v>
      </c>
      <c r="D151" s="1" t="s">
        <v>16</v>
      </c>
      <c r="E151" s="1" t="s">
        <v>24</v>
      </c>
      <c r="F151" s="1" t="s">
        <v>25</v>
      </c>
      <c r="G151" s="1" t="s">
        <v>19</v>
      </c>
      <c r="H151" s="1" t="s">
        <v>20</v>
      </c>
      <c r="I151" s="2">
        <v>45257</v>
      </c>
      <c r="J151">
        <v>4838</v>
      </c>
      <c r="K151" s="2">
        <v>45855</v>
      </c>
      <c r="L151">
        <v>10381</v>
      </c>
      <c r="M151">
        <v>15219</v>
      </c>
      <c r="N151">
        <v>0</v>
      </c>
    </row>
    <row r="152" spans="1:14" x14ac:dyDescent="0.3">
      <c r="A152" s="1" t="s">
        <v>197</v>
      </c>
      <c r="B152" s="1" t="s">
        <v>43</v>
      </c>
      <c r="C152">
        <v>26</v>
      </c>
      <c r="D152" s="1" t="s">
        <v>23</v>
      </c>
      <c r="E152" s="1" t="s">
        <v>38</v>
      </c>
      <c r="F152" s="1" t="s">
        <v>18</v>
      </c>
      <c r="G152" s="1" t="s">
        <v>19</v>
      </c>
      <c r="H152" s="1" t="s">
        <v>20</v>
      </c>
      <c r="I152" s="2">
        <v>44409</v>
      </c>
      <c r="J152">
        <v>3325</v>
      </c>
      <c r="K152" s="2">
        <v>45801</v>
      </c>
      <c r="L152">
        <v>10745</v>
      </c>
      <c r="M152">
        <v>14070</v>
      </c>
      <c r="N152">
        <v>0</v>
      </c>
    </row>
    <row r="153" spans="1:14" x14ac:dyDescent="0.3">
      <c r="A153" s="1" t="s">
        <v>198</v>
      </c>
      <c r="B153" s="1" t="s">
        <v>34</v>
      </c>
      <c r="C153">
        <v>32</v>
      </c>
      <c r="D153" s="1" t="s">
        <v>23</v>
      </c>
      <c r="E153" s="1" t="s">
        <v>17</v>
      </c>
      <c r="F153" s="1" t="s">
        <v>18</v>
      </c>
      <c r="G153" s="1" t="s">
        <v>19</v>
      </c>
      <c r="H153" s="1" t="s">
        <v>20</v>
      </c>
      <c r="I153" s="2">
        <v>45423</v>
      </c>
      <c r="J153">
        <v>17728</v>
      </c>
      <c r="K153" s="2">
        <v>45861</v>
      </c>
      <c r="L153">
        <v>-283</v>
      </c>
      <c r="M153">
        <v>17445</v>
      </c>
      <c r="N153">
        <v>0</v>
      </c>
    </row>
    <row r="154" spans="1:14" x14ac:dyDescent="0.3">
      <c r="A154" s="1" t="s">
        <v>199</v>
      </c>
      <c r="B154" s="1" t="s">
        <v>29</v>
      </c>
      <c r="C154">
        <v>32</v>
      </c>
      <c r="D154" s="1" t="s">
        <v>16</v>
      </c>
      <c r="E154" s="1" t="s">
        <v>38</v>
      </c>
      <c r="F154" s="1" t="s">
        <v>18</v>
      </c>
      <c r="G154" s="1" t="s">
        <v>19</v>
      </c>
      <c r="H154" s="1" t="s">
        <v>20</v>
      </c>
      <c r="I154" s="2">
        <v>44647</v>
      </c>
      <c r="J154">
        <v>10125</v>
      </c>
      <c r="K154" s="2">
        <v>45829</v>
      </c>
      <c r="L154">
        <v>26065</v>
      </c>
      <c r="M154">
        <v>36190</v>
      </c>
      <c r="N154">
        <v>0</v>
      </c>
    </row>
    <row r="155" spans="1:14" x14ac:dyDescent="0.3">
      <c r="A155" s="1" t="s">
        <v>200</v>
      </c>
      <c r="B155" s="1" t="s">
        <v>69</v>
      </c>
      <c r="C155">
        <v>43</v>
      </c>
      <c r="D155" s="1" t="s">
        <v>16</v>
      </c>
      <c r="E155" s="1" t="s">
        <v>38</v>
      </c>
      <c r="F155" s="1" t="s">
        <v>18</v>
      </c>
      <c r="G155" s="1" t="s">
        <v>19</v>
      </c>
      <c r="H155" s="1" t="s">
        <v>20</v>
      </c>
      <c r="I155" s="2">
        <v>44947</v>
      </c>
      <c r="J155">
        <v>21992</v>
      </c>
      <c r="K155" s="2">
        <v>45813</v>
      </c>
      <c r="L155">
        <v>4611</v>
      </c>
      <c r="M155">
        <v>26603</v>
      </c>
      <c r="N155">
        <v>0</v>
      </c>
    </row>
    <row r="156" spans="1:14" x14ac:dyDescent="0.3">
      <c r="A156" s="1" t="s">
        <v>201</v>
      </c>
      <c r="B156" s="1" t="s">
        <v>27</v>
      </c>
      <c r="C156">
        <v>59</v>
      </c>
      <c r="D156" s="1" t="s">
        <v>23</v>
      </c>
      <c r="E156" s="1" t="s">
        <v>38</v>
      </c>
      <c r="F156" s="1" t="s">
        <v>25</v>
      </c>
      <c r="G156" s="1" t="s">
        <v>19</v>
      </c>
      <c r="H156" s="1" t="s">
        <v>20</v>
      </c>
      <c r="I156" s="2">
        <v>45674</v>
      </c>
      <c r="J156">
        <v>3478</v>
      </c>
      <c r="K156" s="2">
        <v>45868</v>
      </c>
      <c r="L156">
        <v>-12533</v>
      </c>
      <c r="M156">
        <v>-9055</v>
      </c>
      <c r="N156">
        <v>0</v>
      </c>
    </row>
    <row r="157" spans="1:14" x14ac:dyDescent="0.3">
      <c r="A157" s="1" t="s">
        <v>202</v>
      </c>
      <c r="B157" s="1" t="s">
        <v>79</v>
      </c>
      <c r="C157">
        <v>30</v>
      </c>
      <c r="D157" s="1" t="s">
        <v>23</v>
      </c>
      <c r="E157" s="1" t="s">
        <v>35</v>
      </c>
      <c r="F157" s="1" t="s">
        <v>18</v>
      </c>
      <c r="G157" s="1" t="s">
        <v>19</v>
      </c>
      <c r="H157" s="1" t="s">
        <v>20</v>
      </c>
      <c r="I157" s="2">
        <v>45820</v>
      </c>
      <c r="J157">
        <v>9351</v>
      </c>
      <c r="K157" s="2">
        <v>45868</v>
      </c>
      <c r="L157">
        <v>8574</v>
      </c>
      <c r="M157">
        <v>17925</v>
      </c>
      <c r="N157">
        <v>0</v>
      </c>
    </row>
    <row r="158" spans="1:14" x14ac:dyDescent="0.3">
      <c r="A158" s="1" t="s">
        <v>203</v>
      </c>
      <c r="B158" s="1" t="s">
        <v>79</v>
      </c>
      <c r="C158">
        <v>68</v>
      </c>
      <c r="D158" s="1" t="s">
        <v>23</v>
      </c>
      <c r="E158" s="1" t="s">
        <v>38</v>
      </c>
      <c r="F158" s="1" t="s">
        <v>18</v>
      </c>
      <c r="G158" s="1" t="s">
        <v>19</v>
      </c>
      <c r="H158" s="1" t="s">
        <v>20</v>
      </c>
      <c r="I158" s="2">
        <v>44907</v>
      </c>
      <c r="J158">
        <v>11138</v>
      </c>
      <c r="K158" s="2">
        <v>45794</v>
      </c>
      <c r="L158">
        <v>11767</v>
      </c>
      <c r="M158">
        <v>22905</v>
      </c>
      <c r="N158">
        <v>0</v>
      </c>
    </row>
    <row r="159" spans="1:14" x14ac:dyDescent="0.3">
      <c r="A159" s="1" t="s">
        <v>204</v>
      </c>
      <c r="B159" s="1" t="s">
        <v>69</v>
      </c>
      <c r="C159">
        <v>49</v>
      </c>
      <c r="D159" s="1" t="s">
        <v>16</v>
      </c>
      <c r="E159" s="1" t="s">
        <v>35</v>
      </c>
      <c r="F159" s="1" t="s">
        <v>18</v>
      </c>
      <c r="G159" s="1" t="s">
        <v>19</v>
      </c>
      <c r="H159" s="1" t="s">
        <v>20</v>
      </c>
      <c r="I159" s="2">
        <v>45593</v>
      </c>
      <c r="J159">
        <v>1167</v>
      </c>
      <c r="K159" s="2">
        <v>45868</v>
      </c>
      <c r="L159">
        <v>4466</v>
      </c>
      <c r="M159">
        <v>5633</v>
      </c>
      <c r="N159">
        <v>0</v>
      </c>
    </row>
    <row r="160" spans="1:14" x14ac:dyDescent="0.3">
      <c r="A160" s="1" t="s">
        <v>205</v>
      </c>
      <c r="B160" s="1" t="s">
        <v>75</v>
      </c>
      <c r="C160">
        <v>56</v>
      </c>
      <c r="D160" s="1" t="s">
        <v>23</v>
      </c>
      <c r="E160" s="1" t="s">
        <v>35</v>
      </c>
      <c r="F160" s="1" t="s">
        <v>18</v>
      </c>
      <c r="G160" s="1" t="s">
        <v>19</v>
      </c>
      <c r="H160" s="1" t="s">
        <v>20</v>
      </c>
      <c r="I160" s="2">
        <v>44286</v>
      </c>
      <c r="J160">
        <v>36151</v>
      </c>
      <c r="K160" s="2">
        <v>45858</v>
      </c>
      <c r="L160">
        <v>12899</v>
      </c>
      <c r="M160">
        <v>49050</v>
      </c>
      <c r="N160">
        <v>0</v>
      </c>
    </row>
    <row r="161" spans="1:14" x14ac:dyDescent="0.3">
      <c r="A161" s="1" t="s">
        <v>206</v>
      </c>
      <c r="B161" s="1" t="s">
        <v>43</v>
      </c>
      <c r="C161">
        <v>66</v>
      </c>
      <c r="D161" s="1" t="s">
        <v>16</v>
      </c>
      <c r="E161" s="1" t="s">
        <v>38</v>
      </c>
      <c r="F161" s="1" t="s">
        <v>25</v>
      </c>
      <c r="G161" s="1" t="s">
        <v>19</v>
      </c>
      <c r="H161" s="1" t="s">
        <v>20</v>
      </c>
      <c r="I161" s="2">
        <v>45614</v>
      </c>
      <c r="J161">
        <v>6264</v>
      </c>
      <c r="K161" s="2">
        <v>45859</v>
      </c>
      <c r="L161">
        <v>32093</v>
      </c>
      <c r="M161">
        <v>38357</v>
      </c>
      <c r="N161">
        <v>0</v>
      </c>
    </row>
    <row r="162" spans="1:14" x14ac:dyDescent="0.3">
      <c r="A162" s="1" t="s">
        <v>207</v>
      </c>
      <c r="B162" s="1" t="s">
        <v>43</v>
      </c>
      <c r="C162">
        <v>69</v>
      </c>
      <c r="D162" s="1" t="s">
        <v>16</v>
      </c>
      <c r="E162" s="1" t="s">
        <v>38</v>
      </c>
      <c r="F162" s="1" t="s">
        <v>25</v>
      </c>
      <c r="G162" s="1" t="s">
        <v>19</v>
      </c>
      <c r="H162" s="1" t="s">
        <v>20</v>
      </c>
      <c r="I162" s="2">
        <v>45250</v>
      </c>
      <c r="J162">
        <v>59824</v>
      </c>
      <c r="K162" s="2">
        <v>45830</v>
      </c>
      <c r="L162">
        <v>14210</v>
      </c>
      <c r="M162">
        <v>74034</v>
      </c>
      <c r="N162">
        <v>0</v>
      </c>
    </row>
    <row r="163" spans="1:14" x14ac:dyDescent="0.3">
      <c r="A163" s="1" t="s">
        <v>208</v>
      </c>
      <c r="B163" s="1" t="s">
        <v>75</v>
      </c>
      <c r="C163">
        <v>49</v>
      </c>
      <c r="D163" s="1" t="s">
        <v>16</v>
      </c>
      <c r="E163" s="1" t="s">
        <v>17</v>
      </c>
      <c r="F163" s="1" t="s">
        <v>18</v>
      </c>
      <c r="G163" s="1" t="s">
        <v>19</v>
      </c>
      <c r="H163" s="1" t="s">
        <v>20</v>
      </c>
      <c r="I163" s="2">
        <v>45014</v>
      </c>
      <c r="J163">
        <v>6682</v>
      </c>
      <c r="K163" s="2">
        <v>45868</v>
      </c>
      <c r="L163">
        <v>7819</v>
      </c>
      <c r="M163">
        <v>14501</v>
      </c>
      <c r="N163">
        <v>0</v>
      </c>
    </row>
    <row r="164" spans="1:14" x14ac:dyDescent="0.3">
      <c r="A164" s="1" t="s">
        <v>209</v>
      </c>
      <c r="B164" s="1" t="s">
        <v>59</v>
      </c>
      <c r="C164">
        <v>21</v>
      </c>
      <c r="D164" s="1" t="s">
        <v>23</v>
      </c>
      <c r="E164" s="1" t="s">
        <v>24</v>
      </c>
      <c r="F164" s="1" t="s">
        <v>25</v>
      </c>
      <c r="G164" s="1" t="s">
        <v>19</v>
      </c>
      <c r="H164" s="1" t="s">
        <v>20</v>
      </c>
      <c r="I164" s="2">
        <v>45685</v>
      </c>
      <c r="J164">
        <v>7932</v>
      </c>
      <c r="K164" s="2">
        <v>45853</v>
      </c>
      <c r="L164">
        <v>-6577</v>
      </c>
      <c r="M164">
        <v>1355</v>
      </c>
      <c r="N164">
        <v>0</v>
      </c>
    </row>
    <row r="165" spans="1:14" x14ac:dyDescent="0.3">
      <c r="A165" s="1" t="s">
        <v>210</v>
      </c>
      <c r="B165" s="1" t="s">
        <v>32</v>
      </c>
      <c r="C165">
        <v>47</v>
      </c>
      <c r="D165" s="1" t="s">
        <v>16</v>
      </c>
      <c r="E165" s="1" t="s">
        <v>24</v>
      </c>
      <c r="F165" s="1" t="s">
        <v>18</v>
      </c>
      <c r="G165" s="1" t="s">
        <v>19</v>
      </c>
      <c r="H165" s="1" t="s">
        <v>20</v>
      </c>
      <c r="I165" s="2">
        <v>45611</v>
      </c>
      <c r="J165">
        <v>3859</v>
      </c>
      <c r="K165" s="2">
        <v>45843</v>
      </c>
      <c r="L165">
        <v>-14322</v>
      </c>
      <c r="M165">
        <v>-10463</v>
      </c>
      <c r="N165">
        <v>0</v>
      </c>
    </row>
    <row r="166" spans="1:14" x14ac:dyDescent="0.3">
      <c r="A166" s="1" t="s">
        <v>211</v>
      </c>
      <c r="B166" s="1" t="s">
        <v>59</v>
      </c>
      <c r="C166">
        <v>54</v>
      </c>
      <c r="D166" s="1" t="s">
        <v>16</v>
      </c>
      <c r="E166" s="1" t="s">
        <v>24</v>
      </c>
      <c r="F166" s="1" t="s">
        <v>18</v>
      </c>
      <c r="G166" s="1" t="s">
        <v>19</v>
      </c>
      <c r="H166" s="1" t="s">
        <v>20</v>
      </c>
      <c r="I166" s="2">
        <v>44693</v>
      </c>
      <c r="J166">
        <v>42050</v>
      </c>
      <c r="K166" s="2">
        <v>45780</v>
      </c>
      <c r="L166">
        <v>4682</v>
      </c>
      <c r="M166">
        <v>46732</v>
      </c>
      <c r="N166">
        <v>0</v>
      </c>
    </row>
    <row r="167" spans="1:14" x14ac:dyDescent="0.3">
      <c r="A167" s="1" t="s">
        <v>212</v>
      </c>
      <c r="B167" s="1" t="s">
        <v>71</v>
      </c>
      <c r="C167">
        <v>40</v>
      </c>
      <c r="D167" s="1" t="s">
        <v>16</v>
      </c>
      <c r="E167" s="1" t="s">
        <v>24</v>
      </c>
      <c r="F167" s="1" t="s">
        <v>18</v>
      </c>
      <c r="G167" s="1" t="s">
        <v>19</v>
      </c>
      <c r="H167" s="1" t="s">
        <v>20</v>
      </c>
      <c r="I167" s="2">
        <v>45521</v>
      </c>
      <c r="J167">
        <v>21040</v>
      </c>
      <c r="K167" s="2">
        <v>45848</v>
      </c>
      <c r="L167">
        <v>28945</v>
      </c>
      <c r="M167">
        <v>49985</v>
      </c>
      <c r="N167">
        <v>0</v>
      </c>
    </row>
    <row r="168" spans="1:14" x14ac:dyDescent="0.3">
      <c r="A168" s="1" t="s">
        <v>213</v>
      </c>
      <c r="B168" s="1" t="s">
        <v>27</v>
      </c>
      <c r="C168">
        <v>56</v>
      </c>
      <c r="D168" s="1" t="s">
        <v>23</v>
      </c>
      <c r="E168" s="1" t="s">
        <v>35</v>
      </c>
      <c r="F168" s="1" t="s">
        <v>18</v>
      </c>
      <c r="G168" s="1" t="s">
        <v>19</v>
      </c>
      <c r="H168" s="1" t="s">
        <v>20</v>
      </c>
      <c r="I168" s="2">
        <v>44363</v>
      </c>
      <c r="J168">
        <v>54184</v>
      </c>
      <c r="K168" s="2">
        <v>45623</v>
      </c>
      <c r="L168">
        <v>-408</v>
      </c>
      <c r="M168">
        <v>53776</v>
      </c>
      <c r="N168">
        <v>1</v>
      </c>
    </row>
    <row r="169" spans="1:14" x14ac:dyDescent="0.3">
      <c r="A169" s="1" t="s">
        <v>214</v>
      </c>
      <c r="B169" s="1" t="s">
        <v>75</v>
      </c>
      <c r="C169">
        <v>62</v>
      </c>
      <c r="D169" s="1" t="s">
        <v>30</v>
      </c>
      <c r="E169" s="1" t="s">
        <v>38</v>
      </c>
      <c r="F169" s="1" t="s">
        <v>18</v>
      </c>
      <c r="G169" s="1" t="s">
        <v>19</v>
      </c>
      <c r="H169" s="1" t="s">
        <v>20</v>
      </c>
      <c r="I169" s="2">
        <v>45573</v>
      </c>
      <c r="J169">
        <v>10858</v>
      </c>
      <c r="K169" s="2">
        <v>45851</v>
      </c>
      <c r="L169">
        <v>18245</v>
      </c>
      <c r="M169">
        <v>29103</v>
      </c>
      <c r="N169">
        <v>0</v>
      </c>
    </row>
    <row r="170" spans="1:14" x14ac:dyDescent="0.3">
      <c r="A170" s="1" t="s">
        <v>215</v>
      </c>
      <c r="B170" s="1" t="s">
        <v>79</v>
      </c>
      <c r="C170">
        <v>32</v>
      </c>
      <c r="D170" s="1" t="s">
        <v>23</v>
      </c>
      <c r="E170" s="1" t="s">
        <v>38</v>
      </c>
      <c r="F170" s="1" t="s">
        <v>18</v>
      </c>
      <c r="G170" s="1" t="s">
        <v>19</v>
      </c>
      <c r="H170" s="1" t="s">
        <v>20</v>
      </c>
      <c r="I170" s="2">
        <v>45327</v>
      </c>
      <c r="J170">
        <v>12814</v>
      </c>
      <c r="K170" s="2">
        <v>45856</v>
      </c>
      <c r="L170">
        <v>41846</v>
      </c>
      <c r="M170">
        <v>54660</v>
      </c>
      <c r="N170">
        <v>0</v>
      </c>
    </row>
    <row r="171" spans="1:14" x14ac:dyDescent="0.3">
      <c r="A171" s="1" t="s">
        <v>216</v>
      </c>
      <c r="B171" s="1" t="s">
        <v>59</v>
      </c>
      <c r="C171">
        <v>60</v>
      </c>
      <c r="D171" s="1" t="s">
        <v>23</v>
      </c>
      <c r="E171" s="1" t="s">
        <v>24</v>
      </c>
      <c r="F171" s="1" t="s">
        <v>25</v>
      </c>
      <c r="G171" s="1" t="s">
        <v>19</v>
      </c>
      <c r="H171" s="1" t="s">
        <v>20</v>
      </c>
      <c r="I171" s="2">
        <v>44344</v>
      </c>
      <c r="J171">
        <v>2485</v>
      </c>
      <c r="K171" s="2">
        <v>45745</v>
      </c>
      <c r="L171">
        <v>17535</v>
      </c>
      <c r="M171">
        <v>20020</v>
      </c>
      <c r="N171">
        <v>0</v>
      </c>
    </row>
    <row r="172" spans="1:14" x14ac:dyDescent="0.3">
      <c r="A172" s="1" t="s">
        <v>217</v>
      </c>
      <c r="B172" s="1" t="s">
        <v>52</v>
      </c>
      <c r="C172">
        <v>46</v>
      </c>
      <c r="D172" s="1" t="s">
        <v>23</v>
      </c>
      <c r="E172" s="1" t="s">
        <v>17</v>
      </c>
      <c r="F172" s="1" t="s">
        <v>18</v>
      </c>
      <c r="G172" s="1" t="s">
        <v>41</v>
      </c>
      <c r="H172" s="1" t="s">
        <v>20</v>
      </c>
      <c r="I172" s="2">
        <v>45339</v>
      </c>
      <c r="J172">
        <v>7158</v>
      </c>
      <c r="K172" s="2">
        <v>45860</v>
      </c>
      <c r="L172">
        <v>8783</v>
      </c>
      <c r="M172">
        <v>15941</v>
      </c>
      <c r="N172">
        <v>0</v>
      </c>
    </row>
    <row r="173" spans="1:14" x14ac:dyDescent="0.3">
      <c r="A173" s="1" t="s">
        <v>218</v>
      </c>
      <c r="B173" s="1" t="s">
        <v>71</v>
      </c>
      <c r="C173">
        <v>53</v>
      </c>
      <c r="D173" s="1" t="s">
        <v>16</v>
      </c>
      <c r="E173" s="1" t="s">
        <v>17</v>
      </c>
      <c r="F173" s="1" t="s">
        <v>25</v>
      </c>
      <c r="G173" s="1" t="s">
        <v>19</v>
      </c>
      <c r="H173" s="1" t="s">
        <v>20</v>
      </c>
      <c r="I173" s="2">
        <v>45168</v>
      </c>
      <c r="J173">
        <v>15843</v>
      </c>
      <c r="K173" s="2">
        <v>45822</v>
      </c>
      <c r="L173">
        <v>4414</v>
      </c>
      <c r="M173">
        <v>20257</v>
      </c>
      <c r="N173">
        <v>0</v>
      </c>
    </row>
    <row r="174" spans="1:14" x14ac:dyDescent="0.3">
      <c r="A174" s="1" t="s">
        <v>219</v>
      </c>
      <c r="B174" s="1" t="s">
        <v>48</v>
      </c>
      <c r="C174">
        <v>30</v>
      </c>
      <c r="D174" s="1" t="s">
        <v>23</v>
      </c>
      <c r="E174" s="1" t="s">
        <v>24</v>
      </c>
      <c r="F174" s="1" t="s">
        <v>18</v>
      </c>
      <c r="G174" s="1" t="s">
        <v>19</v>
      </c>
      <c r="H174" s="1" t="s">
        <v>20</v>
      </c>
      <c r="I174" s="2">
        <v>45191</v>
      </c>
      <c r="J174">
        <v>19677</v>
      </c>
      <c r="K174" s="2">
        <v>45853</v>
      </c>
      <c r="L174">
        <v>13046</v>
      </c>
      <c r="M174">
        <v>32723</v>
      </c>
      <c r="N174">
        <v>0</v>
      </c>
    </row>
    <row r="175" spans="1:14" x14ac:dyDescent="0.3">
      <c r="A175" s="1" t="s">
        <v>220</v>
      </c>
      <c r="B175" s="1" t="s">
        <v>75</v>
      </c>
      <c r="C175">
        <v>49</v>
      </c>
      <c r="D175" s="1" t="s">
        <v>23</v>
      </c>
      <c r="E175" s="1" t="s">
        <v>17</v>
      </c>
      <c r="F175" s="1" t="s">
        <v>25</v>
      </c>
      <c r="G175" s="1" t="s">
        <v>19</v>
      </c>
      <c r="H175" s="1" t="s">
        <v>20</v>
      </c>
      <c r="I175" s="2">
        <v>44683</v>
      </c>
      <c r="J175">
        <v>82780</v>
      </c>
      <c r="K175" s="2">
        <v>45728</v>
      </c>
      <c r="L175">
        <v>5827</v>
      </c>
      <c r="M175">
        <v>88607</v>
      </c>
      <c r="N175">
        <v>0</v>
      </c>
    </row>
    <row r="176" spans="1:14" x14ac:dyDescent="0.3">
      <c r="A176" s="1" t="s">
        <v>221</v>
      </c>
      <c r="B176" s="1" t="s">
        <v>59</v>
      </c>
      <c r="C176">
        <v>24</v>
      </c>
      <c r="D176" s="1" t="s">
        <v>23</v>
      </c>
      <c r="E176" s="1" t="s">
        <v>17</v>
      </c>
      <c r="F176" s="1" t="s">
        <v>25</v>
      </c>
      <c r="G176" s="1" t="s">
        <v>19</v>
      </c>
      <c r="H176" s="1" t="s">
        <v>20</v>
      </c>
      <c r="I176" s="2">
        <v>44642</v>
      </c>
      <c r="J176">
        <v>2099</v>
      </c>
      <c r="K176" s="2">
        <v>45816</v>
      </c>
      <c r="L176">
        <v>63507</v>
      </c>
      <c r="M176">
        <v>65606</v>
      </c>
      <c r="N176">
        <v>0</v>
      </c>
    </row>
    <row r="177" spans="1:14" x14ac:dyDescent="0.3">
      <c r="A177" s="1" t="s">
        <v>222</v>
      </c>
      <c r="B177" s="1" t="s">
        <v>71</v>
      </c>
      <c r="C177">
        <v>68</v>
      </c>
      <c r="D177" s="1" t="s">
        <v>23</v>
      </c>
      <c r="E177" s="1" t="s">
        <v>35</v>
      </c>
      <c r="F177" s="1" t="s">
        <v>18</v>
      </c>
      <c r="G177" s="1" t="s">
        <v>19</v>
      </c>
      <c r="H177" s="1" t="s">
        <v>20</v>
      </c>
      <c r="I177" s="2">
        <v>45472</v>
      </c>
      <c r="J177">
        <v>16805</v>
      </c>
      <c r="K177" s="2">
        <v>45842</v>
      </c>
      <c r="L177">
        <v>1547</v>
      </c>
      <c r="M177">
        <v>18352</v>
      </c>
      <c r="N177">
        <v>0</v>
      </c>
    </row>
    <row r="178" spans="1:14" x14ac:dyDescent="0.3">
      <c r="A178" s="1" t="s">
        <v>223</v>
      </c>
      <c r="B178" s="1" t="s">
        <v>52</v>
      </c>
      <c r="C178">
        <v>39</v>
      </c>
      <c r="D178" s="1" t="s">
        <v>16</v>
      </c>
      <c r="E178" s="1" t="s">
        <v>38</v>
      </c>
      <c r="F178" s="1" t="s">
        <v>25</v>
      </c>
      <c r="G178" s="1" t="s">
        <v>19</v>
      </c>
      <c r="H178" s="1" t="s">
        <v>20</v>
      </c>
      <c r="I178" s="2">
        <v>44626</v>
      </c>
      <c r="J178">
        <v>9171</v>
      </c>
      <c r="K178" s="2">
        <v>45837</v>
      </c>
      <c r="L178">
        <v>4975</v>
      </c>
      <c r="M178">
        <v>14146</v>
      </c>
      <c r="N178">
        <v>0</v>
      </c>
    </row>
    <row r="179" spans="1:14" x14ac:dyDescent="0.3">
      <c r="A179" s="1" t="s">
        <v>224</v>
      </c>
      <c r="B179" s="1" t="s">
        <v>71</v>
      </c>
      <c r="C179">
        <v>45</v>
      </c>
      <c r="D179" s="1" t="s">
        <v>16</v>
      </c>
      <c r="E179" s="1" t="s">
        <v>24</v>
      </c>
      <c r="F179" s="1" t="s">
        <v>18</v>
      </c>
      <c r="G179" s="1" t="s">
        <v>19</v>
      </c>
      <c r="H179" s="1" t="s">
        <v>20</v>
      </c>
      <c r="I179" s="2">
        <v>44943</v>
      </c>
      <c r="J179">
        <v>14407</v>
      </c>
      <c r="K179" s="2">
        <v>45806</v>
      </c>
      <c r="L179">
        <v>13111</v>
      </c>
      <c r="M179">
        <v>27518</v>
      </c>
      <c r="N179">
        <v>0</v>
      </c>
    </row>
    <row r="180" spans="1:14" x14ac:dyDescent="0.3">
      <c r="A180" s="1" t="s">
        <v>225</v>
      </c>
      <c r="B180" s="1" t="s">
        <v>56</v>
      </c>
      <c r="C180">
        <v>19</v>
      </c>
      <c r="D180" s="1" t="s">
        <v>23</v>
      </c>
      <c r="E180" s="1" t="s">
        <v>17</v>
      </c>
      <c r="F180" s="1" t="s">
        <v>25</v>
      </c>
      <c r="G180" s="1" t="s">
        <v>19</v>
      </c>
      <c r="H180" s="1" t="s">
        <v>49</v>
      </c>
      <c r="I180" s="2">
        <v>45359</v>
      </c>
      <c r="J180">
        <v>14805</v>
      </c>
      <c r="K180" s="2">
        <v>45861</v>
      </c>
      <c r="L180">
        <v>17519</v>
      </c>
      <c r="M180">
        <v>32324</v>
      </c>
      <c r="N180">
        <v>0</v>
      </c>
    </row>
    <row r="181" spans="1:14" x14ac:dyDescent="0.3">
      <c r="A181" s="1" t="s">
        <v>226</v>
      </c>
      <c r="B181" s="1" t="s">
        <v>32</v>
      </c>
      <c r="C181">
        <v>59</v>
      </c>
      <c r="D181" s="1" t="s">
        <v>16</v>
      </c>
      <c r="E181" s="1" t="s">
        <v>24</v>
      </c>
      <c r="F181" s="1" t="s">
        <v>18</v>
      </c>
      <c r="G181" s="1" t="s">
        <v>19</v>
      </c>
      <c r="H181" s="1" t="s">
        <v>20</v>
      </c>
      <c r="I181" s="2">
        <v>44330</v>
      </c>
      <c r="J181">
        <v>11035</v>
      </c>
      <c r="K181" s="2">
        <v>45842</v>
      </c>
      <c r="L181">
        <v>14003</v>
      </c>
      <c r="M181">
        <v>25038</v>
      </c>
      <c r="N181">
        <v>0</v>
      </c>
    </row>
    <row r="182" spans="1:14" x14ac:dyDescent="0.3">
      <c r="A182" s="1" t="s">
        <v>227</v>
      </c>
      <c r="B182" s="1" t="s">
        <v>71</v>
      </c>
      <c r="C182">
        <v>62</v>
      </c>
      <c r="D182" s="1" t="s">
        <v>16</v>
      </c>
      <c r="E182" s="1" t="s">
        <v>17</v>
      </c>
      <c r="F182" s="1" t="s">
        <v>25</v>
      </c>
      <c r="G182" s="1" t="s">
        <v>19</v>
      </c>
      <c r="H182" s="1" t="s">
        <v>49</v>
      </c>
      <c r="I182" s="2">
        <v>45191</v>
      </c>
      <c r="J182">
        <v>4302</v>
      </c>
      <c r="K182" s="2">
        <v>45848</v>
      </c>
      <c r="L182">
        <v>6122</v>
      </c>
      <c r="M182">
        <v>10424</v>
      </c>
      <c r="N182">
        <v>0</v>
      </c>
    </row>
    <row r="183" spans="1:14" x14ac:dyDescent="0.3">
      <c r="A183" s="1" t="s">
        <v>228</v>
      </c>
      <c r="B183" s="1" t="s">
        <v>64</v>
      </c>
      <c r="C183">
        <v>23</v>
      </c>
      <c r="D183" s="1" t="s">
        <v>23</v>
      </c>
      <c r="E183" s="1" t="s">
        <v>35</v>
      </c>
      <c r="F183" s="1" t="s">
        <v>25</v>
      </c>
      <c r="G183" s="1" t="s">
        <v>19</v>
      </c>
      <c r="H183" s="1" t="s">
        <v>20</v>
      </c>
      <c r="I183" s="2">
        <v>45183</v>
      </c>
      <c r="J183">
        <v>3573</v>
      </c>
      <c r="K183" s="2">
        <v>45860</v>
      </c>
      <c r="L183">
        <v>967</v>
      </c>
      <c r="M183">
        <v>4540</v>
      </c>
      <c r="N183">
        <v>0</v>
      </c>
    </row>
    <row r="184" spans="1:14" x14ac:dyDescent="0.3">
      <c r="A184" s="1" t="s">
        <v>229</v>
      </c>
      <c r="B184" s="1" t="s">
        <v>75</v>
      </c>
      <c r="C184">
        <v>45</v>
      </c>
      <c r="D184" s="1" t="s">
        <v>23</v>
      </c>
      <c r="E184" s="1" t="s">
        <v>24</v>
      </c>
      <c r="F184" s="1" t="s">
        <v>18</v>
      </c>
      <c r="G184" s="1" t="s">
        <v>19</v>
      </c>
      <c r="H184" s="1" t="s">
        <v>20</v>
      </c>
      <c r="I184" s="2">
        <v>45341</v>
      </c>
      <c r="J184">
        <v>10251</v>
      </c>
      <c r="K184" s="2">
        <v>45849</v>
      </c>
      <c r="L184">
        <v>7113</v>
      </c>
      <c r="M184">
        <v>17364</v>
      </c>
      <c r="N184">
        <v>0</v>
      </c>
    </row>
    <row r="185" spans="1:14" x14ac:dyDescent="0.3">
      <c r="A185" s="1" t="s">
        <v>230</v>
      </c>
      <c r="B185" s="1" t="s">
        <v>56</v>
      </c>
      <c r="C185">
        <v>45</v>
      </c>
      <c r="D185" s="1" t="s">
        <v>30</v>
      </c>
      <c r="E185" s="1" t="s">
        <v>24</v>
      </c>
      <c r="F185" s="1" t="s">
        <v>18</v>
      </c>
      <c r="G185" s="1" t="s">
        <v>41</v>
      </c>
      <c r="H185" s="1" t="s">
        <v>20</v>
      </c>
      <c r="I185" s="2">
        <v>44815</v>
      </c>
      <c r="J185">
        <v>3227</v>
      </c>
      <c r="K185" s="2">
        <v>45826</v>
      </c>
      <c r="L185">
        <v>-5401</v>
      </c>
      <c r="M185">
        <v>-2174</v>
      </c>
      <c r="N185">
        <v>0</v>
      </c>
    </row>
    <row r="186" spans="1:14" x14ac:dyDescent="0.3">
      <c r="A186" s="1" t="s">
        <v>231</v>
      </c>
      <c r="B186" s="1" t="s">
        <v>32</v>
      </c>
      <c r="C186">
        <v>61</v>
      </c>
      <c r="D186" s="1" t="s">
        <v>16</v>
      </c>
      <c r="E186" s="1" t="s">
        <v>24</v>
      </c>
      <c r="F186" s="1" t="s">
        <v>25</v>
      </c>
      <c r="G186" s="1" t="s">
        <v>19</v>
      </c>
      <c r="H186" s="1" t="s">
        <v>20</v>
      </c>
      <c r="I186" s="2">
        <v>44948</v>
      </c>
      <c r="J186">
        <v>11933</v>
      </c>
      <c r="K186" s="2">
        <v>45853</v>
      </c>
      <c r="L186">
        <v>16419</v>
      </c>
      <c r="M186">
        <v>28352</v>
      </c>
      <c r="N186">
        <v>0</v>
      </c>
    </row>
    <row r="187" spans="1:14" x14ac:dyDescent="0.3">
      <c r="A187" s="1" t="s">
        <v>232</v>
      </c>
      <c r="B187" s="1" t="s">
        <v>34</v>
      </c>
      <c r="C187">
        <v>61</v>
      </c>
      <c r="D187" s="1" t="s">
        <v>23</v>
      </c>
      <c r="E187" s="1" t="s">
        <v>17</v>
      </c>
      <c r="F187" s="1" t="s">
        <v>18</v>
      </c>
      <c r="G187" s="1" t="s">
        <v>19</v>
      </c>
      <c r="H187" s="1" t="s">
        <v>20</v>
      </c>
      <c r="I187" s="2">
        <v>44749</v>
      </c>
      <c r="J187">
        <v>10370</v>
      </c>
      <c r="K187" s="2">
        <v>45828</v>
      </c>
      <c r="L187">
        <v>39132</v>
      </c>
      <c r="M187">
        <v>49502</v>
      </c>
      <c r="N187">
        <v>0</v>
      </c>
    </row>
    <row r="188" spans="1:14" x14ac:dyDescent="0.3">
      <c r="A188" s="1" t="s">
        <v>233</v>
      </c>
      <c r="B188" s="1" t="s">
        <v>22</v>
      </c>
      <c r="C188">
        <v>37</v>
      </c>
      <c r="D188" s="1" t="s">
        <v>16</v>
      </c>
      <c r="E188" s="1" t="s">
        <v>24</v>
      </c>
      <c r="F188" s="1" t="s">
        <v>18</v>
      </c>
      <c r="G188" s="1" t="s">
        <v>19</v>
      </c>
      <c r="H188" s="1" t="s">
        <v>20</v>
      </c>
      <c r="I188" s="2">
        <v>45549</v>
      </c>
      <c r="J188">
        <v>1153</v>
      </c>
      <c r="K188" s="2">
        <v>45865</v>
      </c>
      <c r="L188">
        <v>40839</v>
      </c>
      <c r="M188">
        <v>41992</v>
      </c>
      <c r="N188">
        <v>0</v>
      </c>
    </row>
    <row r="189" spans="1:14" x14ac:dyDescent="0.3">
      <c r="A189" s="1" t="s">
        <v>234</v>
      </c>
      <c r="B189" s="1" t="s">
        <v>79</v>
      </c>
      <c r="C189">
        <v>47</v>
      </c>
      <c r="D189" s="1" t="s">
        <v>23</v>
      </c>
      <c r="E189" s="1" t="s">
        <v>38</v>
      </c>
      <c r="F189" s="1" t="s">
        <v>18</v>
      </c>
      <c r="G189" s="1" t="s">
        <v>19</v>
      </c>
      <c r="H189" s="1" t="s">
        <v>20</v>
      </c>
      <c r="I189" s="2">
        <v>44415</v>
      </c>
      <c r="J189">
        <v>92375</v>
      </c>
      <c r="K189" s="2">
        <v>45840</v>
      </c>
      <c r="L189">
        <v>20110</v>
      </c>
      <c r="M189">
        <v>112485</v>
      </c>
      <c r="N189">
        <v>0</v>
      </c>
    </row>
    <row r="190" spans="1:14" x14ac:dyDescent="0.3">
      <c r="A190" s="1" t="s">
        <v>235</v>
      </c>
      <c r="B190" s="1" t="s">
        <v>69</v>
      </c>
      <c r="C190">
        <v>28</v>
      </c>
      <c r="D190" s="1" t="s">
        <v>16</v>
      </c>
      <c r="E190" s="1" t="s">
        <v>38</v>
      </c>
      <c r="F190" s="1" t="s">
        <v>18</v>
      </c>
      <c r="G190" s="1" t="s">
        <v>19</v>
      </c>
      <c r="H190" s="1" t="s">
        <v>49</v>
      </c>
      <c r="I190" s="2">
        <v>45808</v>
      </c>
      <c r="J190">
        <v>14433</v>
      </c>
      <c r="K190" s="2">
        <v>45867</v>
      </c>
      <c r="L190">
        <v>24228</v>
      </c>
      <c r="M190">
        <v>38661</v>
      </c>
      <c r="N190">
        <v>0</v>
      </c>
    </row>
    <row r="191" spans="1:14" x14ac:dyDescent="0.3">
      <c r="A191" s="1" t="s">
        <v>236</v>
      </c>
      <c r="B191" s="1" t="s">
        <v>22</v>
      </c>
      <c r="C191">
        <v>45</v>
      </c>
      <c r="D191" s="1" t="s">
        <v>23</v>
      </c>
      <c r="E191" s="1" t="s">
        <v>17</v>
      </c>
      <c r="F191" s="1" t="s">
        <v>25</v>
      </c>
      <c r="G191" s="1" t="s">
        <v>19</v>
      </c>
      <c r="H191" s="1" t="s">
        <v>20</v>
      </c>
      <c r="I191" s="2">
        <v>45259</v>
      </c>
      <c r="J191">
        <v>1167</v>
      </c>
      <c r="K191" s="2">
        <v>45845</v>
      </c>
      <c r="L191">
        <v>-16241</v>
      </c>
      <c r="M191">
        <v>-15074</v>
      </c>
      <c r="N191">
        <v>0</v>
      </c>
    </row>
    <row r="192" spans="1:14" x14ac:dyDescent="0.3">
      <c r="A192" s="1" t="s">
        <v>237</v>
      </c>
      <c r="B192" s="1" t="s">
        <v>43</v>
      </c>
      <c r="C192">
        <v>42</v>
      </c>
      <c r="D192" s="1" t="s">
        <v>23</v>
      </c>
      <c r="E192" s="1" t="s">
        <v>24</v>
      </c>
      <c r="F192" s="1" t="s">
        <v>18</v>
      </c>
      <c r="G192" s="1" t="s">
        <v>19</v>
      </c>
      <c r="H192" s="1" t="s">
        <v>20</v>
      </c>
      <c r="I192" s="2">
        <v>45680</v>
      </c>
      <c r="J192">
        <v>17105</v>
      </c>
      <c r="K192" s="2">
        <v>45857</v>
      </c>
      <c r="L192">
        <v>24480</v>
      </c>
      <c r="M192">
        <v>41585</v>
      </c>
      <c r="N192">
        <v>0</v>
      </c>
    </row>
    <row r="193" spans="1:14" x14ac:dyDescent="0.3">
      <c r="A193" s="1" t="s">
        <v>238</v>
      </c>
      <c r="B193" s="1" t="s">
        <v>22</v>
      </c>
      <c r="C193">
        <v>56</v>
      </c>
      <c r="D193" s="1" t="s">
        <v>23</v>
      </c>
      <c r="E193" s="1" t="s">
        <v>24</v>
      </c>
      <c r="F193" s="1" t="s">
        <v>18</v>
      </c>
      <c r="G193" s="1" t="s">
        <v>41</v>
      </c>
      <c r="H193" s="1" t="s">
        <v>20</v>
      </c>
      <c r="I193" s="2">
        <v>44910</v>
      </c>
      <c r="J193">
        <v>10901</v>
      </c>
      <c r="K193" s="2">
        <v>45804</v>
      </c>
      <c r="L193">
        <v>-1922</v>
      </c>
      <c r="M193">
        <v>8979</v>
      </c>
      <c r="N193">
        <v>0</v>
      </c>
    </row>
    <row r="194" spans="1:14" x14ac:dyDescent="0.3">
      <c r="A194" s="1" t="s">
        <v>239</v>
      </c>
      <c r="B194" s="1" t="s">
        <v>40</v>
      </c>
      <c r="C194">
        <v>50</v>
      </c>
      <c r="D194" s="1" t="s">
        <v>16</v>
      </c>
      <c r="E194" s="1" t="s">
        <v>38</v>
      </c>
      <c r="F194" s="1" t="s">
        <v>25</v>
      </c>
      <c r="G194" s="1" t="s">
        <v>19</v>
      </c>
      <c r="H194" s="1" t="s">
        <v>20</v>
      </c>
      <c r="I194" s="2">
        <v>44752</v>
      </c>
      <c r="J194">
        <v>3577</v>
      </c>
      <c r="K194" s="2">
        <v>45851</v>
      </c>
      <c r="L194">
        <v>-1719</v>
      </c>
      <c r="M194">
        <v>1858</v>
      </c>
      <c r="N194">
        <v>0</v>
      </c>
    </row>
    <row r="195" spans="1:14" x14ac:dyDescent="0.3">
      <c r="A195" s="1" t="s">
        <v>240</v>
      </c>
      <c r="B195" s="1" t="s">
        <v>48</v>
      </c>
      <c r="C195">
        <v>18</v>
      </c>
      <c r="D195" s="1" t="s">
        <v>16</v>
      </c>
      <c r="E195" s="1" t="s">
        <v>24</v>
      </c>
      <c r="F195" s="1" t="s">
        <v>25</v>
      </c>
      <c r="G195" s="1" t="s">
        <v>19</v>
      </c>
      <c r="H195" s="1" t="s">
        <v>20</v>
      </c>
      <c r="I195" s="2">
        <v>45703</v>
      </c>
      <c r="J195">
        <v>18202</v>
      </c>
      <c r="K195" s="2">
        <v>45828</v>
      </c>
      <c r="L195">
        <v>7605</v>
      </c>
      <c r="M195">
        <v>25807</v>
      </c>
      <c r="N195">
        <v>0</v>
      </c>
    </row>
    <row r="196" spans="1:14" x14ac:dyDescent="0.3">
      <c r="A196" s="1" t="s">
        <v>241</v>
      </c>
      <c r="B196" s="1" t="s">
        <v>29</v>
      </c>
      <c r="C196">
        <v>44</v>
      </c>
      <c r="D196" s="1" t="s">
        <v>23</v>
      </c>
      <c r="E196" s="1" t="s">
        <v>24</v>
      </c>
      <c r="F196" s="1" t="s">
        <v>18</v>
      </c>
      <c r="G196" s="1" t="s">
        <v>41</v>
      </c>
      <c r="H196" s="1" t="s">
        <v>20</v>
      </c>
      <c r="I196" s="2">
        <v>44362</v>
      </c>
      <c r="J196">
        <v>5207</v>
      </c>
      <c r="K196" s="2">
        <v>45835</v>
      </c>
      <c r="L196">
        <v>-1335</v>
      </c>
      <c r="M196">
        <v>3872</v>
      </c>
      <c r="N196">
        <v>0</v>
      </c>
    </row>
    <row r="197" spans="1:14" x14ac:dyDescent="0.3">
      <c r="A197" s="1" t="s">
        <v>242</v>
      </c>
      <c r="B197" s="1" t="s">
        <v>32</v>
      </c>
      <c r="C197">
        <v>69</v>
      </c>
      <c r="D197" s="1" t="s">
        <v>23</v>
      </c>
      <c r="E197" s="1" t="s">
        <v>24</v>
      </c>
      <c r="F197" s="1" t="s">
        <v>18</v>
      </c>
      <c r="G197" s="1" t="s">
        <v>19</v>
      </c>
      <c r="H197" s="1" t="s">
        <v>20</v>
      </c>
      <c r="I197" s="2">
        <v>44392</v>
      </c>
      <c r="J197">
        <v>16204</v>
      </c>
      <c r="K197" s="2">
        <v>45828</v>
      </c>
      <c r="L197">
        <v>-16162</v>
      </c>
      <c r="M197">
        <v>42</v>
      </c>
      <c r="N197">
        <v>0</v>
      </c>
    </row>
    <row r="198" spans="1:14" x14ac:dyDescent="0.3">
      <c r="A198" s="1" t="s">
        <v>243</v>
      </c>
      <c r="B198" s="1" t="s">
        <v>29</v>
      </c>
      <c r="C198">
        <v>30</v>
      </c>
      <c r="D198" s="1" t="s">
        <v>16</v>
      </c>
      <c r="E198" s="1" t="s">
        <v>24</v>
      </c>
      <c r="F198" s="1" t="s">
        <v>25</v>
      </c>
      <c r="G198" s="1" t="s">
        <v>19</v>
      </c>
      <c r="H198" s="1" t="s">
        <v>20</v>
      </c>
      <c r="I198" s="2">
        <v>44697</v>
      </c>
      <c r="J198">
        <v>6624</v>
      </c>
      <c r="K198" s="2">
        <v>45759</v>
      </c>
      <c r="L198">
        <v>23792</v>
      </c>
      <c r="M198">
        <v>30416</v>
      </c>
      <c r="N198">
        <v>0</v>
      </c>
    </row>
    <row r="199" spans="1:14" x14ac:dyDescent="0.3">
      <c r="A199" s="1" t="s">
        <v>244</v>
      </c>
      <c r="B199" s="1" t="s">
        <v>71</v>
      </c>
      <c r="C199">
        <v>58</v>
      </c>
      <c r="D199" s="1" t="s">
        <v>23</v>
      </c>
      <c r="E199" s="1" t="s">
        <v>24</v>
      </c>
      <c r="F199" s="1" t="s">
        <v>25</v>
      </c>
      <c r="G199" s="1" t="s">
        <v>19</v>
      </c>
      <c r="H199" s="1" t="s">
        <v>20</v>
      </c>
      <c r="I199" s="2">
        <v>45802</v>
      </c>
      <c r="J199">
        <v>5401</v>
      </c>
      <c r="K199" s="2">
        <v>45862</v>
      </c>
      <c r="L199">
        <v>17667</v>
      </c>
      <c r="M199">
        <v>23068</v>
      </c>
      <c r="N199">
        <v>0</v>
      </c>
    </row>
    <row r="200" spans="1:14" x14ac:dyDescent="0.3">
      <c r="A200" s="1" t="s">
        <v>245</v>
      </c>
      <c r="B200" s="1" t="s">
        <v>32</v>
      </c>
      <c r="C200">
        <v>20</v>
      </c>
      <c r="D200" s="1" t="s">
        <v>23</v>
      </c>
      <c r="E200" s="1" t="s">
        <v>24</v>
      </c>
      <c r="F200" s="1" t="s">
        <v>18</v>
      </c>
      <c r="G200" s="1" t="s">
        <v>41</v>
      </c>
      <c r="H200" s="1" t="s">
        <v>49</v>
      </c>
      <c r="I200" s="2">
        <v>45256</v>
      </c>
      <c r="J200">
        <v>13154</v>
      </c>
      <c r="K200" s="2">
        <v>45832</v>
      </c>
      <c r="L200">
        <v>18254</v>
      </c>
      <c r="M200">
        <v>31408</v>
      </c>
      <c r="N200">
        <v>0</v>
      </c>
    </row>
    <row r="201" spans="1:14" x14ac:dyDescent="0.3">
      <c r="A201" s="1" t="s">
        <v>246</v>
      </c>
      <c r="B201" s="1" t="s">
        <v>56</v>
      </c>
      <c r="C201">
        <v>56</v>
      </c>
      <c r="D201" s="1" t="s">
        <v>30</v>
      </c>
      <c r="E201" s="1" t="s">
        <v>24</v>
      </c>
      <c r="F201" s="1" t="s">
        <v>18</v>
      </c>
      <c r="G201" s="1" t="s">
        <v>19</v>
      </c>
      <c r="H201" s="1" t="s">
        <v>20</v>
      </c>
      <c r="I201" s="2">
        <v>45124</v>
      </c>
      <c r="J201">
        <v>2638</v>
      </c>
      <c r="K201" s="2">
        <v>45804</v>
      </c>
      <c r="L201">
        <v>20869</v>
      </c>
      <c r="M201">
        <v>23507</v>
      </c>
      <c r="N201">
        <v>0</v>
      </c>
    </row>
    <row r="202" spans="1:14" x14ac:dyDescent="0.3">
      <c r="A202" s="1" t="s">
        <v>247</v>
      </c>
      <c r="B202" s="1" t="s">
        <v>69</v>
      </c>
      <c r="C202">
        <v>23</v>
      </c>
      <c r="D202" s="1" t="s">
        <v>23</v>
      </c>
      <c r="E202" s="1" t="s">
        <v>38</v>
      </c>
      <c r="F202" s="1" t="s">
        <v>18</v>
      </c>
      <c r="G202" s="1" t="s">
        <v>19</v>
      </c>
      <c r="H202" s="1" t="s">
        <v>20</v>
      </c>
      <c r="I202" s="2">
        <v>45377</v>
      </c>
      <c r="J202">
        <v>12301</v>
      </c>
      <c r="K202" s="2">
        <v>45842</v>
      </c>
      <c r="L202">
        <v>13121</v>
      </c>
      <c r="M202">
        <v>25422</v>
      </c>
      <c r="N202">
        <v>0</v>
      </c>
    </row>
    <row r="203" spans="1:14" x14ac:dyDescent="0.3">
      <c r="A203" s="1" t="s">
        <v>248</v>
      </c>
      <c r="B203" s="1" t="s">
        <v>59</v>
      </c>
      <c r="C203">
        <v>25</v>
      </c>
      <c r="D203" s="1" t="s">
        <v>16</v>
      </c>
      <c r="E203" s="1" t="s">
        <v>24</v>
      </c>
      <c r="F203" s="1" t="s">
        <v>18</v>
      </c>
      <c r="G203" s="1" t="s">
        <v>19</v>
      </c>
      <c r="H203" s="1" t="s">
        <v>20</v>
      </c>
      <c r="I203" s="2">
        <v>44895</v>
      </c>
      <c r="J203">
        <v>25777</v>
      </c>
      <c r="K203" s="2">
        <v>45868</v>
      </c>
      <c r="L203">
        <v>17932</v>
      </c>
      <c r="M203">
        <v>43709</v>
      </c>
      <c r="N203">
        <v>0</v>
      </c>
    </row>
    <row r="204" spans="1:14" x14ac:dyDescent="0.3">
      <c r="A204" s="1" t="s">
        <v>249</v>
      </c>
      <c r="B204" s="1" t="s">
        <v>59</v>
      </c>
      <c r="C204">
        <v>44</v>
      </c>
      <c r="D204" s="1" t="s">
        <v>30</v>
      </c>
      <c r="E204" s="1" t="s">
        <v>35</v>
      </c>
      <c r="F204" s="1" t="s">
        <v>18</v>
      </c>
      <c r="G204" s="1" t="s">
        <v>19</v>
      </c>
      <c r="H204" s="1" t="s">
        <v>20</v>
      </c>
      <c r="I204" s="2">
        <v>45465</v>
      </c>
      <c r="J204">
        <v>47601</v>
      </c>
      <c r="K204" s="2">
        <v>45864</v>
      </c>
      <c r="L204">
        <v>27542</v>
      </c>
      <c r="M204">
        <v>75143</v>
      </c>
      <c r="N204">
        <v>0</v>
      </c>
    </row>
    <row r="205" spans="1:14" x14ac:dyDescent="0.3">
      <c r="A205" s="1" t="s">
        <v>250</v>
      </c>
      <c r="B205" s="1" t="s">
        <v>69</v>
      </c>
      <c r="C205">
        <v>26</v>
      </c>
      <c r="D205" s="1" t="s">
        <v>23</v>
      </c>
      <c r="E205" s="1" t="s">
        <v>24</v>
      </c>
      <c r="F205" s="1" t="s">
        <v>25</v>
      </c>
      <c r="G205" s="1" t="s">
        <v>19</v>
      </c>
      <c r="H205" s="1" t="s">
        <v>20</v>
      </c>
      <c r="I205" s="2">
        <v>44854</v>
      </c>
      <c r="J205">
        <v>39679</v>
      </c>
      <c r="K205" s="2">
        <v>45756</v>
      </c>
      <c r="L205">
        <v>29508</v>
      </c>
      <c r="M205">
        <v>69187</v>
      </c>
      <c r="N205">
        <v>0</v>
      </c>
    </row>
    <row r="206" spans="1:14" x14ac:dyDescent="0.3">
      <c r="A206" s="1" t="s">
        <v>251</v>
      </c>
      <c r="B206" s="1" t="s">
        <v>59</v>
      </c>
      <c r="C206">
        <v>54</v>
      </c>
      <c r="D206" s="1" t="s">
        <v>23</v>
      </c>
      <c r="E206" s="1" t="s">
        <v>35</v>
      </c>
      <c r="F206" s="1" t="s">
        <v>18</v>
      </c>
      <c r="G206" s="1" t="s">
        <v>19</v>
      </c>
      <c r="H206" s="1" t="s">
        <v>20</v>
      </c>
      <c r="I206" s="2">
        <v>45579</v>
      </c>
      <c r="J206">
        <v>51706</v>
      </c>
      <c r="K206" s="2">
        <v>45848</v>
      </c>
      <c r="L206">
        <v>14157</v>
      </c>
      <c r="M206">
        <v>65863</v>
      </c>
      <c r="N206">
        <v>0</v>
      </c>
    </row>
    <row r="207" spans="1:14" x14ac:dyDescent="0.3">
      <c r="A207" s="1" t="s">
        <v>252</v>
      </c>
      <c r="B207" s="1" t="s">
        <v>59</v>
      </c>
      <c r="C207">
        <v>50</v>
      </c>
      <c r="D207" s="1" t="s">
        <v>23</v>
      </c>
      <c r="E207" s="1" t="s">
        <v>38</v>
      </c>
      <c r="F207" s="1" t="s">
        <v>25</v>
      </c>
      <c r="G207" s="1" t="s">
        <v>41</v>
      </c>
      <c r="H207" s="1" t="s">
        <v>20</v>
      </c>
      <c r="I207" s="2">
        <v>44644</v>
      </c>
      <c r="J207">
        <v>8478</v>
      </c>
      <c r="K207" s="2">
        <v>45817</v>
      </c>
      <c r="L207">
        <v>8150</v>
      </c>
      <c r="M207">
        <v>16628</v>
      </c>
      <c r="N207">
        <v>0</v>
      </c>
    </row>
    <row r="208" spans="1:14" x14ac:dyDescent="0.3">
      <c r="A208" s="1" t="s">
        <v>253</v>
      </c>
      <c r="B208" s="1" t="s">
        <v>71</v>
      </c>
      <c r="C208">
        <v>68</v>
      </c>
      <c r="D208" s="1" t="s">
        <v>16</v>
      </c>
      <c r="E208" s="1" t="s">
        <v>24</v>
      </c>
      <c r="F208" s="1" t="s">
        <v>18</v>
      </c>
      <c r="G208" s="1" t="s">
        <v>19</v>
      </c>
      <c r="H208" s="1" t="s">
        <v>20</v>
      </c>
      <c r="I208" s="2">
        <v>44661</v>
      </c>
      <c r="J208">
        <v>4795</v>
      </c>
      <c r="K208" s="2">
        <v>45869</v>
      </c>
      <c r="L208">
        <v>27036</v>
      </c>
      <c r="M208">
        <v>31831</v>
      </c>
      <c r="N208">
        <v>0</v>
      </c>
    </row>
    <row r="209" spans="1:14" x14ac:dyDescent="0.3">
      <c r="A209" s="1" t="s">
        <v>254</v>
      </c>
      <c r="B209" s="1" t="s">
        <v>87</v>
      </c>
      <c r="C209">
        <v>59</v>
      </c>
      <c r="D209" s="1" t="s">
        <v>16</v>
      </c>
      <c r="E209" s="1" t="s">
        <v>38</v>
      </c>
      <c r="F209" s="1" t="s">
        <v>25</v>
      </c>
      <c r="G209" s="1" t="s">
        <v>19</v>
      </c>
      <c r="H209" s="1" t="s">
        <v>20</v>
      </c>
      <c r="I209" s="2">
        <v>45070</v>
      </c>
      <c r="J209">
        <v>30193</v>
      </c>
      <c r="K209" s="2">
        <v>45821</v>
      </c>
      <c r="L209">
        <v>-8708</v>
      </c>
      <c r="M209">
        <v>21485</v>
      </c>
      <c r="N209">
        <v>0</v>
      </c>
    </row>
    <row r="210" spans="1:14" x14ac:dyDescent="0.3">
      <c r="A210" s="1" t="s">
        <v>255</v>
      </c>
      <c r="B210" s="1" t="s">
        <v>27</v>
      </c>
      <c r="C210">
        <v>61</v>
      </c>
      <c r="D210" s="1" t="s">
        <v>16</v>
      </c>
      <c r="E210" s="1" t="s">
        <v>17</v>
      </c>
      <c r="F210" s="1" t="s">
        <v>25</v>
      </c>
      <c r="G210" s="1" t="s">
        <v>19</v>
      </c>
      <c r="H210" s="1" t="s">
        <v>20</v>
      </c>
      <c r="I210" s="2">
        <v>44917</v>
      </c>
      <c r="J210">
        <v>7967</v>
      </c>
      <c r="K210" s="2">
        <v>45857</v>
      </c>
      <c r="L210">
        <v>17076</v>
      </c>
      <c r="M210">
        <v>25043</v>
      </c>
      <c r="N210">
        <v>0</v>
      </c>
    </row>
    <row r="211" spans="1:14" x14ac:dyDescent="0.3">
      <c r="A211" s="1" t="s">
        <v>256</v>
      </c>
      <c r="B211" s="1" t="s">
        <v>71</v>
      </c>
      <c r="C211">
        <v>41</v>
      </c>
      <c r="D211" s="1" t="s">
        <v>23</v>
      </c>
      <c r="E211" s="1" t="s">
        <v>35</v>
      </c>
      <c r="F211" s="1" t="s">
        <v>18</v>
      </c>
      <c r="G211" s="1" t="s">
        <v>19</v>
      </c>
      <c r="H211" s="1" t="s">
        <v>20</v>
      </c>
      <c r="I211" s="2">
        <v>45281</v>
      </c>
      <c r="J211">
        <v>13444</v>
      </c>
      <c r="K211" s="2">
        <v>45841</v>
      </c>
      <c r="L211">
        <v>8111</v>
      </c>
      <c r="M211">
        <v>21555</v>
      </c>
      <c r="N211">
        <v>0</v>
      </c>
    </row>
    <row r="212" spans="1:14" x14ac:dyDescent="0.3">
      <c r="A212" s="1" t="s">
        <v>257</v>
      </c>
      <c r="B212" s="1" t="s">
        <v>15</v>
      </c>
      <c r="C212">
        <v>32</v>
      </c>
      <c r="D212" s="1" t="s">
        <v>16</v>
      </c>
      <c r="E212" s="1" t="s">
        <v>24</v>
      </c>
      <c r="F212" s="1" t="s">
        <v>18</v>
      </c>
      <c r="G212" s="1" t="s">
        <v>19</v>
      </c>
      <c r="H212" s="1" t="s">
        <v>20</v>
      </c>
      <c r="I212" s="2">
        <v>44806</v>
      </c>
      <c r="J212">
        <v>28194</v>
      </c>
      <c r="K212" s="2">
        <v>45857</v>
      </c>
      <c r="L212">
        <v>34442</v>
      </c>
      <c r="M212">
        <v>62636</v>
      </c>
      <c r="N212">
        <v>0</v>
      </c>
    </row>
    <row r="213" spans="1:14" x14ac:dyDescent="0.3">
      <c r="A213" s="1" t="s">
        <v>258</v>
      </c>
      <c r="B213" s="1" t="s">
        <v>64</v>
      </c>
      <c r="C213">
        <v>49</v>
      </c>
      <c r="D213" s="1" t="s">
        <v>16</v>
      </c>
      <c r="E213" s="1" t="s">
        <v>17</v>
      </c>
      <c r="F213" s="1" t="s">
        <v>18</v>
      </c>
      <c r="G213" s="1" t="s">
        <v>41</v>
      </c>
      <c r="H213" s="1" t="s">
        <v>20</v>
      </c>
      <c r="I213" s="2">
        <v>44582</v>
      </c>
      <c r="J213">
        <v>100821</v>
      </c>
      <c r="K213" s="2">
        <v>45840</v>
      </c>
      <c r="L213">
        <v>24684</v>
      </c>
      <c r="M213">
        <v>125505</v>
      </c>
      <c r="N213">
        <v>0</v>
      </c>
    </row>
    <row r="214" spans="1:14" x14ac:dyDescent="0.3">
      <c r="A214" s="1" t="s">
        <v>259</v>
      </c>
      <c r="B214" s="1" t="s">
        <v>79</v>
      </c>
      <c r="C214">
        <v>49</v>
      </c>
      <c r="D214" s="1" t="s">
        <v>16</v>
      </c>
      <c r="E214" s="1" t="s">
        <v>24</v>
      </c>
      <c r="F214" s="1" t="s">
        <v>25</v>
      </c>
      <c r="G214" s="1" t="s">
        <v>41</v>
      </c>
      <c r="H214" s="1" t="s">
        <v>20</v>
      </c>
      <c r="I214" s="2">
        <v>44982</v>
      </c>
      <c r="J214">
        <v>22670</v>
      </c>
      <c r="K214" s="2">
        <v>45845</v>
      </c>
      <c r="L214">
        <v>15642</v>
      </c>
      <c r="M214">
        <v>38312</v>
      </c>
      <c r="N214">
        <v>0</v>
      </c>
    </row>
    <row r="215" spans="1:14" x14ac:dyDescent="0.3">
      <c r="A215" s="1" t="s">
        <v>260</v>
      </c>
      <c r="B215" s="1" t="s">
        <v>32</v>
      </c>
      <c r="C215">
        <v>41</v>
      </c>
      <c r="D215" s="1" t="s">
        <v>16</v>
      </c>
      <c r="E215" s="1" t="s">
        <v>35</v>
      </c>
      <c r="F215" s="1" t="s">
        <v>25</v>
      </c>
      <c r="G215" s="1" t="s">
        <v>19</v>
      </c>
      <c r="H215" s="1" t="s">
        <v>49</v>
      </c>
      <c r="I215" s="2">
        <v>45135</v>
      </c>
      <c r="J215">
        <v>16401</v>
      </c>
      <c r="K215" s="2">
        <v>45845</v>
      </c>
      <c r="L215">
        <v>15099</v>
      </c>
      <c r="M215">
        <v>31500</v>
      </c>
      <c r="N215">
        <v>0</v>
      </c>
    </row>
    <row r="216" spans="1:14" x14ac:dyDescent="0.3">
      <c r="A216" s="1" t="s">
        <v>261</v>
      </c>
      <c r="B216" s="1" t="s">
        <v>69</v>
      </c>
      <c r="C216">
        <v>58</v>
      </c>
      <c r="D216" s="1" t="s">
        <v>16</v>
      </c>
      <c r="E216" s="1" t="s">
        <v>17</v>
      </c>
      <c r="F216" s="1" t="s">
        <v>18</v>
      </c>
      <c r="G216" s="1" t="s">
        <v>41</v>
      </c>
      <c r="H216" s="1" t="s">
        <v>20</v>
      </c>
      <c r="I216" s="2">
        <v>44435</v>
      </c>
      <c r="J216">
        <v>4354</v>
      </c>
      <c r="K216" s="2">
        <v>45705</v>
      </c>
      <c r="L216">
        <v>5151</v>
      </c>
      <c r="M216">
        <v>9505</v>
      </c>
      <c r="N216">
        <v>0</v>
      </c>
    </row>
    <row r="217" spans="1:14" x14ac:dyDescent="0.3">
      <c r="A217" s="1" t="s">
        <v>262</v>
      </c>
      <c r="B217" s="1" t="s">
        <v>37</v>
      </c>
      <c r="C217">
        <v>69</v>
      </c>
      <c r="D217" s="1" t="s">
        <v>16</v>
      </c>
      <c r="E217" s="1" t="s">
        <v>24</v>
      </c>
      <c r="F217" s="1" t="s">
        <v>18</v>
      </c>
      <c r="G217" s="1" t="s">
        <v>19</v>
      </c>
      <c r="H217" s="1" t="s">
        <v>20</v>
      </c>
      <c r="I217" s="2">
        <v>45128</v>
      </c>
      <c r="J217">
        <v>43017</v>
      </c>
      <c r="K217" s="2">
        <v>45824</v>
      </c>
      <c r="L217">
        <v>-2630</v>
      </c>
      <c r="M217">
        <v>40387</v>
      </c>
      <c r="N217">
        <v>0</v>
      </c>
    </row>
    <row r="218" spans="1:14" x14ac:dyDescent="0.3">
      <c r="A218" s="1" t="s">
        <v>263</v>
      </c>
      <c r="B218" s="1" t="s">
        <v>40</v>
      </c>
      <c r="C218">
        <v>66</v>
      </c>
      <c r="D218" s="1" t="s">
        <v>16</v>
      </c>
      <c r="E218" s="1" t="s">
        <v>38</v>
      </c>
      <c r="F218" s="1" t="s">
        <v>18</v>
      </c>
      <c r="G218" s="1" t="s">
        <v>19</v>
      </c>
      <c r="H218" s="1" t="s">
        <v>20</v>
      </c>
      <c r="I218" s="2">
        <v>44731</v>
      </c>
      <c r="J218">
        <v>20103</v>
      </c>
      <c r="K218" s="2">
        <v>45868</v>
      </c>
      <c r="L218">
        <v>21404</v>
      </c>
      <c r="M218">
        <v>41507</v>
      </c>
      <c r="N218">
        <v>0</v>
      </c>
    </row>
    <row r="219" spans="1:14" x14ac:dyDescent="0.3">
      <c r="A219" s="1" t="s">
        <v>264</v>
      </c>
      <c r="B219" s="1" t="s">
        <v>75</v>
      </c>
      <c r="C219">
        <v>66</v>
      </c>
      <c r="D219" s="1" t="s">
        <v>23</v>
      </c>
      <c r="E219" s="1" t="s">
        <v>38</v>
      </c>
      <c r="F219" s="1" t="s">
        <v>25</v>
      </c>
      <c r="G219" s="1" t="s">
        <v>19</v>
      </c>
      <c r="H219" s="1" t="s">
        <v>20</v>
      </c>
      <c r="I219" s="2">
        <v>44853</v>
      </c>
      <c r="J219">
        <v>9441</v>
      </c>
      <c r="K219" s="2">
        <v>45868</v>
      </c>
      <c r="L219">
        <v>10118</v>
      </c>
      <c r="M219">
        <v>19559</v>
      </c>
      <c r="N219">
        <v>0</v>
      </c>
    </row>
    <row r="220" spans="1:14" x14ac:dyDescent="0.3">
      <c r="A220" s="1" t="s">
        <v>265</v>
      </c>
      <c r="B220" s="1" t="s">
        <v>69</v>
      </c>
      <c r="C220">
        <v>69</v>
      </c>
      <c r="D220" s="1" t="s">
        <v>23</v>
      </c>
      <c r="E220" s="1" t="s">
        <v>24</v>
      </c>
      <c r="F220" s="1" t="s">
        <v>18</v>
      </c>
      <c r="G220" s="1" t="s">
        <v>41</v>
      </c>
      <c r="H220" s="1" t="s">
        <v>20</v>
      </c>
      <c r="I220" s="2">
        <v>44664</v>
      </c>
      <c r="J220">
        <v>8515</v>
      </c>
      <c r="K220" s="2">
        <v>45862</v>
      </c>
      <c r="L220">
        <v>-10072</v>
      </c>
      <c r="M220">
        <v>-1557</v>
      </c>
      <c r="N220">
        <v>0</v>
      </c>
    </row>
    <row r="221" spans="1:14" x14ac:dyDescent="0.3">
      <c r="A221" s="1" t="s">
        <v>266</v>
      </c>
      <c r="B221" s="1" t="s">
        <v>71</v>
      </c>
      <c r="C221">
        <v>29</v>
      </c>
      <c r="D221" s="1" t="s">
        <v>16</v>
      </c>
      <c r="E221" s="1" t="s">
        <v>17</v>
      </c>
      <c r="F221" s="1" t="s">
        <v>18</v>
      </c>
      <c r="G221" s="1" t="s">
        <v>19</v>
      </c>
      <c r="H221" s="1" t="s">
        <v>20</v>
      </c>
      <c r="I221" s="2">
        <v>45755</v>
      </c>
      <c r="J221">
        <v>8894</v>
      </c>
      <c r="K221" s="2">
        <v>45868</v>
      </c>
      <c r="L221">
        <v>4612</v>
      </c>
      <c r="M221">
        <v>13506</v>
      </c>
      <c r="N221">
        <v>0</v>
      </c>
    </row>
    <row r="222" spans="1:14" x14ac:dyDescent="0.3">
      <c r="A222" s="1" t="s">
        <v>267</v>
      </c>
      <c r="B222" s="1" t="s">
        <v>15</v>
      </c>
      <c r="C222">
        <v>56</v>
      </c>
      <c r="D222" s="1" t="s">
        <v>23</v>
      </c>
      <c r="E222" s="1" t="s">
        <v>17</v>
      </c>
      <c r="F222" s="1" t="s">
        <v>18</v>
      </c>
      <c r="G222" s="1" t="s">
        <v>41</v>
      </c>
      <c r="H222" s="1" t="s">
        <v>20</v>
      </c>
      <c r="I222" s="2">
        <v>45340</v>
      </c>
      <c r="J222">
        <v>13960</v>
      </c>
      <c r="K222" s="2">
        <v>45869</v>
      </c>
      <c r="L222">
        <v>18655</v>
      </c>
      <c r="M222">
        <v>32615</v>
      </c>
      <c r="N222">
        <v>0</v>
      </c>
    </row>
    <row r="223" spans="1:14" x14ac:dyDescent="0.3">
      <c r="A223" s="1" t="s">
        <v>268</v>
      </c>
      <c r="B223" s="1" t="s">
        <v>40</v>
      </c>
      <c r="C223">
        <v>19</v>
      </c>
      <c r="D223" s="1" t="s">
        <v>16</v>
      </c>
      <c r="E223" s="1" t="s">
        <v>24</v>
      </c>
      <c r="F223" s="1" t="s">
        <v>18</v>
      </c>
      <c r="G223" s="1" t="s">
        <v>19</v>
      </c>
      <c r="H223" s="1" t="s">
        <v>20</v>
      </c>
      <c r="I223" s="2">
        <v>44636</v>
      </c>
      <c r="J223">
        <v>3106</v>
      </c>
      <c r="K223" s="2">
        <v>45848</v>
      </c>
      <c r="L223">
        <v>11179</v>
      </c>
      <c r="M223">
        <v>14285</v>
      </c>
      <c r="N223">
        <v>0</v>
      </c>
    </row>
    <row r="224" spans="1:14" x14ac:dyDescent="0.3">
      <c r="A224" s="1" t="s">
        <v>269</v>
      </c>
      <c r="B224" s="1" t="s">
        <v>56</v>
      </c>
      <c r="C224">
        <v>20</v>
      </c>
      <c r="D224" s="1" t="s">
        <v>30</v>
      </c>
      <c r="E224" s="1" t="s">
        <v>24</v>
      </c>
      <c r="F224" s="1" t="s">
        <v>25</v>
      </c>
      <c r="G224" s="1" t="s">
        <v>19</v>
      </c>
      <c r="H224" s="1" t="s">
        <v>20</v>
      </c>
      <c r="I224" s="2">
        <v>45276</v>
      </c>
      <c r="J224">
        <v>45163</v>
      </c>
      <c r="K224" s="2">
        <v>45862</v>
      </c>
      <c r="L224">
        <v>12420</v>
      </c>
      <c r="M224">
        <v>57583</v>
      </c>
      <c r="N224">
        <v>0</v>
      </c>
    </row>
    <row r="225" spans="1:14" x14ac:dyDescent="0.3">
      <c r="A225" s="1" t="s">
        <v>270</v>
      </c>
      <c r="B225" s="1" t="s">
        <v>40</v>
      </c>
      <c r="C225">
        <v>66</v>
      </c>
      <c r="D225" s="1" t="s">
        <v>16</v>
      </c>
      <c r="E225" s="1" t="s">
        <v>35</v>
      </c>
      <c r="F225" s="1" t="s">
        <v>18</v>
      </c>
      <c r="G225" s="1" t="s">
        <v>19</v>
      </c>
      <c r="H225" s="1" t="s">
        <v>20</v>
      </c>
      <c r="I225" s="2">
        <v>45616</v>
      </c>
      <c r="J225">
        <v>37597</v>
      </c>
      <c r="K225" s="2">
        <v>45861</v>
      </c>
      <c r="L225">
        <v>18866</v>
      </c>
      <c r="M225">
        <v>56463</v>
      </c>
      <c r="N225">
        <v>0</v>
      </c>
    </row>
    <row r="226" spans="1:14" x14ac:dyDescent="0.3">
      <c r="A226" s="1" t="s">
        <v>271</v>
      </c>
      <c r="B226" s="1" t="s">
        <v>64</v>
      </c>
      <c r="C226">
        <v>54</v>
      </c>
      <c r="D226" s="1" t="s">
        <v>23</v>
      </c>
      <c r="E226" s="1" t="s">
        <v>17</v>
      </c>
      <c r="F226" s="1" t="s">
        <v>25</v>
      </c>
      <c r="G226" s="1" t="s">
        <v>19</v>
      </c>
      <c r="H226" s="1" t="s">
        <v>20</v>
      </c>
      <c r="I226" s="2">
        <v>44868</v>
      </c>
      <c r="J226">
        <v>11299</v>
      </c>
      <c r="K226" s="2">
        <v>45846</v>
      </c>
      <c r="L226">
        <v>-5050</v>
      </c>
      <c r="M226">
        <v>6249</v>
      </c>
      <c r="N226">
        <v>0</v>
      </c>
    </row>
    <row r="227" spans="1:14" x14ac:dyDescent="0.3">
      <c r="A227" s="1" t="s">
        <v>272</v>
      </c>
      <c r="B227" s="1" t="s">
        <v>52</v>
      </c>
      <c r="C227">
        <v>66</v>
      </c>
      <c r="D227" s="1" t="s">
        <v>23</v>
      </c>
      <c r="E227" s="1" t="s">
        <v>38</v>
      </c>
      <c r="F227" s="1" t="s">
        <v>18</v>
      </c>
      <c r="G227" s="1" t="s">
        <v>19</v>
      </c>
      <c r="H227" s="1" t="s">
        <v>20</v>
      </c>
      <c r="I227" s="2">
        <v>45585</v>
      </c>
      <c r="J227">
        <v>8914</v>
      </c>
      <c r="K227" s="2">
        <v>45859</v>
      </c>
      <c r="L227">
        <v>3126</v>
      </c>
      <c r="M227">
        <v>12040</v>
      </c>
      <c r="N227">
        <v>0</v>
      </c>
    </row>
    <row r="228" spans="1:14" x14ac:dyDescent="0.3">
      <c r="A228" s="1" t="s">
        <v>273</v>
      </c>
      <c r="B228" s="1" t="s">
        <v>64</v>
      </c>
      <c r="C228">
        <v>34</v>
      </c>
      <c r="D228" s="1" t="s">
        <v>23</v>
      </c>
      <c r="E228" s="1" t="s">
        <v>17</v>
      </c>
      <c r="F228" s="1" t="s">
        <v>18</v>
      </c>
      <c r="G228" s="1" t="s">
        <v>19</v>
      </c>
      <c r="H228" s="1" t="s">
        <v>20</v>
      </c>
      <c r="I228" s="2">
        <v>44455</v>
      </c>
      <c r="J228">
        <v>13054</v>
      </c>
      <c r="K228" s="2">
        <v>45757</v>
      </c>
      <c r="L228">
        <v>-256</v>
      </c>
      <c r="M228">
        <v>12798</v>
      </c>
      <c r="N228">
        <v>0</v>
      </c>
    </row>
    <row r="229" spans="1:14" x14ac:dyDescent="0.3">
      <c r="A229" s="1" t="s">
        <v>274</v>
      </c>
      <c r="B229" s="1" t="s">
        <v>79</v>
      </c>
      <c r="C229">
        <v>66</v>
      </c>
      <c r="D229" s="1" t="s">
        <v>16</v>
      </c>
      <c r="E229" s="1" t="s">
        <v>17</v>
      </c>
      <c r="F229" s="1" t="s">
        <v>25</v>
      </c>
      <c r="G229" s="1" t="s">
        <v>19</v>
      </c>
      <c r="H229" s="1" t="s">
        <v>20</v>
      </c>
      <c r="I229" s="2">
        <v>45573</v>
      </c>
      <c r="J229">
        <v>15469</v>
      </c>
      <c r="K229" s="2">
        <v>45865</v>
      </c>
      <c r="L229">
        <v>8760</v>
      </c>
      <c r="M229">
        <v>24229</v>
      </c>
      <c r="N229">
        <v>0</v>
      </c>
    </row>
    <row r="230" spans="1:14" x14ac:dyDescent="0.3">
      <c r="A230" s="1" t="s">
        <v>275</v>
      </c>
      <c r="B230" s="1" t="s">
        <v>40</v>
      </c>
      <c r="C230">
        <v>19</v>
      </c>
      <c r="D230" s="1" t="s">
        <v>16</v>
      </c>
      <c r="E230" s="1" t="s">
        <v>24</v>
      </c>
      <c r="F230" s="1" t="s">
        <v>25</v>
      </c>
      <c r="G230" s="1" t="s">
        <v>19</v>
      </c>
      <c r="H230" s="1" t="s">
        <v>20</v>
      </c>
      <c r="I230" s="2">
        <v>45100</v>
      </c>
      <c r="J230">
        <v>9896</v>
      </c>
      <c r="K230" s="2">
        <v>45814</v>
      </c>
      <c r="L230">
        <v>8314</v>
      </c>
      <c r="M230">
        <v>18210</v>
      </c>
      <c r="N230">
        <v>0</v>
      </c>
    </row>
    <row r="231" spans="1:14" x14ac:dyDescent="0.3">
      <c r="A231" s="1" t="s">
        <v>276</v>
      </c>
      <c r="B231" s="1" t="s">
        <v>29</v>
      </c>
      <c r="C231">
        <v>19</v>
      </c>
      <c r="D231" s="1" t="s">
        <v>16</v>
      </c>
      <c r="E231" s="1" t="s">
        <v>24</v>
      </c>
      <c r="F231" s="1" t="s">
        <v>25</v>
      </c>
      <c r="G231" s="1" t="s">
        <v>19</v>
      </c>
      <c r="H231" s="1" t="s">
        <v>20</v>
      </c>
      <c r="I231" s="2">
        <v>44570</v>
      </c>
      <c r="J231">
        <v>36282</v>
      </c>
      <c r="K231" s="2">
        <v>45823</v>
      </c>
      <c r="L231">
        <v>25079</v>
      </c>
      <c r="M231">
        <v>61361</v>
      </c>
      <c r="N231">
        <v>0</v>
      </c>
    </row>
    <row r="232" spans="1:14" x14ac:dyDescent="0.3">
      <c r="A232" s="1" t="s">
        <v>277</v>
      </c>
      <c r="B232" s="1" t="s">
        <v>40</v>
      </c>
      <c r="C232">
        <v>45</v>
      </c>
      <c r="D232" s="1" t="s">
        <v>23</v>
      </c>
      <c r="E232" s="1" t="s">
        <v>38</v>
      </c>
      <c r="F232" s="1" t="s">
        <v>18</v>
      </c>
      <c r="G232" s="1" t="s">
        <v>41</v>
      </c>
      <c r="H232" s="1" t="s">
        <v>20</v>
      </c>
      <c r="I232" s="2">
        <v>44878</v>
      </c>
      <c r="J232">
        <v>3216</v>
      </c>
      <c r="K232" s="2">
        <v>45868</v>
      </c>
      <c r="L232">
        <v>43300</v>
      </c>
      <c r="M232">
        <v>46516</v>
      </c>
      <c r="N232">
        <v>0</v>
      </c>
    </row>
    <row r="233" spans="1:14" x14ac:dyDescent="0.3">
      <c r="A233" s="1" t="s">
        <v>278</v>
      </c>
      <c r="B233" s="1" t="s">
        <v>29</v>
      </c>
      <c r="C233">
        <v>40</v>
      </c>
      <c r="D233" s="1" t="s">
        <v>16</v>
      </c>
      <c r="E233" s="1" t="s">
        <v>35</v>
      </c>
      <c r="F233" s="1" t="s">
        <v>18</v>
      </c>
      <c r="G233" s="1" t="s">
        <v>19</v>
      </c>
      <c r="H233" s="1" t="s">
        <v>20</v>
      </c>
      <c r="I233" s="2">
        <v>45849</v>
      </c>
      <c r="J233">
        <v>6556</v>
      </c>
      <c r="K233" s="2">
        <v>45869</v>
      </c>
      <c r="L233">
        <v>12939</v>
      </c>
      <c r="M233">
        <v>19495</v>
      </c>
      <c r="N233">
        <v>0</v>
      </c>
    </row>
    <row r="234" spans="1:14" x14ac:dyDescent="0.3">
      <c r="A234" s="1" t="s">
        <v>279</v>
      </c>
      <c r="B234" s="1" t="s">
        <v>43</v>
      </c>
      <c r="C234">
        <v>54</v>
      </c>
      <c r="D234" s="1" t="s">
        <v>16</v>
      </c>
      <c r="E234" s="1" t="s">
        <v>24</v>
      </c>
      <c r="F234" s="1" t="s">
        <v>25</v>
      </c>
      <c r="G234" s="1" t="s">
        <v>19</v>
      </c>
      <c r="H234" s="1" t="s">
        <v>20</v>
      </c>
      <c r="I234" s="2">
        <v>45507</v>
      </c>
      <c r="J234">
        <v>29006</v>
      </c>
      <c r="K234" s="2">
        <v>45869</v>
      </c>
      <c r="L234">
        <v>29470</v>
      </c>
      <c r="M234">
        <v>58476</v>
      </c>
      <c r="N234">
        <v>0</v>
      </c>
    </row>
    <row r="235" spans="1:14" x14ac:dyDescent="0.3">
      <c r="A235" s="1" t="s">
        <v>280</v>
      </c>
      <c r="B235" s="1" t="s">
        <v>29</v>
      </c>
      <c r="C235">
        <v>49</v>
      </c>
      <c r="D235" s="1" t="s">
        <v>23</v>
      </c>
      <c r="E235" s="1" t="s">
        <v>35</v>
      </c>
      <c r="F235" s="1" t="s">
        <v>18</v>
      </c>
      <c r="G235" s="1" t="s">
        <v>19</v>
      </c>
      <c r="H235" s="1" t="s">
        <v>20</v>
      </c>
      <c r="I235" s="2">
        <v>45159</v>
      </c>
      <c r="J235">
        <v>18477</v>
      </c>
      <c r="K235" s="2">
        <v>45865</v>
      </c>
      <c r="L235">
        <v>21607</v>
      </c>
      <c r="M235">
        <v>40084</v>
      </c>
      <c r="N235">
        <v>0</v>
      </c>
    </row>
    <row r="236" spans="1:14" x14ac:dyDescent="0.3">
      <c r="A236" s="1" t="s">
        <v>281</v>
      </c>
      <c r="B236" s="1" t="s">
        <v>59</v>
      </c>
      <c r="C236">
        <v>50</v>
      </c>
      <c r="D236" s="1" t="s">
        <v>16</v>
      </c>
      <c r="E236" s="1" t="s">
        <v>38</v>
      </c>
      <c r="F236" s="1" t="s">
        <v>18</v>
      </c>
      <c r="G236" s="1" t="s">
        <v>19</v>
      </c>
      <c r="H236" s="1" t="s">
        <v>20</v>
      </c>
      <c r="I236" s="2">
        <v>44389</v>
      </c>
      <c r="J236">
        <v>6771</v>
      </c>
      <c r="K236" s="2">
        <v>45850</v>
      </c>
      <c r="L236">
        <v>8676</v>
      </c>
      <c r="M236">
        <v>15447</v>
      </c>
      <c r="N236">
        <v>0</v>
      </c>
    </row>
    <row r="237" spans="1:14" x14ac:dyDescent="0.3">
      <c r="A237" s="1" t="s">
        <v>282</v>
      </c>
      <c r="B237" s="1" t="s">
        <v>71</v>
      </c>
      <c r="C237">
        <v>18</v>
      </c>
      <c r="D237" s="1" t="s">
        <v>23</v>
      </c>
      <c r="E237" s="1" t="s">
        <v>24</v>
      </c>
      <c r="F237" s="1" t="s">
        <v>25</v>
      </c>
      <c r="G237" s="1" t="s">
        <v>19</v>
      </c>
      <c r="H237" s="1" t="s">
        <v>20</v>
      </c>
      <c r="I237" s="2">
        <v>44895</v>
      </c>
      <c r="J237">
        <v>19940</v>
      </c>
      <c r="K237" s="2">
        <v>45853</v>
      </c>
      <c r="L237">
        <v>-740</v>
      </c>
      <c r="M237">
        <v>19200</v>
      </c>
      <c r="N237">
        <v>0</v>
      </c>
    </row>
    <row r="238" spans="1:14" x14ac:dyDescent="0.3">
      <c r="A238" s="1" t="s">
        <v>283</v>
      </c>
      <c r="B238" s="1" t="s">
        <v>64</v>
      </c>
      <c r="C238">
        <v>36</v>
      </c>
      <c r="D238" s="1" t="s">
        <v>23</v>
      </c>
      <c r="E238" s="1" t="s">
        <v>38</v>
      </c>
      <c r="F238" s="1" t="s">
        <v>25</v>
      </c>
      <c r="G238" s="1" t="s">
        <v>19</v>
      </c>
      <c r="H238" s="1" t="s">
        <v>20</v>
      </c>
      <c r="I238" s="2">
        <v>44637</v>
      </c>
      <c r="J238">
        <v>6045</v>
      </c>
      <c r="K238" s="2">
        <v>45857</v>
      </c>
      <c r="L238">
        <v>7905</v>
      </c>
      <c r="M238">
        <v>13950</v>
      </c>
      <c r="N238">
        <v>0</v>
      </c>
    </row>
    <row r="239" spans="1:14" x14ac:dyDescent="0.3">
      <c r="A239" s="1" t="s">
        <v>284</v>
      </c>
      <c r="B239" s="1" t="s">
        <v>56</v>
      </c>
      <c r="C239">
        <v>19</v>
      </c>
      <c r="D239" s="1" t="s">
        <v>16</v>
      </c>
      <c r="E239" s="1" t="s">
        <v>24</v>
      </c>
      <c r="F239" s="1" t="s">
        <v>25</v>
      </c>
      <c r="G239" s="1" t="s">
        <v>19</v>
      </c>
      <c r="H239" s="1" t="s">
        <v>20</v>
      </c>
      <c r="I239" s="2">
        <v>44315</v>
      </c>
      <c r="J239">
        <v>9798</v>
      </c>
      <c r="K239" s="2">
        <v>45824</v>
      </c>
      <c r="L239">
        <v>11362</v>
      </c>
      <c r="M239">
        <v>21160</v>
      </c>
      <c r="N239">
        <v>0</v>
      </c>
    </row>
    <row r="240" spans="1:14" x14ac:dyDescent="0.3">
      <c r="A240" s="1" t="s">
        <v>285</v>
      </c>
      <c r="B240" s="1" t="s">
        <v>52</v>
      </c>
      <c r="C240">
        <v>61</v>
      </c>
      <c r="D240" s="1" t="s">
        <v>23</v>
      </c>
      <c r="E240" s="1" t="s">
        <v>17</v>
      </c>
      <c r="F240" s="1" t="s">
        <v>25</v>
      </c>
      <c r="G240" s="1" t="s">
        <v>19</v>
      </c>
      <c r="H240" s="1" t="s">
        <v>20</v>
      </c>
      <c r="I240" s="2">
        <v>45104</v>
      </c>
      <c r="J240">
        <v>37938</v>
      </c>
      <c r="K240" s="2">
        <v>45843</v>
      </c>
      <c r="L240">
        <v>-2722</v>
      </c>
      <c r="M240">
        <v>35216</v>
      </c>
      <c r="N240">
        <v>0</v>
      </c>
    </row>
    <row r="241" spans="1:14" x14ac:dyDescent="0.3">
      <c r="A241" s="1" t="s">
        <v>286</v>
      </c>
      <c r="B241" s="1" t="s">
        <v>37</v>
      </c>
      <c r="C241">
        <v>43</v>
      </c>
      <c r="D241" s="1" t="s">
        <v>16</v>
      </c>
      <c r="E241" s="1" t="s">
        <v>38</v>
      </c>
      <c r="F241" s="1" t="s">
        <v>25</v>
      </c>
      <c r="G241" s="1" t="s">
        <v>19</v>
      </c>
      <c r="H241" s="1" t="s">
        <v>20</v>
      </c>
      <c r="I241" s="2">
        <v>45684</v>
      </c>
      <c r="J241">
        <v>33965</v>
      </c>
      <c r="K241" s="2">
        <v>45866</v>
      </c>
      <c r="L241">
        <v>28027</v>
      </c>
      <c r="M241">
        <v>61992</v>
      </c>
      <c r="N241">
        <v>0</v>
      </c>
    </row>
    <row r="242" spans="1:14" x14ac:dyDescent="0.3">
      <c r="A242" s="1" t="s">
        <v>287</v>
      </c>
      <c r="B242" s="1" t="s">
        <v>59</v>
      </c>
      <c r="C242">
        <v>49</v>
      </c>
      <c r="D242" s="1" t="s">
        <v>16</v>
      </c>
      <c r="E242" s="1" t="s">
        <v>17</v>
      </c>
      <c r="F242" s="1" t="s">
        <v>18</v>
      </c>
      <c r="G242" s="1" t="s">
        <v>41</v>
      </c>
      <c r="H242" s="1" t="s">
        <v>20</v>
      </c>
      <c r="I242" s="2">
        <v>45327</v>
      </c>
      <c r="J242">
        <v>17823</v>
      </c>
      <c r="K242" s="2">
        <v>45845</v>
      </c>
      <c r="L242">
        <v>-8311</v>
      </c>
      <c r="M242">
        <v>9512</v>
      </c>
      <c r="N242">
        <v>0</v>
      </c>
    </row>
    <row r="243" spans="1:14" x14ac:dyDescent="0.3">
      <c r="A243" s="1" t="s">
        <v>288</v>
      </c>
      <c r="B243" s="1" t="s">
        <v>52</v>
      </c>
      <c r="C243">
        <v>23</v>
      </c>
      <c r="D243" s="1" t="s">
        <v>16</v>
      </c>
      <c r="E243" s="1" t="s">
        <v>24</v>
      </c>
      <c r="F243" s="1" t="s">
        <v>18</v>
      </c>
      <c r="G243" s="1" t="s">
        <v>19</v>
      </c>
      <c r="H243" s="1" t="s">
        <v>20</v>
      </c>
      <c r="I243" s="2">
        <v>44614</v>
      </c>
      <c r="J243">
        <v>4670</v>
      </c>
      <c r="K243" s="2">
        <v>45798</v>
      </c>
      <c r="L243">
        <v>27687</v>
      </c>
      <c r="M243">
        <v>32357</v>
      </c>
      <c r="N243">
        <v>0</v>
      </c>
    </row>
    <row r="244" spans="1:14" x14ac:dyDescent="0.3">
      <c r="A244" s="1" t="s">
        <v>289</v>
      </c>
      <c r="B244" s="1" t="s">
        <v>43</v>
      </c>
      <c r="C244">
        <v>49</v>
      </c>
      <c r="D244" s="1" t="s">
        <v>23</v>
      </c>
      <c r="E244" s="1" t="s">
        <v>38</v>
      </c>
      <c r="F244" s="1" t="s">
        <v>18</v>
      </c>
      <c r="G244" s="1" t="s">
        <v>41</v>
      </c>
      <c r="H244" s="1" t="s">
        <v>20</v>
      </c>
      <c r="I244" s="2">
        <v>45156</v>
      </c>
      <c r="J244">
        <v>9158</v>
      </c>
      <c r="K244" s="2">
        <v>45864</v>
      </c>
      <c r="L244">
        <v>14526</v>
      </c>
      <c r="M244">
        <v>23684</v>
      </c>
      <c r="N244">
        <v>0</v>
      </c>
    </row>
    <row r="245" spans="1:14" x14ac:dyDescent="0.3">
      <c r="A245" s="1" t="s">
        <v>290</v>
      </c>
      <c r="B245" s="1" t="s">
        <v>59</v>
      </c>
      <c r="C245">
        <v>21</v>
      </c>
      <c r="D245" s="1" t="s">
        <v>16</v>
      </c>
      <c r="E245" s="1" t="s">
        <v>17</v>
      </c>
      <c r="F245" s="1" t="s">
        <v>18</v>
      </c>
      <c r="G245" s="1" t="s">
        <v>41</v>
      </c>
      <c r="H245" s="1" t="s">
        <v>20</v>
      </c>
      <c r="I245" s="2">
        <v>45775</v>
      </c>
      <c r="J245">
        <v>14713</v>
      </c>
      <c r="K245" s="2">
        <v>45866</v>
      </c>
      <c r="L245">
        <v>13921</v>
      </c>
      <c r="M245">
        <v>28634</v>
      </c>
      <c r="N245">
        <v>0</v>
      </c>
    </row>
    <row r="246" spans="1:14" x14ac:dyDescent="0.3">
      <c r="A246" s="1" t="s">
        <v>291</v>
      </c>
      <c r="B246" s="1" t="s">
        <v>34</v>
      </c>
      <c r="C246">
        <v>28</v>
      </c>
      <c r="D246" s="1" t="s">
        <v>16</v>
      </c>
      <c r="E246" s="1" t="s">
        <v>17</v>
      </c>
      <c r="F246" s="1" t="s">
        <v>18</v>
      </c>
      <c r="G246" s="1" t="s">
        <v>41</v>
      </c>
      <c r="H246" s="1" t="s">
        <v>20</v>
      </c>
      <c r="I246" s="2">
        <v>45406</v>
      </c>
      <c r="J246">
        <v>57264</v>
      </c>
      <c r="K246" s="2">
        <v>45863</v>
      </c>
      <c r="L246">
        <v>17538</v>
      </c>
      <c r="M246">
        <v>74802</v>
      </c>
      <c r="N246">
        <v>0</v>
      </c>
    </row>
    <row r="247" spans="1:14" x14ac:dyDescent="0.3">
      <c r="A247" s="1" t="s">
        <v>292</v>
      </c>
      <c r="B247" s="1" t="s">
        <v>59</v>
      </c>
      <c r="C247">
        <v>34</v>
      </c>
      <c r="D247" s="1" t="s">
        <v>16</v>
      </c>
      <c r="E247" s="1" t="s">
        <v>35</v>
      </c>
      <c r="F247" s="1" t="s">
        <v>18</v>
      </c>
      <c r="G247" s="1" t="s">
        <v>41</v>
      </c>
      <c r="H247" s="1" t="s">
        <v>20</v>
      </c>
      <c r="I247" s="2">
        <v>45350</v>
      </c>
      <c r="J247">
        <v>2248</v>
      </c>
      <c r="K247" s="2">
        <v>45860</v>
      </c>
      <c r="L247">
        <v>12162</v>
      </c>
      <c r="M247">
        <v>14410</v>
      </c>
      <c r="N247">
        <v>0</v>
      </c>
    </row>
    <row r="248" spans="1:14" x14ac:dyDescent="0.3">
      <c r="A248" s="1" t="s">
        <v>293</v>
      </c>
      <c r="B248" s="1" t="s">
        <v>34</v>
      </c>
      <c r="C248">
        <v>55</v>
      </c>
      <c r="D248" s="1" t="s">
        <v>23</v>
      </c>
      <c r="E248" s="1" t="s">
        <v>24</v>
      </c>
      <c r="F248" s="1" t="s">
        <v>18</v>
      </c>
      <c r="G248" s="1" t="s">
        <v>19</v>
      </c>
      <c r="H248" s="1" t="s">
        <v>20</v>
      </c>
      <c r="I248" s="2">
        <v>45816</v>
      </c>
      <c r="J248">
        <v>5585</v>
      </c>
      <c r="K248" s="2">
        <v>45868</v>
      </c>
      <c r="L248">
        <v>15434</v>
      </c>
      <c r="M248">
        <v>21019</v>
      </c>
      <c r="N248">
        <v>0</v>
      </c>
    </row>
    <row r="249" spans="1:14" x14ac:dyDescent="0.3">
      <c r="A249" s="1" t="s">
        <v>294</v>
      </c>
      <c r="B249" s="1" t="s">
        <v>52</v>
      </c>
      <c r="C249">
        <v>41</v>
      </c>
      <c r="D249" s="1" t="s">
        <v>23</v>
      </c>
      <c r="E249" s="1" t="s">
        <v>17</v>
      </c>
      <c r="F249" s="1" t="s">
        <v>18</v>
      </c>
      <c r="G249" s="1" t="s">
        <v>19</v>
      </c>
      <c r="H249" s="1" t="s">
        <v>20</v>
      </c>
      <c r="I249" s="2">
        <v>45533</v>
      </c>
      <c r="J249">
        <v>41299</v>
      </c>
      <c r="K249" s="2">
        <v>45869</v>
      </c>
      <c r="L249">
        <v>-16677</v>
      </c>
      <c r="M249">
        <v>24622</v>
      </c>
      <c r="N249">
        <v>0</v>
      </c>
    </row>
    <row r="250" spans="1:14" x14ac:dyDescent="0.3">
      <c r="A250" s="1" t="s">
        <v>295</v>
      </c>
      <c r="B250" s="1" t="s">
        <v>34</v>
      </c>
      <c r="C250">
        <v>22</v>
      </c>
      <c r="D250" s="1" t="s">
        <v>16</v>
      </c>
      <c r="E250" s="1" t="s">
        <v>38</v>
      </c>
      <c r="F250" s="1" t="s">
        <v>18</v>
      </c>
      <c r="G250" s="1" t="s">
        <v>19</v>
      </c>
      <c r="H250" s="1" t="s">
        <v>20</v>
      </c>
      <c r="I250" s="2">
        <v>44425</v>
      </c>
      <c r="J250">
        <v>52061</v>
      </c>
      <c r="K250" s="2">
        <v>45851</v>
      </c>
      <c r="L250">
        <v>5834</v>
      </c>
      <c r="M250">
        <v>57895</v>
      </c>
      <c r="N250">
        <v>0</v>
      </c>
    </row>
    <row r="251" spans="1:14" x14ac:dyDescent="0.3">
      <c r="A251" s="1" t="s">
        <v>296</v>
      </c>
      <c r="B251" s="1" t="s">
        <v>34</v>
      </c>
      <c r="C251">
        <v>69</v>
      </c>
      <c r="D251" s="1" t="s">
        <v>23</v>
      </c>
      <c r="E251" s="1" t="s">
        <v>24</v>
      </c>
      <c r="F251" s="1" t="s">
        <v>18</v>
      </c>
      <c r="G251" s="1" t="s">
        <v>19</v>
      </c>
      <c r="H251" s="1" t="s">
        <v>20</v>
      </c>
      <c r="I251" s="2">
        <v>44778</v>
      </c>
      <c r="J251">
        <v>12460</v>
      </c>
      <c r="K251" s="2">
        <v>45804</v>
      </c>
      <c r="L251">
        <v>16808</v>
      </c>
      <c r="M251">
        <v>29268</v>
      </c>
      <c r="N251">
        <v>0</v>
      </c>
    </row>
    <row r="252" spans="1:14" x14ac:dyDescent="0.3">
      <c r="A252" s="1" t="s">
        <v>297</v>
      </c>
      <c r="B252" s="1" t="s">
        <v>71</v>
      </c>
      <c r="C252">
        <v>51</v>
      </c>
      <c r="D252" s="1" t="s">
        <v>16</v>
      </c>
      <c r="E252" s="1" t="s">
        <v>24</v>
      </c>
      <c r="F252" s="1" t="s">
        <v>18</v>
      </c>
      <c r="G252" s="1" t="s">
        <v>19</v>
      </c>
      <c r="H252" s="1" t="s">
        <v>20</v>
      </c>
      <c r="I252" s="2">
        <v>45811</v>
      </c>
      <c r="J252">
        <v>62218</v>
      </c>
      <c r="K252" s="2">
        <v>45865</v>
      </c>
      <c r="L252">
        <v>35818</v>
      </c>
      <c r="M252">
        <v>98036</v>
      </c>
      <c r="N252">
        <v>0</v>
      </c>
    </row>
    <row r="253" spans="1:14" x14ac:dyDescent="0.3">
      <c r="A253" s="1" t="s">
        <v>298</v>
      </c>
      <c r="B253" s="1" t="s">
        <v>27</v>
      </c>
      <c r="C253">
        <v>23</v>
      </c>
      <c r="D253" s="1" t="s">
        <v>16</v>
      </c>
      <c r="E253" s="1" t="s">
        <v>35</v>
      </c>
      <c r="F253" s="1" t="s">
        <v>25</v>
      </c>
      <c r="G253" s="1" t="s">
        <v>19</v>
      </c>
      <c r="H253" s="1" t="s">
        <v>20</v>
      </c>
      <c r="I253" s="2">
        <v>45016</v>
      </c>
      <c r="J253">
        <v>6417</v>
      </c>
      <c r="K253" s="2">
        <v>45856</v>
      </c>
      <c r="L253">
        <v>6814</v>
      </c>
      <c r="M253">
        <v>13231</v>
      </c>
      <c r="N253">
        <v>0</v>
      </c>
    </row>
    <row r="254" spans="1:14" x14ac:dyDescent="0.3">
      <c r="A254" s="1" t="s">
        <v>299</v>
      </c>
      <c r="B254" s="1" t="s">
        <v>59</v>
      </c>
      <c r="C254">
        <v>39</v>
      </c>
      <c r="D254" s="1" t="s">
        <v>16</v>
      </c>
      <c r="E254" s="1" t="s">
        <v>38</v>
      </c>
      <c r="F254" s="1" t="s">
        <v>18</v>
      </c>
      <c r="G254" s="1" t="s">
        <v>41</v>
      </c>
      <c r="H254" s="1" t="s">
        <v>20</v>
      </c>
      <c r="I254" s="2">
        <v>44383</v>
      </c>
      <c r="J254">
        <v>2954</v>
      </c>
      <c r="K254" s="2">
        <v>45760</v>
      </c>
      <c r="L254">
        <v>18406</v>
      </c>
      <c r="M254">
        <v>21360</v>
      </c>
      <c r="N254">
        <v>0</v>
      </c>
    </row>
    <row r="255" spans="1:14" x14ac:dyDescent="0.3">
      <c r="A255" s="1" t="s">
        <v>300</v>
      </c>
      <c r="B255" s="1" t="s">
        <v>87</v>
      </c>
      <c r="C255">
        <v>28</v>
      </c>
      <c r="D255" s="1" t="s">
        <v>16</v>
      </c>
      <c r="E255" s="1" t="s">
        <v>24</v>
      </c>
      <c r="F255" s="1" t="s">
        <v>18</v>
      </c>
      <c r="G255" s="1" t="s">
        <v>41</v>
      </c>
      <c r="H255" s="1" t="s">
        <v>20</v>
      </c>
      <c r="I255" s="2">
        <v>44964</v>
      </c>
      <c r="J255">
        <v>29444</v>
      </c>
      <c r="K255" s="2">
        <v>45866</v>
      </c>
      <c r="L255">
        <v>7569</v>
      </c>
      <c r="M255">
        <v>37013</v>
      </c>
      <c r="N255">
        <v>0</v>
      </c>
    </row>
    <row r="256" spans="1:14" x14ac:dyDescent="0.3">
      <c r="A256" s="1" t="s">
        <v>301</v>
      </c>
      <c r="B256" s="1" t="s">
        <v>29</v>
      </c>
      <c r="C256">
        <v>65</v>
      </c>
      <c r="D256" s="1" t="s">
        <v>30</v>
      </c>
      <c r="E256" s="1" t="s">
        <v>38</v>
      </c>
      <c r="F256" s="1" t="s">
        <v>25</v>
      </c>
      <c r="G256" s="1" t="s">
        <v>19</v>
      </c>
      <c r="H256" s="1" t="s">
        <v>20</v>
      </c>
      <c r="I256" s="2">
        <v>45363</v>
      </c>
      <c r="J256">
        <v>48762</v>
      </c>
      <c r="K256" s="2">
        <v>45861</v>
      </c>
      <c r="L256">
        <v>12868</v>
      </c>
      <c r="M256">
        <v>61630</v>
      </c>
      <c r="N256">
        <v>0</v>
      </c>
    </row>
    <row r="257" spans="1:14" x14ac:dyDescent="0.3">
      <c r="A257" s="1" t="s">
        <v>302</v>
      </c>
      <c r="B257" s="1" t="s">
        <v>32</v>
      </c>
      <c r="C257">
        <v>33</v>
      </c>
      <c r="D257" s="1" t="s">
        <v>16</v>
      </c>
      <c r="E257" s="1" t="s">
        <v>38</v>
      </c>
      <c r="F257" s="1" t="s">
        <v>18</v>
      </c>
      <c r="G257" s="1" t="s">
        <v>19</v>
      </c>
      <c r="H257" s="1" t="s">
        <v>20</v>
      </c>
      <c r="I257" s="2">
        <v>45865</v>
      </c>
      <c r="J257">
        <v>47956</v>
      </c>
      <c r="K257" s="2">
        <v>45869</v>
      </c>
      <c r="L257">
        <v>38583</v>
      </c>
      <c r="M257">
        <v>86539</v>
      </c>
      <c r="N257">
        <v>0</v>
      </c>
    </row>
    <row r="258" spans="1:14" x14ac:dyDescent="0.3">
      <c r="A258" s="1" t="s">
        <v>303</v>
      </c>
      <c r="B258" s="1" t="s">
        <v>22</v>
      </c>
      <c r="C258">
        <v>50</v>
      </c>
      <c r="D258" s="1" t="s">
        <v>16</v>
      </c>
      <c r="E258" s="1" t="s">
        <v>17</v>
      </c>
      <c r="F258" s="1" t="s">
        <v>18</v>
      </c>
      <c r="G258" s="1" t="s">
        <v>41</v>
      </c>
      <c r="H258" s="1" t="s">
        <v>49</v>
      </c>
      <c r="I258" s="2">
        <v>44738</v>
      </c>
      <c r="J258">
        <v>5634</v>
      </c>
      <c r="K258" s="2">
        <v>45851</v>
      </c>
      <c r="L258">
        <v>29148</v>
      </c>
      <c r="M258">
        <v>34782</v>
      </c>
      <c r="N258">
        <v>0</v>
      </c>
    </row>
    <row r="259" spans="1:14" x14ac:dyDescent="0.3">
      <c r="A259" s="1" t="s">
        <v>304</v>
      </c>
      <c r="B259" s="1" t="s">
        <v>15</v>
      </c>
      <c r="C259">
        <v>26</v>
      </c>
      <c r="D259" s="1" t="s">
        <v>16</v>
      </c>
      <c r="E259" s="1" t="s">
        <v>17</v>
      </c>
      <c r="F259" s="1" t="s">
        <v>18</v>
      </c>
      <c r="G259" s="1" t="s">
        <v>19</v>
      </c>
      <c r="H259" s="1" t="s">
        <v>49</v>
      </c>
      <c r="I259" s="2">
        <v>45057</v>
      </c>
      <c r="J259">
        <v>16307</v>
      </c>
      <c r="K259" s="2">
        <v>45854</v>
      </c>
      <c r="L259">
        <v>10775</v>
      </c>
      <c r="M259">
        <v>27082</v>
      </c>
      <c r="N259">
        <v>0</v>
      </c>
    </row>
    <row r="260" spans="1:14" x14ac:dyDescent="0.3">
      <c r="A260" s="1" t="s">
        <v>305</v>
      </c>
      <c r="B260" s="1" t="s">
        <v>69</v>
      </c>
      <c r="C260">
        <v>23</v>
      </c>
      <c r="D260" s="1" t="s">
        <v>23</v>
      </c>
      <c r="E260" s="1" t="s">
        <v>17</v>
      </c>
      <c r="F260" s="1" t="s">
        <v>18</v>
      </c>
      <c r="G260" s="1" t="s">
        <v>19</v>
      </c>
      <c r="H260" s="1" t="s">
        <v>20</v>
      </c>
      <c r="I260" s="2">
        <v>45668</v>
      </c>
      <c r="J260">
        <v>30940</v>
      </c>
      <c r="K260" s="2">
        <v>45861</v>
      </c>
      <c r="L260">
        <v>5523</v>
      </c>
      <c r="M260">
        <v>36463</v>
      </c>
      <c r="N260">
        <v>0</v>
      </c>
    </row>
    <row r="261" spans="1:14" x14ac:dyDescent="0.3">
      <c r="A261" s="1" t="s">
        <v>306</v>
      </c>
      <c r="B261" s="1" t="s">
        <v>56</v>
      </c>
      <c r="C261">
        <v>33</v>
      </c>
      <c r="D261" s="1" t="s">
        <v>23</v>
      </c>
      <c r="E261" s="1" t="s">
        <v>38</v>
      </c>
      <c r="F261" s="1" t="s">
        <v>25</v>
      </c>
      <c r="G261" s="1" t="s">
        <v>19</v>
      </c>
      <c r="H261" s="1" t="s">
        <v>49</v>
      </c>
      <c r="I261" s="2">
        <v>44791</v>
      </c>
      <c r="J261">
        <v>18051</v>
      </c>
      <c r="K261" s="2">
        <v>45850</v>
      </c>
      <c r="L261">
        <v>25937</v>
      </c>
      <c r="M261">
        <v>43988</v>
      </c>
      <c r="N261">
        <v>0</v>
      </c>
    </row>
    <row r="262" spans="1:14" x14ac:dyDescent="0.3">
      <c r="A262" s="1" t="s">
        <v>307</v>
      </c>
      <c r="B262" s="1" t="s">
        <v>56</v>
      </c>
      <c r="C262">
        <v>46</v>
      </c>
      <c r="D262" s="1" t="s">
        <v>16</v>
      </c>
      <c r="E262" s="1" t="s">
        <v>24</v>
      </c>
      <c r="F262" s="1" t="s">
        <v>18</v>
      </c>
      <c r="G262" s="1" t="s">
        <v>19</v>
      </c>
      <c r="H262" s="1" t="s">
        <v>20</v>
      </c>
      <c r="I262" s="2">
        <v>44379</v>
      </c>
      <c r="J262">
        <v>56747</v>
      </c>
      <c r="K262" s="2">
        <v>45800</v>
      </c>
      <c r="L262">
        <v>4503</v>
      </c>
      <c r="M262">
        <v>61250</v>
      </c>
      <c r="N262">
        <v>0</v>
      </c>
    </row>
    <row r="263" spans="1:14" x14ac:dyDescent="0.3">
      <c r="A263" s="1" t="s">
        <v>308</v>
      </c>
      <c r="B263" s="1" t="s">
        <v>32</v>
      </c>
      <c r="C263">
        <v>20</v>
      </c>
      <c r="D263" s="1" t="s">
        <v>23</v>
      </c>
      <c r="E263" s="1" t="s">
        <v>24</v>
      </c>
      <c r="F263" s="1" t="s">
        <v>25</v>
      </c>
      <c r="G263" s="1" t="s">
        <v>19</v>
      </c>
      <c r="H263" s="1" t="s">
        <v>20</v>
      </c>
      <c r="I263" s="2">
        <v>45784</v>
      </c>
      <c r="J263">
        <v>8910</v>
      </c>
      <c r="K263" s="2">
        <v>45868</v>
      </c>
      <c r="L263">
        <v>16958</v>
      </c>
      <c r="M263">
        <v>25868</v>
      </c>
      <c r="N263">
        <v>0</v>
      </c>
    </row>
    <row r="264" spans="1:14" x14ac:dyDescent="0.3">
      <c r="A264" s="1" t="s">
        <v>309</v>
      </c>
      <c r="B264" s="1" t="s">
        <v>79</v>
      </c>
      <c r="C264">
        <v>37</v>
      </c>
      <c r="D264" s="1" t="s">
        <v>16</v>
      </c>
      <c r="E264" s="1" t="s">
        <v>35</v>
      </c>
      <c r="F264" s="1" t="s">
        <v>18</v>
      </c>
      <c r="G264" s="1" t="s">
        <v>41</v>
      </c>
      <c r="H264" s="1" t="s">
        <v>20</v>
      </c>
      <c r="I264" s="2">
        <v>45014</v>
      </c>
      <c r="J264">
        <v>12449</v>
      </c>
      <c r="K264" s="2">
        <v>45856</v>
      </c>
      <c r="L264">
        <v>5465</v>
      </c>
      <c r="M264">
        <v>17914</v>
      </c>
      <c r="N264">
        <v>0</v>
      </c>
    </row>
    <row r="265" spans="1:14" x14ac:dyDescent="0.3">
      <c r="A265" s="1" t="s">
        <v>310</v>
      </c>
      <c r="B265" s="1" t="s">
        <v>32</v>
      </c>
      <c r="C265">
        <v>53</v>
      </c>
      <c r="D265" s="1" t="s">
        <v>23</v>
      </c>
      <c r="E265" s="1" t="s">
        <v>38</v>
      </c>
      <c r="F265" s="1" t="s">
        <v>18</v>
      </c>
      <c r="G265" s="1" t="s">
        <v>19</v>
      </c>
      <c r="H265" s="1" t="s">
        <v>20</v>
      </c>
      <c r="I265" s="2">
        <v>45038</v>
      </c>
      <c r="J265">
        <v>16919</v>
      </c>
      <c r="K265" s="2">
        <v>45869</v>
      </c>
      <c r="L265">
        <v>29026</v>
      </c>
      <c r="M265">
        <v>45945</v>
      </c>
      <c r="N265">
        <v>0</v>
      </c>
    </row>
    <row r="266" spans="1:14" x14ac:dyDescent="0.3">
      <c r="A266" s="1" t="s">
        <v>311</v>
      </c>
      <c r="B266" s="1" t="s">
        <v>52</v>
      </c>
      <c r="C266">
        <v>36</v>
      </c>
      <c r="D266" s="1" t="s">
        <v>16</v>
      </c>
      <c r="E266" s="1" t="s">
        <v>17</v>
      </c>
      <c r="F266" s="1" t="s">
        <v>18</v>
      </c>
      <c r="G266" s="1" t="s">
        <v>19</v>
      </c>
      <c r="H266" s="1" t="s">
        <v>20</v>
      </c>
      <c r="I266" s="2">
        <v>45236</v>
      </c>
      <c r="J266">
        <v>30716</v>
      </c>
      <c r="K266" s="2">
        <v>45863</v>
      </c>
      <c r="L266">
        <v>-2008</v>
      </c>
      <c r="M266">
        <v>28708</v>
      </c>
      <c r="N266">
        <v>0</v>
      </c>
    </row>
    <row r="267" spans="1:14" x14ac:dyDescent="0.3">
      <c r="A267" s="1" t="s">
        <v>312</v>
      </c>
      <c r="B267" s="1" t="s">
        <v>27</v>
      </c>
      <c r="C267">
        <v>43</v>
      </c>
      <c r="D267" s="1" t="s">
        <v>16</v>
      </c>
      <c r="E267" s="1" t="s">
        <v>24</v>
      </c>
      <c r="F267" s="1" t="s">
        <v>18</v>
      </c>
      <c r="G267" s="1" t="s">
        <v>19</v>
      </c>
      <c r="H267" s="1" t="s">
        <v>49</v>
      </c>
      <c r="I267" s="2">
        <v>44202</v>
      </c>
      <c r="J267">
        <v>10999</v>
      </c>
      <c r="K267" s="2">
        <v>45839</v>
      </c>
      <c r="L267">
        <v>14827</v>
      </c>
      <c r="M267">
        <v>25826</v>
      </c>
      <c r="N267">
        <v>0</v>
      </c>
    </row>
    <row r="268" spans="1:14" x14ac:dyDescent="0.3">
      <c r="A268" s="1" t="s">
        <v>313</v>
      </c>
      <c r="B268" s="1" t="s">
        <v>32</v>
      </c>
      <c r="C268">
        <v>20</v>
      </c>
      <c r="D268" s="1" t="s">
        <v>16</v>
      </c>
      <c r="E268" s="1" t="s">
        <v>24</v>
      </c>
      <c r="F268" s="1" t="s">
        <v>18</v>
      </c>
      <c r="G268" s="1" t="s">
        <v>19</v>
      </c>
      <c r="H268" s="1" t="s">
        <v>20</v>
      </c>
      <c r="I268" s="2">
        <v>45754</v>
      </c>
      <c r="J268">
        <v>33774</v>
      </c>
      <c r="K268" s="2">
        <v>45865</v>
      </c>
      <c r="L268">
        <v>838</v>
      </c>
      <c r="M268">
        <v>34612</v>
      </c>
      <c r="N268">
        <v>0</v>
      </c>
    </row>
    <row r="269" spans="1:14" x14ac:dyDescent="0.3">
      <c r="A269" s="1" t="s">
        <v>314</v>
      </c>
      <c r="B269" s="1" t="s">
        <v>75</v>
      </c>
      <c r="C269">
        <v>36</v>
      </c>
      <c r="D269" s="1" t="s">
        <v>16</v>
      </c>
      <c r="E269" s="1" t="s">
        <v>24</v>
      </c>
      <c r="F269" s="1" t="s">
        <v>18</v>
      </c>
      <c r="G269" s="1" t="s">
        <v>41</v>
      </c>
      <c r="H269" s="1" t="s">
        <v>20</v>
      </c>
      <c r="I269" s="2">
        <v>44801</v>
      </c>
      <c r="J269">
        <v>66478</v>
      </c>
      <c r="K269" s="2">
        <v>45774</v>
      </c>
      <c r="L269">
        <v>-3411</v>
      </c>
      <c r="M269">
        <v>63067</v>
      </c>
      <c r="N269">
        <v>0</v>
      </c>
    </row>
    <row r="270" spans="1:14" x14ac:dyDescent="0.3">
      <c r="A270" s="1" t="s">
        <v>315</v>
      </c>
      <c r="B270" s="1" t="s">
        <v>34</v>
      </c>
      <c r="C270">
        <v>37</v>
      </c>
      <c r="D270" s="1" t="s">
        <v>16</v>
      </c>
      <c r="E270" s="1" t="s">
        <v>38</v>
      </c>
      <c r="F270" s="1" t="s">
        <v>18</v>
      </c>
      <c r="G270" s="1" t="s">
        <v>19</v>
      </c>
      <c r="H270" s="1" t="s">
        <v>20</v>
      </c>
      <c r="I270" s="2">
        <v>44861</v>
      </c>
      <c r="J270">
        <v>7958</v>
      </c>
      <c r="K270" s="2">
        <v>45863</v>
      </c>
      <c r="L270">
        <v>24744</v>
      </c>
      <c r="M270">
        <v>32702</v>
      </c>
      <c r="N270">
        <v>0</v>
      </c>
    </row>
    <row r="271" spans="1:14" x14ac:dyDescent="0.3">
      <c r="A271" s="1" t="s">
        <v>316</v>
      </c>
      <c r="B271" s="1" t="s">
        <v>32</v>
      </c>
      <c r="C271">
        <v>49</v>
      </c>
      <c r="D271" s="1" t="s">
        <v>23</v>
      </c>
      <c r="E271" s="1" t="s">
        <v>38</v>
      </c>
      <c r="F271" s="1" t="s">
        <v>25</v>
      </c>
      <c r="G271" s="1" t="s">
        <v>19</v>
      </c>
      <c r="H271" s="1" t="s">
        <v>20</v>
      </c>
      <c r="I271" s="2">
        <v>44488</v>
      </c>
      <c r="J271">
        <v>11331</v>
      </c>
      <c r="K271" s="2">
        <v>45868</v>
      </c>
      <c r="L271">
        <v>21931</v>
      </c>
      <c r="M271">
        <v>33262</v>
      </c>
      <c r="N271">
        <v>0</v>
      </c>
    </row>
    <row r="272" spans="1:14" x14ac:dyDescent="0.3">
      <c r="A272" s="1" t="s">
        <v>317</v>
      </c>
      <c r="B272" s="1" t="s">
        <v>75</v>
      </c>
      <c r="C272">
        <v>24</v>
      </c>
      <c r="D272" s="1" t="s">
        <v>16</v>
      </c>
      <c r="E272" s="1" t="s">
        <v>24</v>
      </c>
      <c r="F272" s="1" t="s">
        <v>18</v>
      </c>
      <c r="G272" s="1" t="s">
        <v>19</v>
      </c>
      <c r="H272" s="1" t="s">
        <v>20</v>
      </c>
      <c r="I272" s="2">
        <v>44829</v>
      </c>
      <c r="J272">
        <v>35163</v>
      </c>
      <c r="K272" s="2">
        <v>45675</v>
      </c>
      <c r="L272">
        <v>8297</v>
      </c>
      <c r="M272">
        <v>43460</v>
      </c>
      <c r="N272">
        <v>1</v>
      </c>
    </row>
    <row r="273" spans="1:14" x14ac:dyDescent="0.3">
      <c r="A273" s="1" t="s">
        <v>318</v>
      </c>
      <c r="B273" s="1" t="s">
        <v>40</v>
      </c>
      <c r="C273">
        <v>69</v>
      </c>
      <c r="D273" s="1" t="s">
        <v>23</v>
      </c>
      <c r="E273" s="1" t="s">
        <v>24</v>
      </c>
      <c r="F273" s="1" t="s">
        <v>25</v>
      </c>
      <c r="G273" s="1" t="s">
        <v>19</v>
      </c>
      <c r="H273" s="1" t="s">
        <v>20</v>
      </c>
      <c r="I273" s="2">
        <v>45541</v>
      </c>
      <c r="J273">
        <v>91815</v>
      </c>
      <c r="K273" s="2">
        <v>45863</v>
      </c>
      <c r="L273">
        <v>15999</v>
      </c>
      <c r="M273">
        <v>107814</v>
      </c>
      <c r="N273">
        <v>0</v>
      </c>
    </row>
    <row r="274" spans="1:14" x14ac:dyDescent="0.3">
      <c r="A274" s="1" t="s">
        <v>319</v>
      </c>
      <c r="B274" s="1" t="s">
        <v>87</v>
      </c>
      <c r="C274">
        <v>58</v>
      </c>
      <c r="D274" s="1" t="s">
        <v>30</v>
      </c>
      <c r="E274" s="1" t="s">
        <v>38</v>
      </c>
      <c r="F274" s="1" t="s">
        <v>25</v>
      </c>
      <c r="G274" s="1" t="s">
        <v>19</v>
      </c>
      <c r="H274" s="1" t="s">
        <v>20</v>
      </c>
      <c r="I274" s="2">
        <v>45535</v>
      </c>
      <c r="J274">
        <v>25234</v>
      </c>
      <c r="K274" s="2">
        <v>45863</v>
      </c>
      <c r="L274">
        <v>3537</v>
      </c>
      <c r="M274">
        <v>28771</v>
      </c>
      <c r="N274">
        <v>0</v>
      </c>
    </row>
    <row r="275" spans="1:14" x14ac:dyDescent="0.3">
      <c r="A275" s="1" t="s">
        <v>320</v>
      </c>
      <c r="B275" s="1" t="s">
        <v>52</v>
      </c>
      <c r="C275">
        <v>50</v>
      </c>
      <c r="D275" s="1" t="s">
        <v>16</v>
      </c>
      <c r="E275" s="1" t="s">
        <v>24</v>
      </c>
      <c r="F275" s="1" t="s">
        <v>18</v>
      </c>
      <c r="G275" s="1" t="s">
        <v>19</v>
      </c>
      <c r="H275" s="1" t="s">
        <v>20</v>
      </c>
      <c r="I275" s="2">
        <v>45762</v>
      </c>
      <c r="J275">
        <v>6086</v>
      </c>
      <c r="K275" s="2">
        <v>45866</v>
      </c>
      <c r="L275">
        <v>13126</v>
      </c>
      <c r="M275">
        <v>19212</v>
      </c>
      <c r="N275">
        <v>0</v>
      </c>
    </row>
    <row r="276" spans="1:14" x14ac:dyDescent="0.3">
      <c r="A276" s="1" t="s">
        <v>321</v>
      </c>
      <c r="B276" s="1" t="s">
        <v>40</v>
      </c>
      <c r="C276">
        <v>57</v>
      </c>
      <c r="D276" s="1" t="s">
        <v>23</v>
      </c>
      <c r="E276" s="1" t="s">
        <v>17</v>
      </c>
      <c r="F276" s="1" t="s">
        <v>18</v>
      </c>
      <c r="G276" s="1" t="s">
        <v>19</v>
      </c>
      <c r="H276" s="1" t="s">
        <v>20</v>
      </c>
      <c r="I276" s="2">
        <v>44871</v>
      </c>
      <c r="J276">
        <v>16288</v>
      </c>
      <c r="K276" s="2">
        <v>45846</v>
      </c>
      <c r="L276">
        <v>7566</v>
      </c>
      <c r="M276">
        <v>23854</v>
      </c>
      <c r="N276">
        <v>0</v>
      </c>
    </row>
    <row r="277" spans="1:14" x14ac:dyDescent="0.3">
      <c r="A277" s="1" t="s">
        <v>322</v>
      </c>
      <c r="B277" s="1" t="s">
        <v>15</v>
      </c>
      <c r="C277">
        <v>56</v>
      </c>
      <c r="D277" s="1" t="s">
        <v>23</v>
      </c>
      <c r="E277" s="1" t="s">
        <v>24</v>
      </c>
      <c r="F277" s="1" t="s">
        <v>18</v>
      </c>
      <c r="G277" s="1" t="s">
        <v>19</v>
      </c>
      <c r="H277" s="1" t="s">
        <v>20</v>
      </c>
      <c r="I277" s="2">
        <v>45382</v>
      </c>
      <c r="J277">
        <v>34898</v>
      </c>
      <c r="K277" s="2">
        <v>45854</v>
      </c>
      <c r="L277">
        <v>26092</v>
      </c>
      <c r="M277">
        <v>60990</v>
      </c>
      <c r="N277">
        <v>0</v>
      </c>
    </row>
    <row r="278" spans="1:14" x14ac:dyDescent="0.3">
      <c r="A278" s="1" t="s">
        <v>323</v>
      </c>
      <c r="B278" s="1" t="s">
        <v>61</v>
      </c>
      <c r="C278">
        <v>35</v>
      </c>
      <c r="D278" s="1" t="s">
        <v>16</v>
      </c>
      <c r="E278" s="1" t="s">
        <v>17</v>
      </c>
      <c r="F278" s="1" t="s">
        <v>25</v>
      </c>
      <c r="G278" s="1" t="s">
        <v>19</v>
      </c>
      <c r="H278" s="1" t="s">
        <v>49</v>
      </c>
      <c r="I278" s="2">
        <v>45045</v>
      </c>
      <c r="J278">
        <v>5928</v>
      </c>
      <c r="K278" s="2">
        <v>45743</v>
      </c>
      <c r="L278">
        <v>7898</v>
      </c>
      <c r="M278">
        <v>13826</v>
      </c>
      <c r="N278">
        <v>0</v>
      </c>
    </row>
    <row r="279" spans="1:14" x14ac:dyDescent="0.3">
      <c r="A279" s="1" t="s">
        <v>324</v>
      </c>
      <c r="B279" s="1" t="s">
        <v>56</v>
      </c>
      <c r="C279">
        <v>57</v>
      </c>
      <c r="D279" s="1" t="s">
        <v>23</v>
      </c>
      <c r="E279" s="1" t="s">
        <v>35</v>
      </c>
      <c r="F279" s="1" t="s">
        <v>18</v>
      </c>
      <c r="G279" s="1" t="s">
        <v>41</v>
      </c>
      <c r="H279" s="1" t="s">
        <v>20</v>
      </c>
      <c r="I279" s="2">
        <v>45542</v>
      </c>
      <c r="J279">
        <v>4544</v>
      </c>
      <c r="K279" s="2">
        <v>45861</v>
      </c>
      <c r="L279">
        <v>16438</v>
      </c>
      <c r="M279">
        <v>20982</v>
      </c>
      <c r="N279">
        <v>0</v>
      </c>
    </row>
    <row r="280" spans="1:14" x14ac:dyDescent="0.3">
      <c r="A280" s="1" t="s">
        <v>325</v>
      </c>
      <c r="B280" s="1" t="s">
        <v>43</v>
      </c>
      <c r="C280">
        <v>18</v>
      </c>
      <c r="D280" s="1" t="s">
        <v>23</v>
      </c>
      <c r="E280" s="1" t="s">
        <v>17</v>
      </c>
      <c r="F280" s="1" t="s">
        <v>25</v>
      </c>
      <c r="G280" s="1" t="s">
        <v>41</v>
      </c>
      <c r="H280" s="1" t="s">
        <v>20</v>
      </c>
      <c r="I280" s="2">
        <v>45389</v>
      </c>
      <c r="J280">
        <v>9462</v>
      </c>
      <c r="K280" s="2">
        <v>45864</v>
      </c>
      <c r="L280">
        <v>10474</v>
      </c>
      <c r="M280">
        <v>19936</v>
      </c>
      <c r="N280">
        <v>0</v>
      </c>
    </row>
    <row r="281" spans="1:14" x14ac:dyDescent="0.3">
      <c r="A281" s="1" t="s">
        <v>326</v>
      </c>
      <c r="B281" s="1" t="s">
        <v>79</v>
      </c>
      <c r="C281">
        <v>28</v>
      </c>
      <c r="D281" s="1" t="s">
        <v>16</v>
      </c>
      <c r="E281" s="1" t="s">
        <v>24</v>
      </c>
      <c r="F281" s="1" t="s">
        <v>18</v>
      </c>
      <c r="G281" s="1" t="s">
        <v>19</v>
      </c>
      <c r="H281" s="1" t="s">
        <v>20</v>
      </c>
      <c r="I281" s="2">
        <v>44812</v>
      </c>
      <c r="J281">
        <v>25839</v>
      </c>
      <c r="K281" s="2">
        <v>45759</v>
      </c>
      <c r="L281">
        <v>16598</v>
      </c>
      <c r="M281">
        <v>42437</v>
      </c>
      <c r="N281">
        <v>0</v>
      </c>
    </row>
    <row r="282" spans="1:14" x14ac:dyDescent="0.3">
      <c r="A282" s="1" t="s">
        <v>327</v>
      </c>
      <c r="B282" s="1" t="s">
        <v>48</v>
      </c>
      <c r="C282">
        <v>45</v>
      </c>
      <c r="D282" s="1" t="s">
        <v>16</v>
      </c>
      <c r="E282" s="1" t="s">
        <v>24</v>
      </c>
      <c r="F282" s="1" t="s">
        <v>25</v>
      </c>
      <c r="G282" s="1" t="s">
        <v>19</v>
      </c>
      <c r="H282" s="1" t="s">
        <v>20</v>
      </c>
      <c r="I282" s="2">
        <v>44760</v>
      </c>
      <c r="J282">
        <v>3397</v>
      </c>
      <c r="K282" s="2">
        <v>45811</v>
      </c>
      <c r="L282">
        <v>10775</v>
      </c>
      <c r="M282">
        <v>14172</v>
      </c>
      <c r="N282">
        <v>0</v>
      </c>
    </row>
    <row r="283" spans="1:14" x14ac:dyDescent="0.3">
      <c r="A283" s="1" t="s">
        <v>328</v>
      </c>
      <c r="B283" s="1" t="s">
        <v>87</v>
      </c>
      <c r="C283">
        <v>42</v>
      </c>
      <c r="D283" s="1" t="s">
        <v>16</v>
      </c>
      <c r="E283" s="1" t="s">
        <v>35</v>
      </c>
      <c r="F283" s="1" t="s">
        <v>18</v>
      </c>
      <c r="G283" s="1" t="s">
        <v>19</v>
      </c>
      <c r="H283" s="1" t="s">
        <v>49</v>
      </c>
      <c r="I283" s="2">
        <v>44619</v>
      </c>
      <c r="J283">
        <v>6680</v>
      </c>
      <c r="K283" s="2">
        <v>45800</v>
      </c>
      <c r="L283">
        <v>4323</v>
      </c>
      <c r="M283">
        <v>11003</v>
      </c>
      <c r="N283">
        <v>0</v>
      </c>
    </row>
    <row r="284" spans="1:14" x14ac:dyDescent="0.3">
      <c r="A284" s="1" t="s">
        <v>329</v>
      </c>
      <c r="B284" s="1" t="s">
        <v>87</v>
      </c>
      <c r="C284">
        <v>67</v>
      </c>
      <c r="D284" s="1" t="s">
        <v>16</v>
      </c>
      <c r="E284" s="1" t="s">
        <v>17</v>
      </c>
      <c r="F284" s="1" t="s">
        <v>25</v>
      </c>
      <c r="G284" s="1" t="s">
        <v>19</v>
      </c>
      <c r="H284" s="1" t="s">
        <v>20</v>
      </c>
      <c r="I284" s="2">
        <v>45161</v>
      </c>
      <c r="J284">
        <v>17565</v>
      </c>
      <c r="K284" s="2">
        <v>45835</v>
      </c>
      <c r="L284">
        <v>226</v>
      </c>
      <c r="M284">
        <v>17791</v>
      </c>
      <c r="N284">
        <v>0</v>
      </c>
    </row>
    <row r="285" spans="1:14" x14ac:dyDescent="0.3">
      <c r="A285" s="1" t="s">
        <v>330</v>
      </c>
      <c r="B285" s="1" t="s">
        <v>79</v>
      </c>
      <c r="C285">
        <v>40</v>
      </c>
      <c r="D285" s="1" t="s">
        <v>16</v>
      </c>
      <c r="E285" s="1" t="s">
        <v>17</v>
      </c>
      <c r="F285" s="1" t="s">
        <v>18</v>
      </c>
      <c r="G285" s="1" t="s">
        <v>19</v>
      </c>
      <c r="H285" s="1" t="s">
        <v>20</v>
      </c>
      <c r="I285" s="2">
        <v>45809</v>
      </c>
      <c r="J285">
        <v>39756</v>
      </c>
      <c r="K285" s="2">
        <v>45869</v>
      </c>
      <c r="L285">
        <v>4846</v>
      </c>
      <c r="M285">
        <v>44602</v>
      </c>
      <c r="N285">
        <v>0</v>
      </c>
    </row>
    <row r="286" spans="1:14" x14ac:dyDescent="0.3">
      <c r="A286" s="1" t="s">
        <v>331</v>
      </c>
      <c r="B286" s="1" t="s">
        <v>22</v>
      </c>
      <c r="C286">
        <v>48</v>
      </c>
      <c r="D286" s="1" t="s">
        <v>16</v>
      </c>
      <c r="E286" s="1" t="s">
        <v>17</v>
      </c>
      <c r="F286" s="1" t="s">
        <v>18</v>
      </c>
      <c r="G286" s="1" t="s">
        <v>19</v>
      </c>
      <c r="H286" s="1" t="s">
        <v>20</v>
      </c>
      <c r="I286" s="2">
        <v>44531</v>
      </c>
      <c r="J286">
        <v>17858</v>
      </c>
      <c r="K286" s="2">
        <v>45869</v>
      </c>
      <c r="L286">
        <v>4703</v>
      </c>
      <c r="M286">
        <v>22561</v>
      </c>
      <c r="N286">
        <v>0</v>
      </c>
    </row>
    <row r="287" spans="1:14" x14ac:dyDescent="0.3">
      <c r="A287" s="1" t="s">
        <v>332</v>
      </c>
      <c r="B287" s="1" t="s">
        <v>34</v>
      </c>
      <c r="C287">
        <v>47</v>
      </c>
      <c r="D287" s="1" t="s">
        <v>23</v>
      </c>
      <c r="E287" s="1" t="s">
        <v>17</v>
      </c>
      <c r="F287" s="1" t="s">
        <v>18</v>
      </c>
      <c r="G287" s="1" t="s">
        <v>19</v>
      </c>
      <c r="H287" s="1" t="s">
        <v>49</v>
      </c>
      <c r="I287" s="2">
        <v>44356</v>
      </c>
      <c r="J287">
        <v>19432</v>
      </c>
      <c r="K287" s="2">
        <v>45814</v>
      </c>
      <c r="L287">
        <v>-2702</v>
      </c>
      <c r="M287">
        <v>16730</v>
      </c>
      <c r="N287">
        <v>0</v>
      </c>
    </row>
    <row r="288" spans="1:14" x14ac:dyDescent="0.3">
      <c r="A288" s="1" t="s">
        <v>333</v>
      </c>
      <c r="B288" s="1" t="s">
        <v>87</v>
      </c>
      <c r="C288">
        <v>59</v>
      </c>
      <c r="D288" s="1" t="s">
        <v>16</v>
      </c>
      <c r="E288" s="1" t="s">
        <v>17</v>
      </c>
      <c r="F288" s="1" t="s">
        <v>18</v>
      </c>
      <c r="G288" s="1" t="s">
        <v>19</v>
      </c>
      <c r="H288" s="1" t="s">
        <v>20</v>
      </c>
      <c r="I288" s="2">
        <v>44396</v>
      </c>
      <c r="J288">
        <v>36495</v>
      </c>
      <c r="K288" s="2">
        <v>45824</v>
      </c>
      <c r="L288">
        <v>24672</v>
      </c>
      <c r="M288">
        <v>61167</v>
      </c>
      <c r="N288">
        <v>0</v>
      </c>
    </row>
    <row r="289" spans="1:14" x14ac:dyDescent="0.3">
      <c r="A289" s="1" t="s">
        <v>334</v>
      </c>
      <c r="B289" s="1" t="s">
        <v>71</v>
      </c>
      <c r="C289">
        <v>52</v>
      </c>
      <c r="D289" s="1" t="s">
        <v>23</v>
      </c>
      <c r="E289" s="1" t="s">
        <v>24</v>
      </c>
      <c r="F289" s="1" t="s">
        <v>25</v>
      </c>
      <c r="G289" s="1" t="s">
        <v>19</v>
      </c>
      <c r="H289" s="1" t="s">
        <v>20</v>
      </c>
      <c r="I289" s="2">
        <v>45507</v>
      </c>
      <c r="J289">
        <v>65990</v>
      </c>
      <c r="K289" s="2">
        <v>45866</v>
      </c>
      <c r="L289">
        <v>22640</v>
      </c>
      <c r="M289">
        <v>88630</v>
      </c>
      <c r="N289">
        <v>0</v>
      </c>
    </row>
    <row r="290" spans="1:14" x14ac:dyDescent="0.3">
      <c r="A290" s="1" t="s">
        <v>335</v>
      </c>
      <c r="B290" s="1" t="s">
        <v>71</v>
      </c>
      <c r="C290">
        <v>24</v>
      </c>
      <c r="D290" s="1" t="s">
        <v>30</v>
      </c>
      <c r="E290" s="1" t="s">
        <v>17</v>
      </c>
      <c r="F290" s="1" t="s">
        <v>18</v>
      </c>
      <c r="G290" s="1" t="s">
        <v>19</v>
      </c>
      <c r="H290" s="1" t="s">
        <v>20</v>
      </c>
      <c r="I290" s="2">
        <v>44782</v>
      </c>
      <c r="J290">
        <v>59013</v>
      </c>
      <c r="K290" s="2">
        <v>45860</v>
      </c>
      <c r="L290">
        <v>-396</v>
      </c>
      <c r="M290">
        <v>58617</v>
      </c>
      <c r="N290">
        <v>0</v>
      </c>
    </row>
    <row r="291" spans="1:14" x14ac:dyDescent="0.3">
      <c r="A291" s="1" t="s">
        <v>336</v>
      </c>
      <c r="B291" s="1" t="s">
        <v>59</v>
      </c>
      <c r="C291">
        <v>33</v>
      </c>
      <c r="D291" s="1" t="s">
        <v>16</v>
      </c>
      <c r="E291" s="1" t="s">
        <v>17</v>
      </c>
      <c r="F291" s="1" t="s">
        <v>18</v>
      </c>
      <c r="G291" s="1" t="s">
        <v>19</v>
      </c>
      <c r="H291" s="1" t="s">
        <v>20</v>
      </c>
      <c r="I291" s="2">
        <v>44572</v>
      </c>
      <c r="J291">
        <v>1735</v>
      </c>
      <c r="K291" s="2">
        <v>45700</v>
      </c>
      <c r="L291">
        <v>16583</v>
      </c>
      <c r="M291">
        <v>18318</v>
      </c>
      <c r="N291">
        <v>0</v>
      </c>
    </row>
    <row r="292" spans="1:14" x14ac:dyDescent="0.3">
      <c r="A292" s="1" t="s">
        <v>337</v>
      </c>
      <c r="B292" s="1" t="s">
        <v>27</v>
      </c>
      <c r="C292">
        <v>43</v>
      </c>
      <c r="D292" s="1" t="s">
        <v>16</v>
      </c>
      <c r="E292" s="1" t="s">
        <v>38</v>
      </c>
      <c r="F292" s="1" t="s">
        <v>18</v>
      </c>
      <c r="G292" s="1" t="s">
        <v>19</v>
      </c>
      <c r="H292" s="1" t="s">
        <v>20</v>
      </c>
      <c r="I292" s="2">
        <v>44787</v>
      </c>
      <c r="J292">
        <v>14736</v>
      </c>
      <c r="K292" s="2">
        <v>45744</v>
      </c>
      <c r="L292">
        <v>-8637</v>
      </c>
      <c r="M292">
        <v>6099</v>
      </c>
      <c r="N292">
        <v>0</v>
      </c>
    </row>
    <row r="293" spans="1:14" x14ac:dyDescent="0.3">
      <c r="A293" s="1" t="s">
        <v>338</v>
      </c>
      <c r="B293" s="1" t="s">
        <v>40</v>
      </c>
      <c r="C293">
        <v>65</v>
      </c>
      <c r="D293" s="1" t="s">
        <v>23</v>
      </c>
      <c r="E293" s="1" t="s">
        <v>24</v>
      </c>
      <c r="F293" s="1" t="s">
        <v>18</v>
      </c>
      <c r="G293" s="1" t="s">
        <v>19</v>
      </c>
      <c r="H293" s="1" t="s">
        <v>20</v>
      </c>
      <c r="I293" s="2">
        <v>45276</v>
      </c>
      <c r="J293">
        <v>33273</v>
      </c>
      <c r="K293" s="2">
        <v>45843</v>
      </c>
      <c r="L293">
        <v>4818</v>
      </c>
      <c r="M293">
        <v>38091</v>
      </c>
      <c r="N293">
        <v>0</v>
      </c>
    </row>
    <row r="294" spans="1:14" x14ac:dyDescent="0.3">
      <c r="A294" s="1" t="s">
        <v>339</v>
      </c>
      <c r="B294" s="1" t="s">
        <v>37</v>
      </c>
      <c r="C294">
        <v>69</v>
      </c>
      <c r="D294" s="1" t="s">
        <v>16</v>
      </c>
      <c r="E294" s="1" t="s">
        <v>24</v>
      </c>
      <c r="F294" s="1" t="s">
        <v>18</v>
      </c>
      <c r="G294" s="1" t="s">
        <v>19</v>
      </c>
      <c r="H294" s="1" t="s">
        <v>20</v>
      </c>
      <c r="I294" s="2">
        <v>45111</v>
      </c>
      <c r="J294">
        <v>73115</v>
      </c>
      <c r="K294" s="2">
        <v>45861</v>
      </c>
      <c r="L294">
        <v>8925</v>
      </c>
      <c r="M294">
        <v>82040</v>
      </c>
      <c r="N294">
        <v>0</v>
      </c>
    </row>
    <row r="295" spans="1:14" x14ac:dyDescent="0.3">
      <c r="A295" s="1" t="s">
        <v>340</v>
      </c>
      <c r="B295" s="1" t="s">
        <v>59</v>
      </c>
      <c r="C295">
        <v>66</v>
      </c>
      <c r="D295" s="1" t="s">
        <v>16</v>
      </c>
      <c r="E295" s="1" t="s">
        <v>24</v>
      </c>
      <c r="F295" s="1" t="s">
        <v>25</v>
      </c>
      <c r="G295" s="1" t="s">
        <v>19</v>
      </c>
      <c r="H295" s="1" t="s">
        <v>20</v>
      </c>
      <c r="I295" s="2">
        <v>45441</v>
      </c>
      <c r="J295">
        <v>25361</v>
      </c>
      <c r="K295" s="2">
        <v>45866</v>
      </c>
      <c r="L295">
        <v>-5670</v>
      </c>
      <c r="M295">
        <v>19691</v>
      </c>
      <c r="N295">
        <v>0</v>
      </c>
    </row>
    <row r="296" spans="1:14" x14ac:dyDescent="0.3">
      <c r="A296" s="1" t="s">
        <v>341</v>
      </c>
      <c r="B296" s="1" t="s">
        <v>32</v>
      </c>
      <c r="C296">
        <v>19</v>
      </c>
      <c r="D296" s="1" t="s">
        <v>23</v>
      </c>
      <c r="E296" s="1" t="s">
        <v>35</v>
      </c>
      <c r="F296" s="1" t="s">
        <v>18</v>
      </c>
      <c r="G296" s="1" t="s">
        <v>19</v>
      </c>
      <c r="H296" s="1" t="s">
        <v>20</v>
      </c>
      <c r="I296" s="2">
        <v>44764</v>
      </c>
      <c r="J296">
        <v>5658</v>
      </c>
      <c r="K296" s="2">
        <v>45822</v>
      </c>
      <c r="L296">
        <v>11672</v>
      </c>
      <c r="M296">
        <v>17330</v>
      </c>
      <c r="N296">
        <v>0</v>
      </c>
    </row>
    <row r="297" spans="1:14" x14ac:dyDescent="0.3">
      <c r="A297" s="1" t="s">
        <v>342</v>
      </c>
      <c r="B297" s="1" t="s">
        <v>69</v>
      </c>
      <c r="C297">
        <v>18</v>
      </c>
      <c r="D297" s="1" t="s">
        <v>23</v>
      </c>
      <c r="E297" s="1" t="s">
        <v>17</v>
      </c>
      <c r="F297" s="1" t="s">
        <v>25</v>
      </c>
      <c r="G297" s="1" t="s">
        <v>41</v>
      </c>
      <c r="H297" s="1" t="s">
        <v>20</v>
      </c>
      <c r="I297" s="2">
        <v>44953</v>
      </c>
      <c r="J297">
        <v>6457</v>
      </c>
      <c r="K297" s="2">
        <v>45719</v>
      </c>
      <c r="L297">
        <v>2870</v>
      </c>
      <c r="M297">
        <v>9327</v>
      </c>
      <c r="N297">
        <v>0</v>
      </c>
    </row>
    <row r="298" spans="1:14" x14ac:dyDescent="0.3">
      <c r="A298" s="1" t="s">
        <v>343</v>
      </c>
      <c r="B298" s="1" t="s">
        <v>69</v>
      </c>
      <c r="C298">
        <v>65</v>
      </c>
      <c r="D298" s="1" t="s">
        <v>16</v>
      </c>
      <c r="E298" s="1" t="s">
        <v>38</v>
      </c>
      <c r="F298" s="1" t="s">
        <v>18</v>
      </c>
      <c r="G298" s="1" t="s">
        <v>19</v>
      </c>
      <c r="H298" s="1" t="s">
        <v>20</v>
      </c>
      <c r="I298" s="2">
        <v>44367</v>
      </c>
      <c r="J298">
        <v>6641</v>
      </c>
      <c r="K298" s="2">
        <v>45822</v>
      </c>
      <c r="L298">
        <v>6849</v>
      </c>
      <c r="M298">
        <v>13490</v>
      </c>
      <c r="N298">
        <v>0</v>
      </c>
    </row>
    <row r="299" spans="1:14" x14ac:dyDescent="0.3">
      <c r="A299" s="1" t="s">
        <v>344</v>
      </c>
      <c r="B299" s="1" t="s">
        <v>59</v>
      </c>
      <c r="C299">
        <v>29</v>
      </c>
      <c r="D299" s="1" t="s">
        <v>23</v>
      </c>
      <c r="E299" s="1" t="s">
        <v>38</v>
      </c>
      <c r="F299" s="1" t="s">
        <v>18</v>
      </c>
      <c r="G299" s="1" t="s">
        <v>19</v>
      </c>
      <c r="H299" s="1" t="s">
        <v>20</v>
      </c>
      <c r="I299" s="2">
        <v>44319</v>
      </c>
      <c r="J299">
        <v>18170</v>
      </c>
      <c r="K299" s="2">
        <v>45829</v>
      </c>
      <c r="L299">
        <v>9609</v>
      </c>
      <c r="M299">
        <v>27779</v>
      </c>
      <c r="N299">
        <v>0</v>
      </c>
    </row>
    <row r="300" spans="1:14" x14ac:dyDescent="0.3">
      <c r="A300" s="1" t="s">
        <v>345</v>
      </c>
      <c r="B300" s="1" t="s">
        <v>61</v>
      </c>
      <c r="C300">
        <v>22</v>
      </c>
      <c r="D300" s="1" t="s">
        <v>16</v>
      </c>
      <c r="E300" s="1" t="s">
        <v>17</v>
      </c>
      <c r="F300" s="1" t="s">
        <v>25</v>
      </c>
      <c r="G300" s="1" t="s">
        <v>19</v>
      </c>
      <c r="H300" s="1" t="s">
        <v>20</v>
      </c>
      <c r="I300" s="2">
        <v>44970</v>
      </c>
      <c r="J300">
        <v>8268</v>
      </c>
      <c r="K300" s="2">
        <v>45856</v>
      </c>
      <c r="L300">
        <v>30157</v>
      </c>
      <c r="M300">
        <v>38425</v>
      </c>
      <c r="N300">
        <v>0</v>
      </c>
    </row>
    <row r="301" spans="1:14" x14ac:dyDescent="0.3">
      <c r="A301" s="1" t="s">
        <v>346</v>
      </c>
      <c r="B301" s="1" t="s">
        <v>32</v>
      </c>
      <c r="C301">
        <v>54</v>
      </c>
      <c r="D301" s="1" t="s">
        <v>23</v>
      </c>
      <c r="E301" s="1" t="s">
        <v>35</v>
      </c>
      <c r="F301" s="1" t="s">
        <v>25</v>
      </c>
      <c r="G301" s="1" t="s">
        <v>41</v>
      </c>
      <c r="H301" s="1" t="s">
        <v>20</v>
      </c>
      <c r="I301" s="2">
        <v>44701</v>
      </c>
      <c r="J301">
        <v>636</v>
      </c>
      <c r="K301" s="2">
        <v>45843</v>
      </c>
      <c r="L301">
        <v>16595</v>
      </c>
      <c r="M301">
        <v>17231</v>
      </c>
      <c r="N301">
        <v>0</v>
      </c>
    </row>
    <row r="302" spans="1:14" x14ac:dyDescent="0.3">
      <c r="A302" s="1" t="s">
        <v>347</v>
      </c>
      <c r="B302" s="1" t="s">
        <v>29</v>
      </c>
      <c r="C302">
        <v>49</v>
      </c>
      <c r="D302" s="1" t="s">
        <v>23</v>
      </c>
      <c r="E302" s="1" t="s">
        <v>24</v>
      </c>
      <c r="F302" s="1" t="s">
        <v>18</v>
      </c>
      <c r="G302" s="1" t="s">
        <v>19</v>
      </c>
      <c r="H302" s="1" t="s">
        <v>20</v>
      </c>
      <c r="I302" s="2">
        <v>45222</v>
      </c>
      <c r="J302">
        <v>4112</v>
      </c>
      <c r="K302" s="2">
        <v>45857</v>
      </c>
      <c r="L302">
        <v>5143</v>
      </c>
      <c r="M302">
        <v>9255</v>
      </c>
      <c r="N302">
        <v>0</v>
      </c>
    </row>
    <row r="303" spans="1:14" x14ac:dyDescent="0.3">
      <c r="A303" s="1" t="s">
        <v>348</v>
      </c>
      <c r="B303" s="1" t="s">
        <v>52</v>
      </c>
      <c r="C303">
        <v>26</v>
      </c>
      <c r="D303" s="1" t="s">
        <v>16</v>
      </c>
      <c r="E303" s="1" t="s">
        <v>17</v>
      </c>
      <c r="F303" s="1" t="s">
        <v>25</v>
      </c>
      <c r="G303" s="1" t="s">
        <v>19</v>
      </c>
      <c r="H303" s="1" t="s">
        <v>20</v>
      </c>
      <c r="I303" s="2">
        <v>44268</v>
      </c>
      <c r="J303">
        <v>8568</v>
      </c>
      <c r="K303" s="2">
        <v>45860</v>
      </c>
      <c r="L303">
        <v>45248</v>
      </c>
      <c r="M303">
        <v>53816</v>
      </c>
      <c r="N303">
        <v>0</v>
      </c>
    </row>
    <row r="304" spans="1:14" x14ac:dyDescent="0.3">
      <c r="A304" s="1" t="s">
        <v>349</v>
      </c>
      <c r="B304" s="1" t="s">
        <v>40</v>
      </c>
      <c r="C304">
        <v>58</v>
      </c>
      <c r="D304" s="1" t="s">
        <v>23</v>
      </c>
      <c r="E304" s="1" t="s">
        <v>38</v>
      </c>
      <c r="F304" s="1" t="s">
        <v>18</v>
      </c>
      <c r="G304" s="1" t="s">
        <v>41</v>
      </c>
      <c r="H304" s="1" t="s">
        <v>20</v>
      </c>
      <c r="I304" s="2">
        <v>44400</v>
      </c>
      <c r="J304">
        <v>3420</v>
      </c>
      <c r="K304" s="2">
        <v>45743</v>
      </c>
      <c r="L304">
        <v>5923</v>
      </c>
      <c r="M304">
        <v>9343</v>
      </c>
      <c r="N304">
        <v>0</v>
      </c>
    </row>
    <row r="305" spans="1:14" x14ac:dyDescent="0.3">
      <c r="A305" s="1" t="s">
        <v>350</v>
      </c>
      <c r="B305" s="1" t="s">
        <v>15</v>
      </c>
      <c r="C305">
        <v>52</v>
      </c>
      <c r="D305" s="1" t="s">
        <v>16</v>
      </c>
      <c r="E305" s="1" t="s">
        <v>38</v>
      </c>
      <c r="F305" s="1" t="s">
        <v>18</v>
      </c>
      <c r="G305" s="1" t="s">
        <v>19</v>
      </c>
      <c r="H305" s="1" t="s">
        <v>20</v>
      </c>
      <c r="I305" s="2">
        <v>45644</v>
      </c>
      <c r="J305">
        <v>3970</v>
      </c>
      <c r="K305" s="2">
        <v>45866</v>
      </c>
      <c r="L305">
        <v>-3677</v>
      </c>
      <c r="M305">
        <v>293</v>
      </c>
      <c r="N305">
        <v>0</v>
      </c>
    </row>
    <row r="306" spans="1:14" x14ac:dyDescent="0.3">
      <c r="A306" s="1" t="s">
        <v>351</v>
      </c>
      <c r="B306" s="1" t="s">
        <v>29</v>
      </c>
      <c r="C306">
        <v>36</v>
      </c>
      <c r="D306" s="1" t="s">
        <v>23</v>
      </c>
      <c r="E306" s="1" t="s">
        <v>24</v>
      </c>
      <c r="F306" s="1" t="s">
        <v>25</v>
      </c>
      <c r="G306" s="1" t="s">
        <v>19</v>
      </c>
      <c r="H306" s="1" t="s">
        <v>20</v>
      </c>
      <c r="I306" s="2">
        <v>45144</v>
      </c>
      <c r="J306">
        <v>103878</v>
      </c>
      <c r="K306" s="2">
        <v>45835</v>
      </c>
      <c r="L306">
        <v>14491</v>
      </c>
      <c r="M306">
        <v>118369</v>
      </c>
      <c r="N306">
        <v>0</v>
      </c>
    </row>
    <row r="307" spans="1:14" x14ac:dyDescent="0.3">
      <c r="A307" s="1" t="s">
        <v>352</v>
      </c>
      <c r="B307" s="1" t="s">
        <v>27</v>
      </c>
      <c r="C307">
        <v>65</v>
      </c>
      <c r="D307" s="1" t="s">
        <v>23</v>
      </c>
      <c r="E307" s="1" t="s">
        <v>17</v>
      </c>
      <c r="F307" s="1" t="s">
        <v>18</v>
      </c>
      <c r="G307" s="1" t="s">
        <v>19</v>
      </c>
      <c r="H307" s="1" t="s">
        <v>20</v>
      </c>
      <c r="I307" s="2">
        <v>45388</v>
      </c>
      <c r="J307">
        <v>13245</v>
      </c>
      <c r="K307" s="2">
        <v>45859</v>
      </c>
      <c r="L307">
        <v>-25046</v>
      </c>
      <c r="M307">
        <v>-11801</v>
      </c>
      <c r="N307">
        <v>0</v>
      </c>
    </row>
    <row r="308" spans="1:14" x14ac:dyDescent="0.3">
      <c r="A308" s="1" t="s">
        <v>353</v>
      </c>
      <c r="B308" s="1" t="s">
        <v>29</v>
      </c>
      <c r="C308">
        <v>33</v>
      </c>
      <c r="D308" s="1" t="s">
        <v>16</v>
      </c>
      <c r="E308" s="1" t="s">
        <v>24</v>
      </c>
      <c r="F308" s="1" t="s">
        <v>18</v>
      </c>
      <c r="G308" s="1" t="s">
        <v>19</v>
      </c>
      <c r="H308" s="1" t="s">
        <v>20</v>
      </c>
      <c r="I308" s="2">
        <v>45605</v>
      </c>
      <c r="J308">
        <v>9081</v>
      </c>
      <c r="K308" s="2">
        <v>45853</v>
      </c>
      <c r="L308">
        <v>9732</v>
      </c>
      <c r="M308">
        <v>18813</v>
      </c>
      <c r="N308">
        <v>0</v>
      </c>
    </row>
    <row r="309" spans="1:14" x14ac:dyDescent="0.3">
      <c r="A309" s="1" t="s">
        <v>354</v>
      </c>
      <c r="B309" s="1" t="s">
        <v>75</v>
      </c>
      <c r="C309">
        <v>20</v>
      </c>
      <c r="D309" s="1" t="s">
        <v>16</v>
      </c>
      <c r="E309" s="1" t="s">
        <v>38</v>
      </c>
      <c r="F309" s="1" t="s">
        <v>25</v>
      </c>
      <c r="G309" s="1" t="s">
        <v>41</v>
      </c>
      <c r="H309" s="1" t="s">
        <v>20</v>
      </c>
      <c r="I309" s="2">
        <v>44972</v>
      </c>
      <c r="J309">
        <v>26039</v>
      </c>
      <c r="K309" s="2">
        <v>45855</v>
      </c>
      <c r="L309">
        <v>10782</v>
      </c>
      <c r="M309">
        <v>36821</v>
      </c>
      <c r="N309">
        <v>0</v>
      </c>
    </row>
    <row r="310" spans="1:14" x14ac:dyDescent="0.3">
      <c r="A310" s="1" t="s">
        <v>355</v>
      </c>
      <c r="B310" s="1" t="s">
        <v>29</v>
      </c>
      <c r="C310">
        <v>37</v>
      </c>
      <c r="D310" s="1" t="s">
        <v>16</v>
      </c>
      <c r="E310" s="1" t="s">
        <v>24</v>
      </c>
      <c r="F310" s="1" t="s">
        <v>25</v>
      </c>
      <c r="G310" s="1" t="s">
        <v>19</v>
      </c>
      <c r="H310" s="1" t="s">
        <v>20</v>
      </c>
      <c r="I310" s="2">
        <v>45470</v>
      </c>
      <c r="J310">
        <v>42027</v>
      </c>
      <c r="K310" s="2">
        <v>45834</v>
      </c>
      <c r="L310">
        <v>3091</v>
      </c>
      <c r="M310">
        <v>45118</v>
      </c>
      <c r="N310">
        <v>0</v>
      </c>
    </row>
    <row r="311" spans="1:14" x14ac:dyDescent="0.3">
      <c r="A311" s="1" t="s">
        <v>356</v>
      </c>
      <c r="B311" s="1" t="s">
        <v>34</v>
      </c>
      <c r="C311">
        <v>41</v>
      </c>
      <c r="D311" s="1" t="s">
        <v>16</v>
      </c>
      <c r="E311" s="1" t="s">
        <v>24</v>
      </c>
      <c r="F311" s="1" t="s">
        <v>18</v>
      </c>
      <c r="G311" s="1" t="s">
        <v>19</v>
      </c>
      <c r="H311" s="1" t="s">
        <v>20</v>
      </c>
      <c r="I311" s="2">
        <v>45074</v>
      </c>
      <c r="J311">
        <v>125570</v>
      </c>
      <c r="K311" s="2">
        <v>45823</v>
      </c>
      <c r="L311">
        <v>36070</v>
      </c>
      <c r="M311">
        <v>161640</v>
      </c>
      <c r="N311">
        <v>0</v>
      </c>
    </row>
    <row r="312" spans="1:14" x14ac:dyDescent="0.3">
      <c r="A312" s="1" t="s">
        <v>357</v>
      </c>
      <c r="B312" s="1" t="s">
        <v>40</v>
      </c>
      <c r="C312">
        <v>50</v>
      </c>
      <c r="D312" s="1" t="s">
        <v>16</v>
      </c>
      <c r="E312" s="1" t="s">
        <v>17</v>
      </c>
      <c r="F312" s="1" t="s">
        <v>18</v>
      </c>
      <c r="G312" s="1" t="s">
        <v>19</v>
      </c>
      <c r="H312" s="1" t="s">
        <v>20</v>
      </c>
      <c r="I312" s="2">
        <v>44569</v>
      </c>
      <c r="J312">
        <v>73524</v>
      </c>
      <c r="K312" s="2">
        <v>45857</v>
      </c>
      <c r="L312">
        <v>774</v>
      </c>
      <c r="M312">
        <v>74298</v>
      </c>
      <c r="N312">
        <v>0</v>
      </c>
    </row>
    <row r="313" spans="1:14" x14ac:dyDescent="0.3">
      <c r="A313" s="1" t="s">
        <v>358</v>
      </c>
      <c r="B313" s="1" t="s">
        <v>29</v>
      </c>
      <c r="C313">
        <v>41</v>
      </c>
      <c r="D313" s="1" t="s">
        <v>23</v>
      </c>
      <c r="E313" s="1" t="s">
        <v>17</v>
      </c>
      <c r="F313" s="1" t="s">
        <v>18</v>
      </c>
      <c r="G313" s="1" t="s">
        <v>19</v>
      </c>
      <c r="H313" s="1" t="s">
        <v>20</v>
      </c>
      <c r="I313" s="2">
        <v>44761</v>
      </c>
      <c r="J313">
        <v>20636</v>
      </c>
      <c r="K313" s="2">
        <v>45865</v>
      </c>
      <c r="L313">
        <v>27106</v>
      </c>
      <c r="M313">
        <v>47742</v>
      </c>
      <c r="N313">
        <v>0</v>
      </c>
    </row>
    <row r="314" spans="1:14" x14ac:dyDescent="0.3">
      <c r="A314" s="1" t="s">
        <v>359</v>
      </c>
      <c r="B314" s="1" t="s">
        <v>75</v>
      </c>
      <c r="C314">
        <v>69</v>
      </c>
      <c r="D314" s="1" t="s">
        <v>23</v>
      </c>
      <c r="E314" s="1" t="s">
        <v>38</v>
      </c>
      <c r="F314" s="1" t="s">
        <v>25</v>
      </c>
      <c r="G314" s="1" t="s">
        <v>19</v>
      </c>
      <c r="H314" s="1" t="s">
        <v>20</v>
      </c>
      <c r="I314" s="2">
        <v>45017</v>
      </c>
      <c r="J314">
        <v>2885</v>
      </c>
      <c r="K314" s="2">
        <v>45819</v>
      </c>
      <c r="L314">
        <v>-1372</v>
      </c>
      <c r="M314">
        <v>1513</v>
      </c>
      <c r="N314">
        <v>0</v>
      </c>
    </row>
    <row r="315" spans="1:14" x14ac:dyDescent="0.3">
      <c r="A315" s="1" t="s">
        <v>360</v>
      </c>
      <c r="B315" s="1" t="s">
        <v>27</v>
      </c>
      <c r="C315">
        <v>28</v>
      </c>
      <c r="D315" s="1" t="s">
        <v>16</v>
      </c>
      <c r="E315" s="1" t="s">
        <v>24</v>
      </c>
      <c r="F315" s="1" t="s">
        <v>25</v>
      </c>
      <c r="G315" s="1" t="s">
        <v>19</v>
      </c>
      <c r="H315" s="1" t="s">
        <v>20</v>
      </c>
      <c r="I315" s="2">
        <v>44727</v>
      </c>
      <c r="J315">
        <v>4903</v>
      </c>
      <c r="K315" s="2">
        <v>45861</v>
      </c>
      <c r="L315">
        <v>33925</v>
      </c>
      <c r="M315">
        <v>38828</v>
      </c>
      <c r="N315">
        <v>0</v>
      </c>
    </row>
    <row r="316" spans="1:14" x14ac:dyDescent="0.3">
      <c r="A316" s="1" t="s">
        <v>361</v>
      </c>
      <c r="B316" s="1" t="s">
        <v>69</v>
      </c>
      <c r="C316">
        <v>66</v>
      </c>
      <c r="D316" s="1" t="s">
        <v>16</v>
      </c>
      <c r="E316" s="1" t="s">
        <v>35</v>
      </c>
      <c r="F316" s="1" t="s">
        <v>18</v>
      </c>
      <c r="G316" s="1" t="s">
        <v>19</v>
      </c>
      <c r="H316" s="1" t="s">
        <v>20</v>
      </c>
      <c r="I316" s="2">
        <v>44758</v>
      </c>
      <c r="J316">
        <v>8939</v>
      </c>
      <c r="K316" s="2">
        <v>45840</v>
      </c>
      <c r="L316">
        <v>-2818</v>
      </c>
      <c r="M316">
        <v>6121</v>
      </c>
      <c r="N316">
        <v>0</v>
      </c>
    </row>
    <row r="317" spans="1:14" x14ac:dyDescent="0.3">
      <c r="A317" s="1" t="s">
        <v>362</v>
      </c>
      <c r="B317" s="1" t="s">
        <v>59</v>
      </c>
      <c r="C317">
        <v>25</v>
      </c>
      <c r="D317" s="1" t="s">
        <v>16</v>
      </c>
      <c r="E317" s="1" t="s">
        <v>24</v>
      </c>
      <c r="F317" s="1" t="s">
        <v>18</v>
      </c>
      <c r="G317" s="1" t="s">
        <v>19</v>
      </c>
      <c r="H317" s="1" t="s">
        <v>20</v>
      </c>
      <c r="I317" s="2">
        <v>44761</v>
      </c>
      <c r="J317">
        <v>22172</v>
      </c>
      <c r="K317" s="2">
        <v>45816</v>
      </c>
      <c r="L317">
        <v>17538</v>
      </c>
      <c r="M317">
        <v>39710</v>
      </c>
      <c r="N317">
        <v>0</v>
      </c>
    </row>
    <row r="318" spans="1:14" x14ac:dyDescent="0.3">
      <c r="A318" s="1" t="s">
        <v>363</v>
      </c>
      <c r="B318" s="1" t="s">
        <v>69</v>
      </c>
      <c r="C318">
        <v>53</v>
      </c>
      <c r="D318" s="1" t="s">
        <v>23</v>
      </c>
      <c r="E318" s="1" t="s">
        <v>38</v>
      </c>
      <c r="F318" s="1" t="s">
        <v>18</v>
      </c>
      <c r="G318" s="1" t="s">
        <v>19</v>
      </c>
      <c r="H318" s="1" t="s">
        <v>20</v>
      </c>
      <c r="I318" s="2">
        <v>44402</v>
      </c>
      <c r="J318">
        <v>14681</v>
      </c>
      <c r="K318" s="2">
        <v>45865</v>
      </c>
      <c r="L318">
        <v>28357</v>
      </c>
      <c r="M318">
        <v>43038</v>
      </c>
      <c r="N318">
        <v>0</v>
      </c>
    </row>
    <row r="319" spans="1:14" x14ac:dyDescent="0.3">
      <c r="A319" s="1" t="s">
        <v>364</v>
      </c>
      <c r="B319" s="1" t="s">
        <v>27</v>
      </c>
      <c r="C319">
        <v>55</v>
      </c>
      <c r="D319" s="1" t="s">
        <v>23</v>
      </c>
      <c r="E319" s="1" t="s">
        <v>24</v>
      </c>
      <c r="F319" s="1" t="s">
        <v>25</v>
      </c>
      <c r="G319" s="1" t="s">
        <v>19</v>
      </c>
      <c r="H319" s="1" t="s">
        <v>20</v>
      </c>
      <c r="I319" s="2">
        <v>44338</v>
      </c>
      <c r="J319">
        <v>3062</v>
      </c>
      <c r="K319" s="2">
        <v>45825</v>
      </c>
      <c r="L319">
        <v>6626</v>
      </c>
      <c r="M319">
        <v>9688</v>
      </c>
      <c r="N319">
        <v>0</v>
      </c>
    </row>
    <row r="320" spans="1:14" x14ac:dyDescent="0.3">
      <c r="A320" s="1" t="s">
        <v>365</v>
      </c>
      <c r="B320" s="1" t="s">
        <v>40</v>
      </c>
      <c r="C320">
        <v>57</v>
      </c>
      <c r="D320" s="1" t="s">
        <v>16</v>
      </c>
      <c r="E320" s="1" t="s">
        <v>24</v>
      </c>
      <c r="F320" s="1" t="s">
        <v>25</v>
      </c>
      <c r="G320" s="1" t="s">
        <v>19</v>
      </c>
      <c r="H320" s="1" t="s">
        <v>20</v>
      </c>
      <c r="I320" s="2">
        <v>44274</v>
      </c>
      <c r="J320">
        <v>2561</v>
      </c>
      <c r="K320" s="2">
        <v>45844</v>
      </c>
      <c r="L320">
        <v>12647</v>
      </c>
      <c r="M320">
        <v>15208</v>
      </c>
      <c r="N320">
        <v>0</v>
      </c>
    </row>
    <row r="321" spans="1:14" x14ac:dyDescent="0.3">
      <c r="A321" s="1" t="s">
        <v>366</v>
      </c>
      <c r="B321" s="1" t="s">
        <v>48</v>
      </c>
      <c r="C321">
        <v>37</v>
      </c>
      <c r="D321" s="1" t="s">
        <v>16</v>
      </c>
      <c r="E321" s="1" t="s">
        <v>17</v>
      </c>
      <c r="F321" s="1" t="s">
        <v>25</v>
      </c>
      <c r="G321" s="1" t="s">
        <v>19</v>
      </c>
      <c r="H321" s="1" t="s">
        <v>20</v>
      </c>
      <c r="I321" s="2">
        <v>44382</v>
      </c>
      <c r="J321">
        <v>17309</v>
      </c>
      <c r="K321" s="2">
        <v>45837</v>
      </c>
      <c r="L321">
        <v>14017</v>
      </c>
      <c r="M321">
        <v>31326</v>
      </c>
      <c r="N321">
        <v>0</v>
      </c>
    </row>
    <row r="322" spans="1:14" x14ac:dyDescent="0.3">
      <c r="A322" s="1" t="s">
        <v>367</v>
      </c>
      <c r="B322" s="1" t="s">
        <v>22</v>
      </c>
      <c r="C322">
        <v>52</v>
      </c>
      <c r="D322" s="1" t="s">
        <v>16</v>
      </c>
      <c r="E322" s="1" t="s">
        <v>24</v>
      </c>
      <c r="F322" s="1" t="s">
        <v>25</v>
      </c>
      <c r="G322" s="1" t="s">
        <v>19</v>
      </c>
      <c r="H322" s="1" t="s">
        <v>20</v>
      </c>
      <c r="I322" s="2">
        <v>44772</v>
      </c>
      <c r="J322">
        <v>15064</v>
      </c>
      <c r="K322" s="2">
        <v>45858</v>
      </c>
      <c r="L322">
        <v>-3498</v>
      </c>
      <c r="M322">
        <v>11566</v>
      </c>
      <c r="N322">
        <v>0</v>
      </c>
    </row>
    <row r="323" spans="1:14" x14ac:dyDescent="0.3">
      <c r="A323" s="1" t="s">
        <v>368</v>
      </c>
      <c r="B323" s="1" t="s">
        <v>75</v>
      </c>
      <c r="C323">
        <v>65</v>
      </c>
      <c r="D323" s="1" t="s">
        <v>16</v>
      </c>
      <c r="E323" s="1" t="s">
        <v>24</v>
      </c>
      <c r="F323" s="1" t="s">
        <v>18</v>
      </c>
      <c r="G323" s="1" t="s">
        <v>19</v>
      </c>
      <c r="H323" s="1" t="s">
        <v>20</v>
      </c>
      <c r="I323" s="2">
        <v>45190</v>
      </c>
      <c r="J323">
        <v>10831</v>
      </c>
      <c r="K323" s="2">
        <v>45852</v>
      </c>
      <c r="L323">
        <v>3202</v>
      </c>
      <c r="M323">
        <v>14033</v>
      </c>
      <c r="N323">
        <v>0</v>
      </c>
    </row>
    <row r="324" spans="1:14" x14ac:dyDescent="0.3">
      <c r="A324" s="1" t="s">
        <v>369</v>
      </c>
      <c r="B324" s="1" t="s">
        <v>87</v>
      </c>
      <c r="C324">
        <v>42</v>
      </c>
      <c r="D324" s="1" t="s">
        <v>16</v>
      </c>
      <c r="E324" s="1" t="s">
        <v>35</v>
      </c>
      <c r="F324" s="1" t="s">
        <v>18</v>
      </c>
      <c r="G324" s="1" t="s">
        <v>19</v>
      </c>
      <c r="H324" s="1" t="s">
        <v>20</v>
      </c>
      <c r="I324" s="2">
        <v>44511</v>
      </c>
      <c r="J324">
        <v>21654</v>
      </c>
      <c r="K324" s="2">
        <v>45806</v>
      </c>
      <c r="L324">
        <v>9151</v>
      </c>
      <c r="M324">
        <v>30805</v>
      </c>
      <c r="N324">
        <v>0</v>
      </c>
    </row>
    <row r="325" spans="1:14" x14ac:dyDescent="0.3">
      <c r="A325" s="1" t="s">
        <v>370</v>
      </c>
      <c r="B325" s="1" t="s">
        <v>52</v>
      </c>
      <c r="C325">
        <v>52</v>
      </c>
      <c r="D325" s="1" t="s">
        <v>23</v>
      </c>
      <c r="E325" s="1" t="s">
        <v>38</v>
      </c>
      <c r="F325" s="1" t="s">
        <v>18</v>
      </c>
      <c r="G325" s="1" t="s">
        <v>19</v>
      </c>
      <c r="H325" s="1" t="s">
        <v>20</v>
      </c>
      <c r="I325" s="2">
        <v>45682</v>
      </c>
      <c r="J325">
        <v>46482</v>
      </c>
      <c r="K325" s="2">
        <v>45849</v>
      </c>
      <c r="L325">
        <v>-1299</v>
      </c>
      <c r="M325">
        <v>45183</v>
      </c>
      <c r="N325">
        <v>0</v>
      </c>
    </row>
    <row r="326" spans="1:14" x14ac:dyDescent="0.3">
      <c r="A326" s="1" t="s">
        <v>371</v>
      </c>
      <c r="B326" s="1" t="s">
        <v>27</v>
      </c>
      <c r="C326">
        <v>42</v>
      </c>
      <c r="D326" s="1" t="s">
        <v>23</v>
      </c>
      <c r="E326" s="1" t="s">
        <v>17</v>
      </c>
      <c r="F326" s="1" t="s">
        <v>18</v>
      </c>
      <c r="G326" s="1" t="s">
        <v>19</v>
      </c>
      <c r="H326" s="1" t="s">
        <v>20</v>
      </c>
      <c r="I326" s="2">
        <v>45549</v>
      </c>
      <c r="J326">
        <v>18216</v>
      </c>
      <c r="K326" s="2">
        <v>45868</v>
      </c>
      <c r="L326">
        <v>15215</v>
      </c>
      <c r="M326">
        <v>33431</v>
      </c>
      <c r="N326">
        <v>0</v>
      </c>
    </row>
    <row r="327" spans="1:14" x14ac:dyDescent="0.3">
      <c r="A327" s="1" t="s">
        <v>372</v>
      </c>
      <c r="B327" s="1" t="s">
        <v>37</v>
      </c>
      <c r="C327">
        <v>46</v>
      </c>
      <c r="D327" s="1" t="s">
        <v>23</v>
      </c>
      <c r="E327" s="1" t="s">
        <v>17</v>
      </c>
      <c r="F327" s="1" t="s">
        <v>18</v>
      </c>
      <c r="G327" s="1" t="s">
        <v>41</v>
      </c>
      <c r="H327" s="1" t="s">
        <v>20</v>
      </c>
      <c r="I327" s="2">
        <v>45067</v>
      </c>
      <c r="J327">
        <v>5210</v>
      </c>
      <c r="K327" s="2">
        <v>45859</v>
      </c>
      <c r="L327">
        <v>5833</v>
      </c>
      <c r="M327">
        <v>11043</v>
      </c>
      <c r="N327">
        <v>0</v>
      </c>
    </row>
    <row r="328" spans="1:14" x14ac:dyDescent="0.3">
      <c r="A328" s="1" t="s">
        <v>373</v>
      </c>
      <c r="B328" s="1" t="s">
        <v>15</v>
      </c>
      <c r="C328">
        <v>35</v>
      </c>
      <c r="D328" s="1" t="s">
        <v>23</v>
      </c>
      <c r="E328" s="1" t="s">
        <v>17</v>
      </c>
      <c r="F328" s="1" t="s">
        <v>18</v>
      </c>
      <c r="G328" s="1" t="s">
        <v>19</v>
      </c>
      <c r="H328" s="1" t="s">
        <v>20</v>
      </c>
      <c r="I328" s="2">
        <v>45408</v>
      </c>
      <c r="J328">
        <v>90692</v>
      </c>
      <c r="K328" s="2">
        <v>45841</v>
      </c>
      <c r="L328">
        <v>-9241</v>
      </c>
      <c r="M328">
        <v>81451</v>
      </c>
      <c r="N328">
        <v>0</v>
      </c>
    </row>
    <row r="329" spans="1:14" x14ac:dyDescent="0.3">
      <c r="A329" s="1" t="s">
        <v>374</v>
      </c>
      <c r="B329" s="1" t="s">
        <v>48</v>
      </c>
      <c r="C329">
        <v>63</v>
      </c>
      <c r="D329" s="1" t="s">
        <v>16</v>
      </c>
      <c r="E329" s="1" t="s">
        <v>24</v>
      </c>
      <c r="F329" s="1" t="s">
        <v>25</v>
      </c>
      <c r="G329" s="1" t="s">
        <v>19</v>
      </c>
      <c r="H329" s="1" t="s">
        <v>20</v>
      </c>
      <c r="I329" s="2">
        <v>44809</v>
      </c>
      <c r="J329">
        <v>11200</v>
      </c>
      <c r="K329" s="2">
        <v>45806</v>
      </c>
      <c r="L329">
        <v>21088</v>
      </c>
      <c r="M329">
        <v>32288</v>
      </c>
      <c r="N329">
        <v>0</v>
      </c>
    </row>
    <row r="330" spans="1:14" x14ac:dyDescent="0.3">
      <c r="A330" s="1" t="s">
        <v>375</v>
      </c>
      <c r="B330" s="1" t="s">
        <v>61</v>
      </c>
      <c r="C330">
        <v>35</v>
      </c>
      <c r="D330" s="1" t="s">
        <v>16</v>
      </c>
      <c r="E330" s="1" t="s">
        <v>38</v>
      </c>
      <c r="F330" s="1" t="s">
        <v>25</v>
      </c>
      <c r="G330" s="1" t="s">
        <v>19</v>
      </c>
      <c r="H330" s="1" t="s">
        <v>20</v>
      </c>
      <c r="I330" s="2">
        <v>44258</v>
      </c>
      <c r="J330">
        <v>14045</v>
      </c>
      <c r="K330" s="2">
        <v>45823</v>
      </c>
      <c r="L330">
        <v>18957</v>
      </c>
      <c r="M330">
        <v>33002</v>
      </c>
      <c r="N330">
        <v>0</v>
      </c>
    </row>
    <row r="331" spans="1:14" x14ac:dyDescent="0.3">
      <c r="A331" s="1" t="s">
        <v>376</v>
      </c>
      <c r="B331" s="1" t="s">
        <v>43</v>
      </c>
      <c r="C331">
        <v>19</v>
      </c>
      <c r="D331" s="1" t="s">
        <v>16</v>
      </c>
      <c r="E331" s="1" t="s">
        <v>35</v>
      </c>
      <c r="F331" s="1" t="s">
        <v>18</v>
      </c>
      <c r="G331" s="1" t="s">
        <v>19</v>
      </c>
      <c r="H331" s="1" t="s">
        <v>20</v>
      </c>
      <c r="I331" s="2">
        <v>45709</v>
      </c>
      <c r="J331">
        <v>6949</v>
      </c>
      <c r="K331" s="2">
        <v>45868</v>
      </c>
      <c r="L331">
        <v>-9543</v>
      </c>
      <c r="M331">
        <v>-2594</v>
      </c>
      <c r="N331">
        <v>0</v>
      </c>
    </row>
    <row r="332" spans="1:14" x14ac:dyDescent="0.3">
      <c r="A332" s="1" t="s">
        <v>377</v>
      </c>
      <c r="B332" s="1" t="s">
        <v>75</v>
      </c>
      <c r="C332">
        <v>52</v>
      </c>
      <c r="D332" s="1" t="s">
        <v>23</v>
      </c>
      <c r="E332" s="1" t="s">
        <v>17</v>
      </c>
      <c r="F332" s="1" t="s">
        <v>18</v>
      </c>
      <c r="G332" s="1" t="s">
        <v>19</v>
      </c>
      <c r="H332" s="1" t="s">
        <v>20</v>
      </c>
      <c r="I332" s="2">
        <v>44410</v>
      </c>
      <c r="J332">
        <v>4562</v>
      </c>
      <c r="K332" s="2">
        <v>45840</v>
      </c>
      <c r="L332">
        <v>21689</v>
      </c>
      <c r="M332">
        <v>26251</v>
      </c>
      <c r="N332">
        <v>0</v>
      </c>
    </row>
    <row r="333" spans="1:14" x14ac:dyDescent="0.3">
      <c r="A333" s="1" t="s">
        <v>378</v>
      </c>
      <c r="B333" s="1" t="s">
        <v>69</v>
      </c>
      <c r="C333">
        <v>33</v>
      </c>
      <c r="D333" s="1" t="s">
        <v>23</v>
      </c>
      <c r="E333" s="1" t="s">
        <v>24</v>
      </c>
      <c r="F333" s="1" t="s">
        <v>18</v>
      </c>
      <c r="G333" s="1" t="s">
        <v>41</v>
      </c>
      <c r="H333" s="1" t="s">
        <v>20</v>
      </c>
      <c r="I333" s="2">
        <v>45782</v>
      </c>
      <c r="J333">
        <v>4949</v>
      </c>
      <c r="K333" s="2">
        <v>45869</v>
      </c>
      <c r="L333">
        <v>18841</v>
      </c>
      <c r="M333">
        <v>23790</v>
      </c>
      <c r="N333">
        <v>0</v>
      </c>
    </row>
    <row r="334" spans="1:14" x14ac:dyDescent="0.3">
      <c r="A334" s="1" t="s">
        <v>379</v>
      </c>
      <c r="B334" s="1" t="s">
        <v>87</v>
      </c>
      <c r="C334">
        <v>58</v>
      </c>
      <c r="D334" s="1" t="s">
        <v>23</v>
      </c>
      <c r="E334" s="1" t="s">
        <v>24</v>
      </c>
      <c r="F334" s="1" t="s">
        <v>25</v>
      </c>
      <c r="G334" s="1" t="s">
        <v>19</v>
      </c>
      <c r="H334" s="1" t="s">
        <v>20</v>
      </c>
      <c r="I334" s="2">
        <v>45153</v>
      </c>
      <c r="J334">
        <v>3973</v>
      </c>
      <c r="K334" s="2">
        <v>45847</v>
      </c>
      <c r="L334">
        <v>5074</v>
      </c>
      <c r="M334">
        <v>9047</v>
      </c>
      <c r="N334">
        <v>0</v>
      </c>
    </row>
    <row r="335" spans="1:14" x14ac:dyDescent="0.3">
      <c r="A335" s="1" t="s">
        <v>380</v>
      </c>
      <c r="B335" s="1" t="s">
        <v>59</v>
      </c>
      <c r="C335">
        <v>53</v>
      </c>
      <c r="D335" s="1" t="s">
        <v>23</v>
      </c>
      <c r="E335" s="1" t="s">
        <v>38</v>
      </c>
      <c r="F335" s="1" t="s">
        <v>25</v>
      </c>
      <c r="G335" s="1" t="s">
        <v>19</v>
      </c>
      <c r="H335" s="1" t="s">
        <v>20</v>
      </c>
      <c r="I335" s="2">
        <v>44708</v>
      </c>
      <c r="J335">
        <v>659</v>
      </c>
      <c r="K335" s="2">
        <v>45868</v>
      </c>
      <c r="L335">
        <v>6479</v>
      </c>
      <c r="M335">
        <v>7138</v>
      </c>
      <c r="N335">
        <v>0</v>
      </c>
    </row>
    <row r="336" spans="1:14" x14ac:dyDescent="0.3">
      <c r="A336" s="1" t="s">
        <v>381</v>
      </c>
      <c r="B336" s="1" t="s">
        <v>29</v>
      </c>
      <c r="C336">
        <v>50</v>
      </c>
      <c r="D336" s="1" t="s">
        <v>16</v>
      </c>
      <c r="E336" s="1" t="s">
        <v>24</v>
      </c>
      <c r="F336" s="1" t="s">
        <v>18</v>
      </c>
      <c r="G336" s="1" t="s">
        <v>19</v>
      </c>
      <c r="H336" s="1" t="s">
        <v>49</v>
      </c>
      <c r="I336" s="2">
        <v>45026</v>
      </c>
      <c r="J336">
        <v>11427</v>
      </c>
      <c r="K336" s="2">
        <v>45856</v>
      </c>
      <c r="L336">
        <v>-18430</v>
      </c>
      <c r="M336">
        <v>-7003</v>
      </c>
      <c r="N336">
        <v>0</v>
      </c>
    </row>
    <row r="337" spans="1:14" x14ac:dyDescent="0.3">
      <c r="A337" s="1" t="s">
        <v>382</v>
      </c>
      <c r="B337" s="1" t="s">
        <v>69</v>
      </c>
      <c r="C337">
        <v>21</v>
      </c>
      <c r="D337" s="1" t="s">
        <v>23</v>
      </c>
      <c r="E337" s="1" t="s">
        <v>38</v>
      </c>
      <c r="F337" s="1" t="s">
        <v>18</v>
      </c>
      <c r="G337" s="1" t="s">
        <v>19</v>
      </c>
      <c r="H337" s="1" t="s">
        <v>20</v>
      </c>
      <c r="I337" s="2">
        <v>45036</v>
      </c>
      <c r="J337">
        <v>40229</v>
      </c>
      <c r="K337" s="2">
        <v>45856</v>
      </c>
      <c r="L337">
        <v>10435</v>
      </c>
      <c r="M337">
        <v>50664</v>
      </c>
      <c r="N337">
        <v>0</v>
      </c>
    </row>
    <row r="338" spans="1:14" x14ac:dyDescent="0.3">
      <c r="A338" s="1" t="s">
        <v>383</v>
      </c>
      <c r="B338" s="1" t="s">
        <v>79</v>
      </c>
      <c r="C338">
        <v>50</v>
      </c>
      <c r="D338" s="1" t="s">
        <v>16</v>
      </c>
      <c r="E338" s="1" t="s">
        <v>38</v>
      </c>
      <c r="F338" s="1" t="s">
        <v>18</v>
      </c>
      <c r="G338" s="1" t="s">
        <v>19</v>
      </c>
      <c r="H338" s="1" t="s">
        <v>20</v>
      </c>
      <c r="I338" s="2">
        <v>44235</v>
      </c>
      <c r="J338">
        <v>4992</v>
      </c>
      <c r="K338" s="2">
        <v>45854</v>
      </c>
      <c r="L338">
        <v>-8967</v>
      </c>
      <c r="M338">
        <v>-3975</v>
      </c>
      <c r="N338">
        <v>0</v>
      </c>
    </row>
    <row r="339" spans="1:14" x14ac:dyDescent="0.3">
      <c r="A339" s="1" t="s">
        <v>384</v>
      </c>
      <c r="B339" s="1" t="s">
        <v>37</v>
      </c>
      <c r="C339">
        <v>31</v>
      </c>
      <c r="D339" s="1" t="s">
        <v>23</v>
      </c>
      <c r="E339" s="1" t="s">
        <v>17</v>
      </c>
      <c r="F339" s="1" t="s">
        <v>18</v>
      </c>
      <c r="G339" s="1" t="s">
        <v>19</v>
      </c>
      <c r="H339" s="1" t="s">
        <v>20</v>
      </c>
      <c r="I339" s="2">
        <v>44791</v>
      </c>
      <c r="J339">
        <v>172731</v>
      </c>
      <c r="K339" s="2">
        <v>45787</v>
      </c>
      <c r="L339">
        <v>12680</v>
      </c>
      <c r="M339">
        <v>185411</v>
      </c>
      <c r="N339">
        <v>0</v>
      </c>
    </row>
    <row r="340" spans="1:14" x14ac:dyDescent="0.3">
      <c r="A340" s="1" t="s">
        <v>385</v>
      </c>
      <c r="B340" s="1" t="s">
        <v>79</v>
      </c>
      <c r="C340">
        <v>38</v>
      </c>
      <c r="D340" s="1" t="s">
        <v>23</v>
      </c>
      <c r="E340" s="1" t="s">
        <v>38</v>
      </c>
      <c r="F340" s="1" t="s">
        <v>18</v>
      </c>
      <c r="G340" s="1" t="s">
        <v>19</v>
      </c>
      <c r="H340" s="1" t="s">
        <v>20</v>
      </c>
      <c r="I340" s="2">
        <v>45434</v>
      </c>
      <c r="J340">
        <v>53443</v>
      </c>
      <c r="K340" s="2">
        <v>45863</v>
      </c>
      <c r="L340">
        <v>5135</v>
      </c>
      <c r="M340">
        <v>58578</v>
      </c>
      <c r="N340">
        <v>0</v>
      </c>
    </row>
    <row r="341" spans="1:14" x14ac:dyDescent="0.3">
      <c r="A341" s="1" t="s">
        <v>386</v>
      </c>
      <c r="B341" s="1" t="s">
        <v>79</v>
      </c>
      <c r="C341">
        <v>65</v>
      </c>
      <c r="D341" s="1" t="s">
        <v>23</v>
      </c>
      <c r="E341" s="1" t="s">
        <v>17</v>
      </c>
      <c r="F341" s="1" t="s">
        <v>25</v>
      </c>
      <c r="G341" s="1" t="s">
        <v>19</v>
      </c>
      <c r="H341" s="1" t="s">
        <v>20</v>
      </c>
      <c r="I341" s="2">
        <v>45050</v>
      </c>
      <c r="J341">
        <v>13118</v>
      </c>
      <c r="K341" s="2">
        <v>45863</v>
      </c>
      <c r="L341">
        <v>-8061</v>
      </c>
      <c r="M341">
        <v>5057</v>
      </c>
      <c r="N341">
        <v>0</v>
      </c>
    </row>
    <row r="342" spans="1:14" x14ac:dyDescent="0.3">
      <c r="A342" s="1" t="s">
        <v>387</v>
      </c>
      <c r="B342" s="1" t="s">
        <v>48</v>
      </c>
      <c r="C342">
        <v>37</v>
      </c>
      <c r="D342" s="1" t="s">
        <v>16</v>
      </c>
      <c r="E342" s="1" t="s">
        <v>38</v>
      </c>
      <c r="F342" s="1" t="s">
        <v>25</v>
      </c>
      <c r="G342" s="1" t="s">
        <v>19</v>
      </c>
      <c r="H342" s="1" t="s">
        <v>20</v>
      </c>
      <c r="I342" s="2">
        <v>44605</v>
      </c>
      <c r="J342">
        <v>4398</v>
      </c>
      <c r="K342" s="2">
        <v>45855</v>
      </c>
      <c r="L342">
        <v>12191</v>
      </c>
      <c r="M342">
        <v>16589</v>
      </c>
      <c r="N342">
        <v>0</v>
      </c>
    </row>
    <row r="343" spans="1:14" x14ac:dyDescent="0.3">
      <c r="A343" s="1" t="s">
        <v>388</v>
      </c>
      <c r="B343" s="1" t="s">
        <v>56</v>
      </c>
      <c r="C343">
        <v>25</v>
      </c>
      <c r="D343" s="1" t="s">
        <v>16</v>
      </c>
      <c r="E343" s="1" t="s">
        <v>24</v>
      </c>
      <c r="F343" s="1" t="s">
        <v>18</v>
      </c>
      <c r="G343" s="1" t="s">
        <v>19</v>
      </c>
      <c r="H343" s="1" t="s">
        <v>20</v>
      </c>
      <c r="I343" s="2">
        <v>44757</v>
      </c>
      <c r="J343">
        <v>2705</v>
      </c>
      <c r="K343" s="2">
        <v>45862</v>
      </c>
      <c r="L343">
        <v>41627</v>
      </c>
      <c r="M343">
        <v>44332</v>
      </c>
      <c r="N343">
        <v>0</v>
      </c>
    </row>
    <row r="344" spans="1:14" x14ac:dyDescent="0.3">
      <c r="A344" s="1" t="s">
        <v>389</v>
      </c>
      <c r="B344" s="1" t="s">
        <v>69</v>
      </c>
      <c r="C344">
        <v>24</v>
      </c>
      <c r="D344" s="1" t="s">
        <v>23</v>
      </c>
      <c r="E344" s="1" t="s">
        <v>24</v>
      </c>
      <c r="F344" s="1" t="s">
        <v>25</v>
      </c>
      <c r="G344" s="1" t="s">
        <v>19</v>
      </c>
      <c r="H344" s="1" t="s">
        <v>20</v>
      </c>
      <c r="I344" s="2">
        <v>45640</v>
      </c>
      <c r="J344">
        <v>11924</v>
      </c>
      <c r="K344" s="2">
        <v>45866</v>
      </c>
      <c r="L344">
        <v>-386</v>
      </c>
      <c r="M344">
        <v>11538</v>
      </c>
      <c r="N344">
        <v>0</v>
      </c>
    </row>
    <row r="345" spans="1:14" x14ac:dyDescent="0.3">
      <c r="A345" s="1" t="s">
        <v>390</v>
      </c>
      <c r="B345" s="1" t="s">
        <v>64</v>
      </c>
      <c r="C345">
        <v>20</v>
      </c>
      <c r="D345" s="1" t="s">
        <v>23</v>
      </c>
      <c r="E345" s="1" t="s">
        <v>35</v>
      </c>
      <c r="F345" s="1" t="s">
        <v>25</v>
      </c>
      <c r="G345" s="1" t="s">
        <v>19</v>
      </c>
      <c r="H345" s="1" t="s">
        <v>20</v>
      </c>
      <c r="I345" s="2">
        <v>45076</v>
      </c>
      <c r="J345">
        <v>14302</v>
      </c>
      <c r="K345" s="2">
        <v>45867</v>
      </c>
      <c r="L345">
        <v>3304</v>
      </c>
      <c r="M345">
        <v>17606</v>
      </c>
      <c r="N345">
        <v>0</v>
      </c>
    </row>
    <row r="346" spans="1:14" x14ac:dyDescent="0.3">
      <c r="A346" s="1" t="s">
        <v>391</v>
      </c>
      <c r="B346" s="1" t="s">
        <v>34</v>
      </c>
      <c r="C346">
        <v>34</v>
      </c>
      <c r="D346" s="1" t="s">
        <v>16</v>
      </c>
      <c r="E346" s="1" t="s">
        <v>38</v>
      </c>
      <c r="F346" s="1" t="s">
        <v>18</v>
      </c>
      <c r="G346" s="1" t="s">
        <v>19</v>
      </c>
      <c r="H346" s="1" t="s">
        <v>20</v>
      </c>
      <c r="I346" s="2">
        <v>45080</v>
      </c>
      <c r="J346">
        <v>10890</v>
      </c>
      <c r="K346" s="2">
        <v>45857</v>
      </c>
      <c r="L346">
        <v>9516</v>
      </c>
      <c r="M346">
        <v>20406</v>
      </c>
      <c r="N346">
        <v>0</v>
      </c>
    </row>
    <row r="347" spans="1:14" x14ac:dyDescent="0.3">
      <c r="A347" s="1" t="s">
        <v>392</v>
      </c>
      <c r="B347" s="1" t="s">
        <v>79</v>
      </c>
      <c r="C347">
        <v>50</v>
      </c>
      <c r="D347" s="1" t="s">
        <v>23</v>
      </c>
      <c r="E347" s="1" t="s">
        <v>38</v>
      </c>
      <c r="F347" s="1" t="s">
        <v>18</v>
      </c>
      <c r="G347" s="1" t="s">
        <v>41</v>
      </c>
      <c r="H347" s="1" t="s">
        <v>20</v>
      </c>
      <c r="I347" s="2">
        <v>45805</v>
      </c>
      <c r="J347">
        <v>38922</v>
      </c>
      <c r="K347" s="2">
        <v>45862</v>
      </c>
      <c r="L347">
        <v>8964</v>
      </c>
      <c r="M347">
        <v>47886</v>
      </c>
      <c r="N347">
        <v>0</v>
      </c>
    </row>
    <row r="348" spans="1:14" x14ac:dyDescent="0.3">
      <c r="A348" s="1" t="s">
        <v>393</v>
      </c>
      <c r="B348" s="1" t="s">
        <v>37</v>
      </c>
      <c r="C348">
        <v>65</v>
      </c>
      <c r="D348" s="1" t="s">
        <v>23</v>
      </c>
      <c r="E348" s="1" t="s">
        <v>24</v>
      </c>
      <c r="F348" s="1" t="s">
        <v>25</v>
      </c>
      <c r="G348" s="1" t="s">
        <v>19</v>
      </c>
      <c r="H348" s="1" t="s">
        <v>20</v>
      </c>
      <c r="I348" s="2">
        <v>44733</v>
      </c>
      <c r="J348">
        <v>59700</v>
      </c>
      <c r="K348" s="2">
        <v>45860</v>
      </c>
      <c r="L348">
        <v>-10545</v>
      </c>
      <c r="M348">
        <v>49155</v>
      </c>
      <c r="N348">
        <v>0</v>
      </c>
    </row>
    <row r="349" spans="1:14" x14ac:dyDescent="0.3">
      <c r="A349" s="1" t="s">
        <v>394</v>
      </c>
      <c r="B349" s="1" t="s">
        <v>56</v>
      </c>
      <c r="C349">
        <v>29</v>
      </c>
      <c r="D349" s="1" t="s">
        <v>16</v>
      </c>
      <c r="E349" s="1" t="s">
        <v>38</v>
      </c>
      <c r="F349" s="1" t="s">
        <v>18</v>
      </c>
      <c r="G349" s="1" t="s">
        <v>41</v>
      </c>
      <c r="H349" s="1" t="s">
        <v>20</v>
      </c>
      <c r="I349" s="2">
        <v>44999</v>
      </c>
      <c r="J349">
        <v>21433</v>
      </c>
      <c r="K349" s="2">
        <v>45840</v>
      </c>
      <c r="L349">
        <v>-5141</v>
      </c>
      <c r="M349">
        <v>16292</v>
      </c>
      <c r="N349">
        <v>0</v>
      </c>
    </row>
    <row r="350" spans="1:14" x14ac:dyDescent="0.3">
      <c r="A350" s="1" t="s">
        <v>395</v>
      </c>
      <c r="B350" s="1" t="s">
        <v>56</v>
      </c>
      <c r="C350">
        <v>68</v>
      </c>
      <c r="D350" s="1" t="s">
        <v>16</v>
      </c>
      <c r="E350" s="1" t="s">
        <v>24</v>
      </c>
      <c r="F350" s="1" t="s">
        <v>25</v>
      </c>
      <c r="G350" s="1" t="s">
        <v>41</v>
      </c>
      <c r="H350" s="1" t="s">
        <v>20</v>
      </c>
      <c r="I350" s="2">
        <v>45554</v>
      </c>
      <c r="J350">
        <v>22617</v>
      </c>
      <c r="K350" s="2">
        <v>45867</v>
      </c>
      <c r="L350">
        <v>-834</v>
      </c>
      <c r="M350">
        <v>21783</v>
      </c>
      <c r="N350">
        <v>0</v>
      </c>
    </row>
    <row r="351" spans="1:14" x14ac:dyDescent="0.3">
      <c r="A351" s="1" t="s">
        <v>396</v>
      </c>
      <c r="B351" s="1" t="s">
        <v>69</v>
      </c>
      <c r="C351">
        <v>39</v>
      </c>
      <c r="D351" s="1" t="s">
        <v>23</v>
      </c>
      <c r="E351" s="1" t="s">
        <v>38</v>
      </c>
      <c r="F351" s="1" t="s">
        <v>25</v>
      </c>
      <c r="G351" s="1" t="s">
        <v>41</v>
      </c>
      <c r="H351" s="1" t="s">
        <v>20</v>
      </c>
      <c r="I351" s="2">
        <v>45466</v>
      </c>
      <c r="J351">
        <v>9744</v>
      </c>
      <c r="K351" s="2">
        <v>45868</v>
      </c>
      <c r="L351">
        <v>17102</v>
      </c>
      <c r="M351">
        <v>26846</v>
      </c>
      <c r="N351">
        <v>0</v>
      </c>
    </row>
    <row r="352" spans="1:14" x14ac:dyDescent="0.3">
      <c r="A352" s="1" t="s">
        <v>397</v>
      </c>
      <c r="B352" s="1" t="s">
        <v>22</v>
      </c>
      <c r="C352">
        <v>39</v>
      </c>
      <c r="D352" s="1" t="s">
        <v>16</v>
      </c>
      <c r="E352" s="1" t="s">
        <v>24</v>
      </c>
      <c r="F352" s="1" t="s">
        <v>25</v>
      </c>
      <c r="G352" s="1" t="s">
        <v>19</v>
      </c>
      <c r="H352" s="1" t="s">
        <v>20</v>
      </c>
      <c r="I352" s="2">
        <v>44641</v>
      </c>
      <c r="J352">
        <v>13294</v>
      </c>
      <c r="K352" s="2">
        <v>45818</v>
      </c>
      <c r="L352">
        <v>4576</v>
      </c>
      <c r="M352">
        <v>17870</v>
      </c>
      <c r="N352">
        <v>0</v>
      </c>
    </row>
    <row r="353" spans="1:14" x14ac:dyDescent="0.3">
      <c r="A353" s="1" t="s">
        <v>398</v>
      </c>
      <c r="B353" s="1" t="s">
        <v>40</v>
      </c>
      <c r="C353">
        <v>63</v>
      </c>
      <c r="D353" s="1" t="s">
        <v>16</v>
      </c>
      <c r="E353" s="1" t="s">
        <v>35</v>
      </c>
      <c r="F353" s="1" t="s">
        <v>25</v>
      </c>
      <c r="G353" s="1" t="s">
        <v>19</v>
      </c>
      <c r="H353" s="1" t="s">
        <v>20</v>
      </c>
      <c r="I353" s="2">
        <v>44449</v>
      </c>
      <c r="J353">
        <v>20164</v>
      </c>
      <c r="K353" s="2">
        <v>45852</v>
      </c>
      <c r="L353">
        <v>-1891</v>
      </c>
      <c r="M353">
        <v>18273</v>
      </c>
      <c r="N353">
        <v>0</v>
      </c>
    </row>
    <row r="354" spans="1:14" x14ac:dyDescent="0.3">
      <c r="A354" s="1" t="s">
        <v>399</v>
      </c>
      <c r="B354" s="1" t="s">
        <v>32</v>
      </c>
      <c r="C354">
        <v>47</v>
      </c>
      <c r="D354" s="1" t="s">
        <v>23</v>
      </c>
      <c r="E354" s="1" t="s">
        <v>35</v>
      </c>
      <c r="F354" s="1" t="s">
        <v>25</v>
      </c>
      <c r="G354" s="1" t="s">
        <v>19</v>
      </c>
      <c r="H354" s="1" t="s">
        <v>20</v>
      </c>
      <c r="I354" s="2">
        <v>45369</v>
      </c>
      <c r="J354">
        <v>9733</v>
      </c>
      <c r="K354" s="2">
        <v>45853</v>
      </c>
      <c r="L354">
        <v>331</v>
      </c>
      <c r="M354">
        <v>10064</v>
      </c>
      <c r="N354">
        <v>0</v>
      </c>
    </row>
    <row r="355" spans="1:14" x14ac:dyDescent="0.3">
      <c r="A355" s="1" t="s">
        <v>400</v>
      </c>
      <c r="B355" s="1" t="s">
        <v>40</v>
      </c>
      <c r="C355">
        <v>55</v>
      </c>
      <c r="D355" s="1" t="s">
        <v>16</v>
      </c>
      <c r="E355" s="1" t="s">
        <v>38</v>
      </c>
      <c r="F355" s="1" t="s">
        <v>25</v>
      </c>
      <c r="G355" s="1" t="s">
        <v>19</v>
      </c>
      <c r="H355" s="1" t="s">
        <v>20</v>
      </c>
      <c r="I355" s="2">
        <v>44628</v>
      </c>
      <c r="J355">
        <v>25870</v>
      </c>
      <c r="K355" s="2">
        <v>45866</v>
      </c>
      <c r="L355">
        <v>3980</v>
      </c>
      <c r="M355">
        <v>29850</v>
      </c>
      <c r="N355">
        <v>0</v>
      </c>
    </row>
    <row r="356" spans="1:14" x14ac:dyDescent="0.3">
      <c r="A356" s="1" t="s">
        <v>401</v>
      </c>
      <c r="B356" s="1" t="s">
        <v>59</v>
      </c>
      <c r="C356">
        <v>55</v>
      </c>
      <c r="D356" s="1" t="s">
        <v>16</v>
      </c>
      <c r="E356" s="1" t="s">
        <v>24</v>
      </c>
      <c r="F356" s="1" t="s">
        <v>18</v>
      </c>
      <c r="G356" s="1" t="s">
        <v>19</v>
      </c>
      <c r="H356" s="1" t="s">
        <v>20</v>
      </c>
      <c r="I356" s="2">
        <v>45740</v>
      </c>
      <c r="J356">
        <v>4646</v>
      </c>
      <c r="K356" s="2">
        <v>45868</v>
      </c>
      <c r="L356">
        <v>23398</v>
      </c>
      <c r="M356">
        <v>28044</v>
      </c>
      <c r="N356">
        <v>0</v>
      </c>
    </row>
    <row r="357" spans="1:14" x14ac:dyDescent="0.3">
      <c r="A357" s="1" t="s">
        <v>402</v>
      </c>
      <c r="B357" s="1" t="s">
        <v>64</v>
      </c>
      <c r="C357">
        <v>62</v>
      </c>
      <c r="D357" s="1" t="s">
        <v>23</v>
      </c>
      <c r="E357" s="1" t="s">
        <v>17</v>
      </c>
      <c r="F357" s="1" t="s">
        <v>18</v>
      </c>
      <c r="G357" s="1" t="s">
        <v>19</v>
      </c>
      <c r="H357" s="1" t="s">
        <v>20</v>
      </c>
      <c r="I357" s="2">
        <v>44413</v>
      </c>
      <c r="J357">
        <v>6424</v>
      </c>
      <c r="K357" s="2">
        <v>45826</v>
      </c>
      <c r="L357">
        <v>21025</v>
      </c>
      <c r="M357">
        <v>27449</v>
      </c>
      <c r="N357">
        <v>0</v>
      </c>
    </row>
    <row r="358" spans="1:14" x14ac:dyDescent="0.3">
      <c r="A358" s="1" t="s">
        <v>403</v>
      </c>
      <c r="B358" s="1" t="s">
        <v>48</v>
      </c>
      <c r="C358">
        <v>68</v>
      </c>
      <c r="D358" s="1" t="s">
        <v>23</v>
      </c>
      <c r="E358" s="1" t="s">
        <v>38</v>
      </c>
      <c r="F358" s="1" t="s">
        <v>18</v>
      </c>
      <c r="G358" s="1" t="s">
        <v>19</v>
      </c>
      <c r="H358" s="1" t="s">
        <v>20</v>
      </c>
      <c r="I358" s="2">
        <v>44729</v>
      </c>
      <c r="J358">
        <v>4690</v>
      </c>
      <c r="K358" s="2">
        <v>45821</v>
      </c>
      <c r="L358">
        <v>58726</v>
      </c>
      <c r="M358">
        <v>63416</v>
      </c>
      <c r="N358">
        <v>0</v>
      </c>
    </row>
    <row r="359" spans="1:14" x14ac:dyDescent="0.3">
      <c r="A359" s="1" t="s">
        <v>404</v>
      </c>
      <c r="B359" s="1" t="s">
        <v>15</v>
      </c>
      <c r="C359">
        <v>25</v>
      </c>
      <c r="D359" s="1" t="s">
        <v>23</v>
      </c>
      <c r="E359" s="1" t="s">
        <v>17</v>
      </c>
      <c r="F359" s="1" t="s">
        <v>25</v>
      </c>
      <c r="G359" s="1" t="s">
        <v>19</v>
      </c>
      <c r="H359" s="1" t="s">
        <v>20</v>
      </c>
      <c r="I359" s="2">
        <v>44288</v>
      </c>
      <c r="J359">
        <v>6846</v>
      </c>
      <c r="K359" s="2">
        <v>45802</v>
      </c>
      <c r="L359">
        <v>8335</v>
      </c>
      <c r="M359">
        <v>15181</v>
      </c>
      <c r="N359">
        <v>0</v>
      </c>
    </row>
    <row r="360" spans="1:14" x14ac:dyDescent="0.3">
      <c r="A360" s="1" t="s">
        <v>405</v>
      </c>
      <c r="B360" s="1" t="s">
        <v>48</v>
      </c>
      <c r="C360">
        <v>44</v>
      </c>
      <c r="D360" s="1" t="s">
        <v>16</v>
      </c>
      <c r="E360" s="1" t="s">
        <v>38</v>
      </c>
      <c r="F360" s="1" t="s">
        <v>18</v>
      </c>
      <c r="G360" s="1" t="s">
        <v>41</v>
      </c>
      <c r="H360" s="1" t="s">
        <v>20</v>
      </c>
      <c r="I360" s="2">
        <v>45373</v>
      </c>
      <c r="J360">
        <v>10024</v>
      </c>
      <c r="K360" s="2">
        <v>45765</v>
      </c>
      <c r="L360">
        <v>24643</v>
      </c>
      <c r="M360">
        <v>34667</v>
      </c>
      <c r="N360">
        <v>0</v>
      </c>
    </row>
    <row r="361" spans="1:14" x14ac:dyDescent="0.3">
      <c r="A361" s="1" t="s">
        <v>406</v>
      </c>
      <c r="B361" s="1" t="s">
        <v>64</v>
      </c>
      <c r="C361">
        <v>44</v>
      </c>
      <c r="D361" s="1" t="s">
        <v>23</v>
      </c>
      <c r="E361" s="1" t="s">
        <v>24</v>
      </c>
      <c r="F361" s="1" t="s">
        <v>18</v>
      </c>
      <c r="G361" s="1" t="s">
        <v>19</v>
      </c>
      <c r="H361" s="1" t="s">
        <v>20</v>
      </c>
      <c r="I361" s="2">
        <v>45688</v>
      </c>
      <c r="J361">
        <v>37387</v>
      </c>
      <c r="K361" s="2">
        <v>45862</v>
      </c>
      <c r="L361">
        <v>4654</v>
      </c>
      <c r="M361">
        <v>42041</v>
      </c>
      <c r="N361">
        <v>0</v>
      </c>
    </row>
    <row r="362" spans="1:14" x14ac:dyDescent="0.3">
      <c r="A362" s="1" t="s">
        <v>407</v>
      </c>
      <c r="B362" s="1" t="s">
        <v>69</v>
      </c>
      <c r="C362">
        <v>51</v>
      </c>
      <c r="D362" s="1" t="s">
        <v>16</v>
      </c>
      <c r="E362" s="1" t="s">
        <v>24</v>
      </c>
      <c r="F362" s="1" t="s">
        <v>18</v>
      </c>
      <c r="G362" s="1" t="s">
        <v>19</v>
      </c>
      <c r="H362" s="1" t="s">
        <v>20</v>
      </c>
      <c r="I362" s="2">
        <v>45260</v>
      </c>
      <c r="J362">
        <v>13925</v>
      </c>
      <c r="K362" s="2">
        <v>45859</v>
      </c>
      <c r="L362">
        <v>-15082</v>
      </c>
      <c r="M362">
        <v>-1157</v>
      </c>
      <c r="N362">
        <v>0</v>
      </c>
    </row>
    <row r="363" spans="1:14" x14ac:dyDescent="0.3">
      <c r="A363" s="1" t="s">
        <v>408</v>
      </c>
      <c r="B363" s="1" t="s">
        <v>29</v>
      </c>
      <c r="C363">
        <v>38</v>
      </c>
      <c r="D363" s="1" t="s">
        <v>16</v>
      </c>
      <c r="E363" s="1" t="s">
        <v>35</v>
      </c>
      <c r="F363" s="1" t="s">
        <v>25</v>
      </c>
      <c r="G363" s="1" t="s">
        <v>19</v>
      </c>
      <c r="H363" s="1" t="s">
        <v>20</v>
      </c>
      <c r="I363" s="2">
        <v>45765</v>
      </c>
      <c r="J363">
        <v>3699</v>
      </c>
      <c r="K363" s="2">
        <v>45869</v>
      </c>
      <c r="L363">
        <v>13051</v>
      </c>
      <c r="M363">
        <v>16750</v>
      </c>
      <c r="N363">
        <v>0</v>
      </c>
    </row>
    <row r="364" spans="1:14" x14ac:dyDescent="0.3">
      <c r="A364" s="1" t="s">
        <v>409</v>
      </c>
      <c r="B364" s="1" t="s">
        <v>40</v>
      </c>
      <c r="C364">
        <v>47</v>
      </c>
      <c r="D364" s="1" t="s">
        <v>23</v>
      </c>
      <c r="E364" s="1" t="s">
        <v>24</v>
      </c>
      <c r="F364" s="1" t="s">
        <v>25</v>
      </c>
      <c r="G364" s="1" t="s">
        <v>41</v>
      </c>
      <c r="H364" s="1" t="s">
        <v>20</v>
      </c>
      <c r="I364" s="2">
        <v>44411</v>
      </c>
      <c r="J364">
        <v>3288</v>
      </c>
      <c r="K364" s="2">
        <v>45720</v>
      </c>
      <c r="L364">
        <v>9079</v>
      </c>
      <c r="M364">
        <v>12367</v>
      </c>
      <c r="N364">
        <v>0</v>
      </c>
    </row>
    <row r="365" spans="1:14" x14ac:dyDescent="0.3">
      <c r="A365" s="1" t="s">
        <v>410</v>
      </c>
      <c r="B365" s="1" t="s">
        <v>61</v>
      </c>
      <c r="C365">
        <v>50</v>
      </c>
      <c r="D365" s="1" t="s">
        <v>16</v>
      </c>
      <c r="E365" s="1" t="s">
        <v>24</v>
      </c>
      <c r="F365" s="1" t="s">
        <v>25</v>
      </c>
      <c r="G365" s="1" t="s">
        <v>19</v>
      </c>
      <c r="H365" s="1" t="s">
        <v>20</v>
      </c>
      <c r="I365" s="2">
        <v>44343</v>
      </c>
      <c r="J365">
        <v>8813</v>
      </c>
      <c r="K365" s="2">
        <v>45864</v>
      </c>
      <c r="L365">
        <v>22371</v>
      </c>
      <c r="M365">
        <v>31184</v>
      </c>
      <c r="N365">
        <v>0</v>
      </c>
    </row>
    <row r="366" spans="1:14" x14ac:dyDescent="0.3">
      <c r="A366" s="1" t="s">
        <v>411</v>
      </c>
      <c r="B366" s="1" t="s">
        <v>64</v>
      </c>
      <c r="C366">
        <v>45</v>
      </c>
      <c r="D366" s="1" t="s">
        <v>23</v>
      </c>
      <c r="E366" s="1" t="s">
        <v>24</v>
      </c>
      <c r="F366" s="1" t="s">
        <v>18</v>
      </c>
      <c r="G366" s="1" t="s">
        <v>19</v>
      </c>
      <c r="H366" s="1" t="s">
        <v>20</v>
      </c>
      <c r="I366" s="2">
        <v>45599</v>
      </c>
      <c r="J366">
        <v>30773</v>
      </c>
      <c r="K366" s="2">
        <v>45866</v>
      </c>
      <c r="L366">
        <v>14988</v>
      </c>
      <c r="M366">
        <v>45761</v>
      </c>
      <c r="N366">
        <v>0</v>
      </c>
    </row>
    <row r="367" spans="1:14" x14ac:dyDescent="0.3">
      <c r="A367" s="1" t="s">
        <v>412</v>
      </c>
      <c r="B367" s="1" t="s">
        <v>52</v>
      </c>
      <c r="C367">
        <v>64</v>
      </c>
      <c r="D367" s="1" t="s">
        <v>16</v>
      </c>
      <c r="E367" s="1" t="s">
        <v>24</v>
      </c>
      <c r="F367" s="1" t="s">
        <v>25</v>
      </c>
      <c r="G367" s="1" t="s">
        <v>19</v>
      </c>
      <c r="H367" s="1" t="s">
        <v>20</v>
      </c>
      <c r="I367" s="2">
        <v>45628</v>
      </c>
      <c r="J367">
        <v>54338</v>
      </c>
      <c r="K367" s="2">
        <v>45850</v>
      </c>
      <c r="L367">
        <v>27869</v>
      </c>
      <c r="M367">
        <v>82207</v>
      </c>
      <c r="N367">
        <v>0</v>
      </c>
    </row>
    <row r="368" spans="1:14" x14ac:dyDescent="0.3">
      <c r="A368" s="1" t="s">
        <v>413</v>
      </c>
      <c r="B368" s="1" t="s">
        <v>59</v>
      </c>
      <c r="C368">
        <v>50</v>
      </c>
      <c r="D368" s="1" t="s">
        <v>16</v>
      </c>
      <c r="E368" s="1" t="s">
        <v>38</v>
      </c>
      <c r="F368" s="1" t="s">
        <v>25</v>
      </c>
      <c r="G368" s="1" t="s">
        <v>41</v>
      </c>
      <c r="H368" s="1" t="s">
        <v>20</v>
      </c>
      <c r="I368" s="2">
        <v>45587</v>
      </c>
      <c r="J368">
        <v>2722</v>
      </c>
      <c r="K368" s="2">
        <v>45864</v>
      </c>
      <c r="L368">
        <v>16699</v>
      </c>
      <c r="M368">
        <v>19421</v>
      </c>
      <c r="N368">
        <v>0</v>
      </c>
    </row>
    <row r="369" spans="1:14" x14ac:dyDescent="0.3">
      <c r="A369" s="1" t="s">
        <v>414</v>
      </c>
      <c r="B369" s="1" t="s">
        <v>61</v>
      </c>
      <c r="C369">
        <v>22</v>
      </c>
      <c r="D369" s="1" t="s">
        <v>23</v>
      </c>
      <c r="E369" s="1" t="s">
        <v>24</v>
      </c>
      <c r="F369" s="1" t="s">
        <v>18</v>
      </c>
      <c r="G369" s="1" t="s">
        <v>19</v>
      </c>
      <c r="H369" s="1" t="s">
        <v>20</v>
      </c>
      <c r="I369" s="2">
        <v>45533</v>
      </c>
      <c r="J369">
        <v>19387</v>
      </c>
      <c r="K369" s="2">
        <v>45855</v>
      </c>
      <c r="L369">
        <v>-7239</v>
      </c>
      <c r="M369">
        <v>12148</v>
      </c>
      <c r="N369">
        <v>0</v>
      </c>
    </row>
    <row r="370" spans="1:14" x14ac:dyDescent="0.3">
      <c r="A370" s="1" t="s">
        <v>415</v>
      </c>
      <c r="B370" s="1" t="s">
        <v>56</v>
      </c>
      <c r="C370">
        <v>65</v>
      </c>
      <c r="D370" s="1" t="s">
        <v>16</v>
      </c>
      <c r="E370" s="1" t="s">
        <v>35</v>
      </c>
      <c r="F370" s="1" t="s">
        <v>18</v>
      </c>
      <c r="G370" s="1" t="s">
        <v>19</v>
      </c>
      <c r="H370" s="1" t="s">
        <v>49</v>
      </c>
      <c r="I370" s="2">
        <v>44803</v>
      </c>
      <c r="J370">
        <v>8939</v>
      </c>
      <c r="K370" s="2">
        <v>45847</v>
      </c>
      <c r="L370">
        <v>4110</v>
      </c>
      <c r="M370">
        <v>13049</v>
      </c>
      <c r="N370">
        <v>0</v>
      </c>
    </row>
    <row r="371" spans="1:14" x14ac:dyDescent="0.3">
      <c r="A371" s="1" t="s">
        <v>416</v>
      </c>
      <c r="B371" s="1" t="s">
        <v>75</v>
      </c>
      <c r="C371">
        <v>36</v>
      </c>
      <c r="D371" s="1" t="s">
        <v>23</v>
      </c>
      <c r="E371" s="1" t="s">
        <v>38</v>
      </c>
      <c r="F371" s="1" t="s">
        <v>18</v>
      </c>
      <c r="G371" s="1" t="s">
        <v>19</v>
      </c>
      <c r="H371" s="1" t="s">
        <v>20</v>
      </c>
      <c r="I371" s="2">
        <v>44560</v>
      </c>
      <c r="J371">
        <v>9660</v>
      </c>
      <c r="K371" s="2">
        <v>45846</v>
      </c>
      <c r="L371">
        <v>-9703</v>
      </c>
      <c r="M371">
        <v>-43</v>
      </c>
      <c r="N371">
        <v>0</v>
      </c>
    </row>
    <row r="372" spans="1:14" x14ac:dyDescent="0.3">
      <c r="A372" s="1" t="s">
        <v>417</v>
      </c>
      <c r="B372" s="1" t="s">
        <v>22</v>
      </c>
      <c r="C372">
        <v>21</v>
      </c>
      <c r="D372" s="1" t="s">
        <v>23</v>
      </c>
      <c r="E372" s="1" t="s">
        <v>24</v>
      </c>
      <c r="F372" s="1" t="s">
        <v>25</v>
      </c>
      <c r="G372" s="1" t="s">
        <v>19</v>
      </c>
      <c r="H372" s="1" t="s">
        <v>20</v>
      </c>
      <c r="I372" s="2">
        <v>45750</v>
      </c>
      <c r="J372">
        <v>4609</v>
      </c>
      <c r="K372" s="2">
        <v>45860</v>
      </c>
      <c r="L372">
        <v>25230</v>
      </c>
      <c r="M372">
        <v>29839</v>
      </c>
      <c r="N372">
        <v>0</v>
      </c>
    </row>
    <row r="373" spans="1:14" x14ac:dyDescent="0.3">
      <c r="A373" s="1" t="s">
        <v>418</v>
      </c>
      <c r="B373" s="1" t="s">
        <v>64</v>
      </c>
      <c r="C373">
        <v>52</v>
      </c>
      <c r="D373" s="1" t="s">
        <v>23</v>
      </c>
      <c r="E373" s="1" t="s">
        <v>38</v>
      </c>
      <c r="F373" s="1" t="s">
        <v>18</v>
      </c>
      <c r="G373" s="1" t="s">
        <v>19</v>
      </c>
      <c r="H373" s="1" t="s">
        <v>20</v>
      </c>
      <c r="I373" s="2">
        <v>44710</v>
      </c>
      <c r="J373">
        <v>10721</v>
      </c>
      <c r="K373" s="2">
        <v>45835</v>
      </c>
      <c r="L373">
        <v>-9007</v>
      </c>
      <c r="M373">
        <v>1714</v>
      </c>
      <c r="N373">
        <v>0</v>
      </c>
    </row>
    <row r="374" spans="1:14" x14ac:dyDescent="0.3">
      <c r="A374" s="1" t="s">
        <v>419</v>
      </c>
      <c r="B374" s="1" t="s">
        <v>56</v>
      </c>
      <c r="C374">
        <v>66</v>
      </c>
      <c r="D374" s="1" t="s">
        <v>23</v>
      </c>
      <c r="E374" s="1" t="s">
        <v>24</v>
      </c>
      <c r="F374" s="1" t="s">
        <v>18</v>
      </c>
      <c r="G374" s="1" t="s">
        <v>41</v>
      </c>
      <c r="H374" s="1" t="s">
        <v>20</v>
      </c>
      <c r="I374" s="2">
        <v>44863</v>
      </c>
      <c r="J374">
        <v>4406</v>
      </c>
      <c r="K374" s="2">
        <v>45865</v>
      </c>
      <c r="L374">
        <v>-23099</v>
      </c>
      <c r="M374">
        <v>-18693</v>
      </c>
      <c r="N374">
        <v>0</v>
      </c>
    </row>
    <row r="375" spans="1:14" x14ac:dyDescent="0.3">
      <c r="A375" s="1" t="s">
        <v>420</v>
      </c>
      <c r="B375" s="1" t="s">
        <v>87</v>
      </c>
      <c r="C375">
        <v>34</v>
      </c>
      <c r="D375" s="1" t="s">
        <v>30</v>
      </c>
      <c r="E375" s="1" t="s">
        <v>24</v>
      </c>
      <c r="F375" s="1" t="s">
        <v>25</v>
      </c>
      <c r="G375" s="1" t="s">
        <v>41</v>
      </c>
      <c r="H375" s="1" t="s">
        <v>20</v>
      </c>
      <c r="I375" s="2">
        <v>45367</v>
      </c>
      <c r="J375">
        <v>10241</v>
      </c>
      <c r="K375" s="2">
        <v>45863</v>
      </c>
      <c r="L375">
        <v>10062</v>
      </c>
      <c r="M375">
        <v>20303</v>
      </c>
      <c r="N375">
        <v>0</v>
      </c>
    </row>
    <row r="376" spans="1:14" x14ac:dyDescent="0.3">
      <c r="A376" s="1" t="s">
        <v>421</v>
      </c>
      <c r="B376" s="1" t="s">
        <v>52</v>
      </c>
      <c r="C376">
        <v>61</v>
      </c>
      <c r="D376" s="1" t="s">
        <v>23</v>
      </c>
      <c r="E376" s="1" t="s">
        <v>35</v>
      </c>
      <c r="F376" s="1" t="s">
        <v>18</v>
      </c>
      <c r="G376" s="1" t="s">
        <v>19</v>
      </c>
      <c r="H376" s="1" t="s">
        <v>20</v>
      </c>
      <c r="I376" s="2">
        <v>44687</v>
      </c>
      <c r="J376">
        <v>42119</v>
      </c>
      <c r="K376" s="2">
        <v>45864</v>
      </c>
      <c r="L376">
        <v>33322</v>
      </c>
      <c r="M376">
        <v>75441</v>
      </c>
      <c r="N376">
        <v>0</v>
      </c>
    </row>
    <row r="377" spans="1:14" x14ac:dyDescent="0.3">
      <c r="A377" s="1" t="s">
        <v>422</v>
      </c>
      <c r="B377" s="1" t="s">
        <v>79</v>
      </c>
      <c r="C377">
        <v>45</v>
      </c>
      <c r="D377" s="1" t="s">
        <v>23</v>
      </c>
      <c r="E377" s="1" t="s">
        <v>17</v>
      </c>
      <c r="F377" s="1" t="s">
        <v>18</v>
      </c>
      <c r="G377" s="1" t="s">
        <v>19</v>
      </c>
      <c r="H377" s="1" t="s">
        <v>20</v>
      </c>
      <c r="I377" s="2">
        <v>45567</v>
      </c>
      <c r="J377">
        <v>25115</v>
      </c>
      <c r="K377" s="2">
        <v>45869</v>
      </c>
      <c r="L377">
        <v>-10458</v>
      </c>
      <c r="M377">
        <v>14657</v>
      </c>
      <c r="N377">
        <v>0</v>
      </c>
    </row>
    <row r="378" spans="1:14" x14ac:dyDescent="0.3">
      <c r="A378" s="1" t="s">
        <v>423</v>
      </c>
      <c r="B378" s="1" t="s">
        <v>52</v>
      </c>
      <c r="C378">
        <v>47</v>
      </c>
      <c r="D378" s="1" t="s">
        <v>16</v>
      </c>
      <c r="E378" s="1" t="s">
        <v>24</v>
      </c>
      <c r="F378" s="1" t="s">
        <v>25</v>
      </c>
      <c r="G378" s="1" t="s">
        <v>19</v>
      </c>
      <c r="H378" s="1" t="s">
        <v>20</v>
      </c>
      <c r="I378" s="2">
        <v>44314</v>
      </c>
      <c r="J378">
        <v>90559</v>
      </c>
      <c r="K378" s="2">
        <v>45859</v>
      </c>
      <c r="L378">
        <v>10890</v>
      </c>
      <c r="M378">
        <v>101449</v>
      </c>
      <c r="N378">
        <v>0</v>
      </c>
    </row>
    <row r="379" spans="1:14" x14ac:dyDescent="0.3">
      <c r="A379" s="1" t="s">
        <v>424</v>
      </c>
      <c r="B379" s="1" t="s">
        <v>29</v>
      </c>
      <c r="C379">
        <v>46</v>
      </c>
      <c r="D379" s="1" t="s">
        <v>23</v>
      </c>
      <c r="E379" s="1" t="s">
        <v>24</v>
      </c>
      <c r="F379" s="1" t="s">
        <v>18</v>
      </c>
      <c r="G379" s="1" t="s">
        <v>19</v>
      </c>
      <c r="H379" s="1" t="s">
        <v>20</v>
      </c>
      <c r="I379" s="2">
        <v>45520</v>
      </c>
      <c r="J379">
        <v>22615</v>
      </c>
      <c r="K379" s="2">
        <v>45844</v>
      </c>
      <c r="L379">
        <v>10551</v>
      </c>
      <c r="M379">
        <v>33166</v>
      </c>
      <c r="N379">
        <v>0</v>
      </c>
    </row>
    <row r="380" spans="1:14" x14ac:dyDescent="0.3">
      <c r="A380" s="1" t="s">
        <v>425</v>
      </c>
      <c r="B380" s="1" t="s">
        <v>52</v>
      </c>
      <c r="C380">
        <v>63</v>
      </c>
      <c r="D380" s="1" t="s">
        <v>30</v>
      </c>
      <c r="E380" s="1" t="s">
        <v>24</v>
      </c>
      <c r="F380" s="1" t="s">
        <v>25</v>
      </c>
      <c r="G380" s="1" t="s">
        <v>19</v>
      </c>
      <c r="H380" s="1" t="s">
        <v>20</v>
      </c>
      <c r="I380" s="2">
        <v>45203</v>
      </c>
      <c r="J380">
        <v>15907</v>
      </c>
      <c r="K380" s="2">
        <v>45860</v>
      </c>
      <c r="L380">
        <v>-11574</v>
      </c>
      <c r="M380">
        <v>4333</v>
      </c>
      <c r="N380">
        <v>0</v>
      </c>
    </row>
    <row r="381" spans="1:14" x14ac:dyDescent="0.3">
      <c r="A381" s="1" t="s">
        <v>426</v>
      </c>
      <c r="B381" s="1" t="s">
        <v>52</v>
      </c>
      <c r="C381">
        <v>23</v>
      </c>
      <c r="D381" s="1" t="s">
        <v>16</v>
      </c>
      <c r="E381" s="1" t="s">
        <v>24</v>
      </c>
      <c r="F381" s="1" t="s">
        <v>18</v>
      </c>
      <c r="G381" s="1" t="s">
        <v>19</v>
      </c>
      <c r="H381" s="1" t="s">
        <v>20</v>
      </c>
      <c r="I381" s="2">
        <v>45155</v>
      </c>
      <c r="J381">
        <v>23223</v>
      </c>
      <c r="K381" s="2">
        <v>45860</v>
      </c>
      <c r="L381">
        <v>8901</v>
      </c>
      <c r="M381">
        <v>32124</v>
      </c>
      <c r="N381">
        <v>0</v>
      </c>
    </row>
    <row r="382" spans="1:14" x14ac:dyDescent="0.3">
      <c r="A382" s="1" t="s">
        <v>427</v>
      </c>
      <c r="B382" s="1" t="s">
        <v>69</v>
      </c>
      <c r="C382">
        <v>52</v>
      </c>
      <c r="D382" s="1" t="s">
        <v>16</v>
      </c>
      <c r="E382" s="1" t="s">
        <v>38</v>
      </c>
      <c r="F382" s="1" t="s">
        <v>25</v>
      </c>
      <c r="G382" s="1" t="s">
        <v>19</v>
      </c>
      <c r="H382" s="1" t="s">
        <v>20</v>
      </c>
      <c r="I382" s="2">
        <v>44963</v>
      </c>
      <c r="J382">
        <v>6150</v>
      </c>
      <c r="K382" s="2">
        <v>45866</v>
      </c>
      <c r="L382">
        <v>973</v>
      </c>
      <c r="M382">
        <v>7123</v>
      </c>
      <c r="N382">
        <v>0</v>
      </c>
    </row>
    <row r="383" spans="1:14" x14ac:dyDescent="0.3">
      <c r="A383" s="1" t="s">
        <v>428</v>
      </c>
      <c r="B383" s="1" t="s">
        <v>59</v>
      </c>
      <c r="C383">
        <v>58</v>
      </c>
      <c r="D383" s="1" t="s">
        <v>23</v>
      </c>
      <c r="E383" s="1" t="s">
        <v>24</v>
      </c>
      <c r="F383" s="1" t="s">
        <v>25</v>
      </c>
      <c r="G383" s="1" t="s">
        <v>19</v>
      </c>
      <c r="H383" s="1" t="s">
        <v>20</v>
      </c>
      <c r="I383" s="2">
        <v>44660</v>
      </c>
      <c r="J383">
        <v>1659</v>
      </c>
      <c r="K383" s="2">
        <v>45858</v>
      </c>
      <c r="L383">
        <v>-16650</v>
      </c>
      <c r="M383">
        <v>-14991</v>
      </c>
      <c r="N383">
        <v>0</v>
      </c>
    </row>
    <row r="384" spans="1:14" x14ac:dyDescent="0.3">
      <c r="A384" s="1" t="s">
        <v>429</v>
      </c>
      <c r="B384" s="1" t="s">
        <v>69</v>
      </c>
      <c r="C384">
        <v>54</v>
      </c>
      <c r="D384" s="1" t="s">
        <v>23</v>
      </c>
      <c r="E384" s="1" t="s">
        <v>24</v>
      </c>
      <c r="F384" s="1" t="s">
        <v>18</v>
      </c>
      <c r="G384" s="1" t="s">
        <v>19</v>
      </c>
      <c r="H384" s="1" t="s">
        <v>20</v>
      </c>
      <c r="I384" s="2">
        <v>44973</v>
      </c>
      <c r="J384">
        <v>29619</v>
      </c>
      <c r="K384" s="2">
        <v>45789</v>
      </c>
      <c r="L384">
        <v>6453</v>
      </c>
      <c r="M384">
        <v>36072</v>
      </c>
      <c r="N384">
        <v>0</v>
      </c>
    </row>
    <row r="385" spans="1:14" x14ac:dyDescent="0.3">
      <c r="A385" s="1" t="s">
        <v>430</v>
      </c>
      <c r="B385" s="1" t="s">
        <v>56</v>
      </c>
      <c r="C385">
        <v>41</v>
      </c>
      <c r="D385" s="1" t="s">
        <v>23</v>
      </c>
      <c r="E385" s="1" t="s">
        <v>17</v>
      </c>
      <c r="F385" s="1" t="s">
        <v>18</v>
      </c>
      <c r="G385" s="1" t="s">
        <v>19</v>
      </c>
      <c r="H385" s="1" t="s">
        <v>49</v>
      </c>
      <c r="I385" s="2">
        <v>44949</v>
      </c>
      <c r="J385">
        <v>2219</v>
      </c>
      <c r="K385" s="2">
        <v>45860</v>
      </c>
      <c r="L385">
        <v>10614</v>
      </c>
      <c r="M385">
        <v>12833</v>
      </c>
      <c r="N385">
        <v>0</v>
      </c>
    </row>
    <row r="386" spans="1:14" x14ac:dyDescent="0.3">
      <c r="A386" s="1" t="s">
        <v>431</v>
      </c>
      <c r="B386" s="1" t="s">
        <v>15</v>
      </c>
      <c r="C386">
        <v>46</v>
      </c>
      <c r="D386" s="1" t="s">
        <v>16</v>
      </c>
      <c r="E386" s="1" t="s">
        <v>24</v>
      </c>
      <c r="F386" s="1" t="s">
        <v>25</v>
      </c>
      <c r="G386" s="1" t="s">
        <v>19</v>
      </c>
      <c r="H386" s="1" t="s">
        <v>49</v>
      </c>
      <c r="I386" s="2">
        <v>45173</v>
      </c>
      <c r="J386">
        <v>41011</v>
      </c>
      <c r="K386" s="2">
        <v>45858</v>
      </c>
      <c r="L386">
        <v>29186</v>
      </c>
      <c r="M386">
        <v>70197</v>
      </c>
      <c r="N386">
        <v>0</v>
      </c>
    </row>
    <row r="387" spans="1:14" x14ac:dyDescent="0.3">
      <c r="A387" s="1" t="s">
        <v>432</v>
      </c>
      <c r="B387" s="1" t="s">
        <v>61</v>
      </c>
      <c r="C387">
        <v>66</v>
      </c>
      <c r="D387" s="1" t="s">
        <v>23</v>
      </c>
      <c r="E387" s="1" t="s">
        <v>17</v>
      </c>
      <c r="F387" s="1" t="s">
        <v>25</v>
      </c>
      <c r="G387" s="1" t="s">
        <v>19</v>
      </c>
      <c r="H387" s="1" t="s">
        <v>20</v>
      </c>
      <c r="I387" s="2">
        <v>44668</v>
      </c>
      <c r="J387">
        <v>28306</v>
      </c>
      <c r="K387" s="2">
        <v>45849</v>
      </c>
      <c r="L387">
        <v>29350</v>
      </c>
      <c r="M387">
        <v>57656</v>
      </c>
      <c r="N387">
        <v>0</v>
      </c>
    </row>
    <row r="388" spans="1:14" x14ac:dyDescent="0.3">
      <c r="A388" s="1" t="s">
        <v>433</v>
      </c>
      <c r="B388" s="1" t="s">
        <v>48</v>
      </c>
      <c r="C388">
        <v>63</v>
      </c>
      <c r="D388" s="1" t="s">
        <v>23</v>
      </c>
      <c r="E388" s="1" t="s">
        <v>24</v>
      </c>
      <c r="F388" s="1" t="s">
        <v>25</v>
      </c>
      <c r="G388" s="1" t="s">
        <v>19</v>
      </c>
      <c r="H388" s="1" t="s">
        <v>20</v>
      </c>
      <c r="I388" s="2">
        <v>44326</v>
      </c>
      <c r="J388">
        <v>5713</v>
      </c>
      <c r="K388" s="2">
        <v>45866</v>
      </c>
      <c r="L388">
        <v>12597</v>
      </c>
      <c r="M388">
        <v>18310</v>
      </c>
      <c r="N388">
        <v>0</v>
      </c>
    </row>
    <row r="389" spans="1:14" x14ac:dyDescent="0.3">
      <c r="A389" s="1" t="s">
        <v>434</v>
      </c>
      <c r="B389" s="1" t="s">
        <v>71</v>
      </c>
      <c r="C389">
        <v>48</v>
      </c>
      <c r="D389" s="1" t="s">
        <v>30</v>
      </c>
      <c r="E389" s="1" t="s">
        <v>24</v>
      </c>
      <c r="F389" s="1" t="s">
        <v>25</v>
      </c>
      <c r="G389" s="1" t="s">
        <v>41</v>
      </c>
      <c r="H389" s="1" t="s">
        <v>20</v>
      </c>
      <c r="I389" s="2">
        <v>44439</v>
      </c>
      <c r="J389">
        <v>8638</v>
      </c>
      <c r="K389" s="2">
        <v>45850</v>
      </c>
      <c r="L389">
        <v>11086</v>
      </c>
      <c r="M389">
        <v>19724</v>
      </c>
      <c r="N389">
        <v>0</v>
      </c>
    </row>
    <row r="390" spans="1:14" x14ac:dyDescent="0.3">
      <c r="A390" s="1" t="s">
        <v>435</v>
      </c>
      <c r="B390" s="1" t="s">
        <v>43</v>
      </c>
      <c r="C390">
        <v>52</v>
      </c>
      <c r="D390" s="1" t="s">
        <v>16</v>
      </c>
      <c r="E390" s="1" t="s">
        <v>17</v>
      </c>
      <c r="F390" s="1" t="s">
        <v>18</v>
      </c>
      <c r="G390" s="1" t="s">
        <v>19</v>
      </c>
      <c r="H390" s="1" t="s">
        <v>20</v>
      </c>
      <c r="I390" s="2">
        <v>45366</v>
      </c>
      <c r="J390">
        <v>13206</v>
      </c>
      <c r="K390" s="2">
        <v>45837</v>
      </c>
      <c r="L390">
        <v>13161</v>
      </c>
      <c r="M390">
        <v>26367</v>
      </c>
      <c r="N390">
        <v>0</v>
      </c>
    </row>
    <row r="391" spans="1:14" x14ac:dyDescent="0.3">
      <c r="A391" s="1" t="s">
        <v>436</v>
      </c>
      <c r="B391" s="1" t="s">
        <v>32</v>
      </c>
      <c r="C391">
        <v>50</v>
      </c>
      <c r="D391" s="1" t="s">
        <v>23</v>
      </c>
      <c r="E391" s="1" t="s">
        <v>24</v>
      </c>
      <c r="F391" s="1" t="s">
        <v>18</v>
      </c>
      <c r="G391" s="1" t="s">
        <v>41</v>
      </c>
      <c r="H391" s="1" t="s">
        <v>20</v>
      </c>
      <c r="I391" s="2">
        <v>44234</v>
      </c>
      <c r="J391">
        <v>5313</v>
      </c>
      <c r="K391" s="2">
        <v>45863</v>
      </c>
      <c r="L391">
        <v>2128</v>
      </c>
      <c r="M391">
        <v>7441</v>
      </c>
      <c r="N391">
        <v>0</v>
      </c>
    </row>
    <row r="392" spans="1:14" x14ac:dyDescent="0.3">
      <c r="A392" s="1" t="s">
        <v>437</v>
      </c>
      <c r="B392" s="1" t="s">
        <v>29</v>
      </c>
      <c r="C392">
        <v>69</v>
      </c>
      <c r="D392" s="1" t="s">
        <v>23</v>
      </c>
      <c r="E392" s="1" t="s">
        <v>17</v>
      </c>
      <c r="F392" s="1" t="s">
        <v>25</v>
      </c>
      <c r="G392" s="1" t="s">
        <v>41</v>
      </c>
      <c r="H392" s="1" t="s">
        <v>20</v>
      </c>
      <c r="I392" s="2">
        <v>45629</v>
      </c>
      <c r="J392">
        <v>22937</v>
      </c>
      <c r="K392" s="2">
        <v>45864</v>
      </c>
      <c r="L392">
        <v>1701</v>
      </c>
      <c r="M392">
        <v>24638</v>
      </c>
      <c r="N392">
        <v>0</v>
      </c>
    </row>
    <row r="393" spans="1:14" x14ac:dyDescent="0.3">
      <c r="A393" s="1" t="s">
        <v>438</v>
      </c>
      <c r="B393" s="1" t="s">
        <v>27</v>
      </c>
      <c r="C393">
        <v>38</v>
      </c>
      <c r="D393" s="1" t="s">
        <v>30</v>
      </c>
      <c r="E393" s="1" t="s">
        <v>35</v>
      </c>
      <c r="F393" s="1" t="s">
        <v>18</v>
      </c>
      <c r="G393" s="1" t="s">
        <v>19</v>
      </c>
      <c r="H393" s="1" t="s">
        <v>20</v>
      </c>
      <c r="I393" s="2">
        <v>45358</v>
      </c>
      <c r="J393">
        <v>25051</v>
      </c>
      <c r="K393" s="2">
        <v>45856</v>
      </c>
      <c r="L393">
        <v>17450</v>
      </c>
      <c r="M393">
        <v>42501</v>
      </c>
      <c r="N393">
        <v>0</v>
      </c>
    </row>
    <row r="394" spans="1:14" x14ac:dyDescent="0.3">
      <c r="A394" s="1" t="s">
        <v>439</v>
      </c>
      <c r="B394" s="1" t="s">
        <v>64</v>
      </c>
      <c r="C394">
        <v>49</v>
      </c>
      <c r="D394" s="1" t="s">
        <v>23</v>
      </c>
      <c r="E394" s="1" t="s">
        <v>35</v>
      </c>
      <c r="F394" s="1" t="s">
        <v>18</v>
      </c>
      <c r="G394" s="1" t="s">
        <v>19</v>
      </c>
      <c r="H394" s="1" t="s">
        <v>20</v>
      </c>
      <c r="I394" s="2">
        <v>45482</v>
      </c>
      <c r="J394">
        <v>3156</v>
      </c>
      <c r="K394" s="2">
        <v>45856</v>
      </c>
      <c r="L394">
        <v>21474</v>
      </c>
      <c r="M394">
        <v>24630</v>
      </c>
      <c r="N394">
        <v>0</v>
      </c>
    </row>
    <row r="395" spans="1:14" x14ac:dyDescent="0.3">
      <c r="A395" s="1" t="s">
        <v>440</v>
      </c>
      <c r="B395" s="1" t="s">
        <v>15</v>
      </c>
      <c r="C395">
        <v>40</v>
      </c>
      <c r="D395" s="1" t="s">
        <v>16</v>
      </c>
      <c r="E395" s="1" t="s">
        <v>24</v>
      </c>
      <c r="F395" s="1" t="s">
        <v>18</v>
      </c>
      <c r="G395" s="1" t="s">
        <v>19</v>
      </c>
      <c r="H395" s="1" t="s">
        <v>20</v>
      </c>
      <c r="I395" s="2">
        <v>45595</v>
      </c>
      <c r="J395">
        <v>5866</v>
      </c>
      <c r="K395" s="2">
        <v>45858</v>
      </c>
      <c r="L395">
        <v>5789</v>
      </c>
      <c r="M395">
        <v>11655</v>
      </c>
      <c r="N395">
        <v>0</v>
      </c>
    </row>
    <row r="396" spans="1:14" x14ac:dyDescent="0.3">
      <c r="A396" s="1" t="s">
        <v>441</v>
      </c>
      <c r="B396" s="1" t="s">
        <v>37</v>
      </c>
      <c r="C396">
        <v>50</v>
      </c>
      <c r="D396" s="1" t="s">
        <v>16</v>
      </c>
      <c r="E396" s="1" t="s">
        <v>35</v>
      </c>
      <c r="F396" s="1" t="s">
        <v>18</v>
      </c>
      <c r="G396" s="1" t="s">
        <v>41</v>
      </c>
      <c r="H396" s="1" t="s">
        <v>20</v>
      </c>
      <c r="I396" s="2">
        <v>44402</v>
      </c>
      <c r="J396">
        <v>12877</v>
      </c>
      <c r="K396" s="2">
        <v>45867</v>
      </c>
      <c r="L396">
        <v>6296</v>
      </c>
      <c r="M396">
        <v>19173</v>
      </c>
      <c r="N396">
        <v>0</v>
      </c>
    </row>
    <row r="397" spans="1:14" x14ac:dyDescent="0.3">
      <c r="A397" s="1" t="s">
        <v>442</v>
      </c>
      <c r="B397" s="1" t="s">
        <v>34</v>
      </c>
      <c r="C397">
        <v>20</v>
      </c>
      <c r="D397" s="1" t="s">
        <v>23</v>
      </c>
      <c r="E397" s="1" t="s">
        <v>38</v>
      </c>
      <c r="F397" s="1" t="s">
        <v>18</v>
      </c>
      <c r="G397" s="1" t="s">
        <v>41</v>
      </c>
      <c r="H397" s="1" t="s">
        <v>20</v>
      </c>
      <c r="I397" s="2">
        <v>45572</v>
      </c>
      <c r="J397">
        <v>41797</v>
      </c>
      <c r="K397" s="2">
        <v>45863</v>
      </c>
      <c r="L397">
        <v>274</v>
      </c>
      <c r="M397">
        <v>42071</v>
      </c>
      <c r="N397">
        <v>0</v>
      </c>
    </row>
    <row r="398" spans="1:14" x14ac:dyDescent="0.3">
      <c r="A398" s="1" t="s">
        <v>443</v>
      </c>
      <c r="B398" s="1" t="s">
        <v>79</v>
      </c>
      <c r="C398">
        <v>35</v>
      </c>
      <c r="D398" s="1" t="s">
        <v>16</v>
      </c>
      <c r="E398" s="1" t="s">
        <v>24</v>
      </c>
      <c r="F398" s="1" t="s">
        <v>25</v>
      </c>
      <c r="G398" s="1" t="s">
        <v>19</v>
      </c>
      <c r="H398" s="1" t="s">
        <v>20</v>
      </c>
      <c r="I398" s="2">
        <v>45041</v>
      </c>
      <c r="J398">
        <v>25650</v>
      </c>
      <c r="K398" s="2">
        <v>45869</v>
      </c>
      <c r="L398">
        <v>17620</v>
      </c>
      <c r="M398">
        <v>43270</v>
      </c>
      <c r="N398">
        <v>0</v>
      </c>
    </row>
    <row r="399" spans="1:14" x14ac:dyDescent="0.3">
      <c r="A399" s="1" t="s">
        <v>444</v>
      </c>
      <c r="B399" s="1" t="s">
        <v>37</v>
      </c>
      <c r="C399">
        <v>42</v>
      </c>
      <c r="D399" s="1" t="s">
        <v>23</v>
      </c>
      <c r="E399" s="1" t="s">
        <v>17</v>
      </c>
      <c r="F399" s="1" t="s">
        <v>18</v>
      </c>
      <c r="G399" s="1" t="s">
        <v>19</v>
      </c>
      <c r="H399" s="1" t="s">
        <v>20</v>
      </c>
      <c r="I399" s="2">
        <v>45678</v>
      </c>
      <c r="J399">
        <v>1299</v>
      </c>
      <c r="K399" s="2">
        <v>45821</v>
      </c>
      <c r="L399">
        <v>13041</v>
      </c>
      <c r="M399">
        <v>14340</v>
      </c>
      <c r="N399">
        <v>0</v>
      </c>
    </row>
    <row r="400" spans="1:14" x14ac:dyDescent="0.3">
      <c r="A400" s="1" t="s">
        <v>445</v>
      </c>
      <c r="B400" s="1" t="s">
        <v>87</v>
      </c>
      <c r="C400">
        <v>59</v>
      </c>
      <c r="D400" s="1" t="s">
        <v>23</v>
      </c>
      <c r="E400" s="1" t="s">
        <v>38</v>
      </c>
      <c r="F400" s="1" t="s">
        <v>18</v>
      </c>
      <c r="G400" s="1" t="s">
        <v>19</v>
      </c>
      <c r="H400" s="1" t="s">
        <v>20</v>
      </c>
      <c r="I400" s="2">
        <v>45680</v>
      </c>
      <c r="J400">
        <v>9977</v>
      </c>
      <c r="K400" s="2">
        <v>45866</v>
      </c>
      <c r="L400">
        <v>6692</v>
      </c>
      <c r="M400">
        <v>16669</v>
      </c>
      <c r="N400">
        <v>0</v>
      </c>
    </row>
    <row r="401" spans="1:14" x14ac:dyDescent="0.3">
      <c r="A401" s="1" t="s">
        <v>446</v>
      </c>
      <c r="B401" s="1" t="s">
        <v>56</v>
      </c>
      <c r="C401">
        <v>48</v>
      </c>
      <c r="D401" s="1" t="s">
        <v>16</v>
      </c>
      <c r="E401" s="1" t="s">
        <v>38</v>
      </c>
      <c r="F401" s="1" t="s">
        <v>25</v>
      </c>
      <c r="G401" s="1" t="s">
        <v>19</v>
      </c>
      <c r="H401" s="1" t="s">
        <v>20</v>
      </c>
      <c r="I401" s="2">
        <v>44237</v>
      </c>
      <c r="J401">
        <v>21433</v>
      </c>
      <c r="K401" s="2">
        <v>45812</v>
      </c>
      <c r="L401">
        <v>5316</v>
      </c>
      <c r="M401">
        <v>26749</v>
      </c>
      <c r="N401">
        <v>0</v>
      </c>
    </row>
    <row r="402" spans="1:14" x14ac:dyDescent="0.3">
      <c r="A402" s="1" t="s">
        <v>447</v>
      </c>
      <c r="B402" s="1" t="s">
        <v>48</v>
      </c>
      <c r="C402">
        <v>20</v>
      </c>
      <c r="D402" s="1" t="s">
        <v>16</v>
      </c>
      <c r="E402" s="1" t="s">
        <v>24</v>
      </c>
      <c r="F402" s="1" t="s">
        <v>25</v>
      </c>
      <c r="G402" s="1" t="s">
        <v>19</v>
      </c>
      <c r="H402" s="1" t="s">
        <v>20</v>
      </c>
      <c r="I402" s="2">
        <v>44837</v>
      </c>
      <c r="J402">
        <v>6003</v>
      </c>
      <c r="K402" s="2">
        <v>45861</v>
      </c>
      <c r="L402">
        <v>4387</v>
      </c>
      <c r="M402">
        <v>10390</v>
      </c>
      <c r="N402">
        <v>0</v>
      </c>
    </row>
    <row r="403" spans="1:14" x14ac:dyDescent="0.3">
      <c r="A403" s="1" t="s">
        <v>448</v>
      </c>
      <c r="B403" s="1" t="s">
        <v>37</v>
      </c>
      <c r="C403">
        <v>57</v>
      </c>
      <c r="D403" s="1" t="s">
        <v>16</v>
      </c>
      <c r="E403" s="1" t="s">
        <v>38</v>
      </c>
      <c r="F403" s="1" t="s">
        <v>18</v>
      </c>
      <c r="G403" s="1" t="s">
        <v>19</v>
      </c>
      <c r="H403" s="1" t="s">
        <v>20</v>
      </c>
      <c r="I403" s="2">
        <v>45077</v>
      </c>
      <c r="J403">
        <v>5556</v>
      </c>
      <c r="K403" s="2">
        <v>45860</v>
      </c>
      <c r="L403">
        <v>-7166</v>
      </c>
      <c r="M403">
        <v>-1610</v>
      </c>
      <c r="N403">
        <v>0</v>
      </c>
    </row>
    <row r="404" spans="1:14" x14ac:dyDescent="0.3">
      <c r="A404" s="1" t="s">
        <v>449</v>
      </c>
      <c r="B404" s="1" t="s">
        <v>48</v>
      </c>
      <c r="C404">
        <v>63</v>
      </c>
      <c r="D404" s="1" t="s">
        <v>16</v>
      </c>
      <c r="E404" s="1" t="s">
        <v>24</v>
      </c>
      <c r="F404" s="1" t="s">
        <v>18</v>
      </c>
      <c r="G404" s="1" t="s">
        <v>19</v>
      </c>
      <c r="H404" s="1" t="s">
        <v>49</v>
      </c>
      <c r="I404" s="2">
        <v>45331</v>
      </c>
      <c r="J404">
        <v>6330</v>
      </c>
      <c r="K404" s="2">
        <v>45863</v>
      </c>
      <c r="L404">
        <v>17677</v>
      </c>
      <c r="M404">
        <v>24007</v>
      </c>
      <c r="N404">
        <v>0</v>
      </c>
    </row>
    <row r="405" spans="1:14" x14ac:dyDescent="0.3">
      <c r="A405" s="1" t="s">
        <v>450</v>
      </c>
      <c r="B405" s="1" t="s">
        <v>75</v>
      </c>
      <c r="C405">
        <v>41</v>
      </c>
      <c r="D405" s="1" t="s">
        <v>23</v>
      </c>
      <c r="E405" s="1" t="s">
        <v>38</v>
      </c>
      <c r="F405" s="1" t="s">
        <v>25</v>
      </c>
      <c r="G405" s="1" t="s">
        <v>19</v>
      </c>
      <c r="H405" s="1" t="s">
        <v>20</v>
      </c>
      <c r="I405" s="2">
        <v>44675</v>
      </c>
      <c r="J405">
        <v>9818</v>
      </c>
      <c r="K405" s="2">
        <v>45869</v>
      </c>
      <c r="L405">
        <v>6449</v>
      </c>
      <c r="M405">
        <v>16267</v>
      </c>
      <c r="N405">
        <v>0</v>
      </c>
    </row>
    <row r="406" spans="1:14" x14ac:dyDescent="0.3">
      <c r="A406" s="1" t="s">
        <v>451</v>
      </c>
      <c r="B406" s="1" t="s">
        <v>56</v>
      </c>
      <c r="C406">
        <v>67</v>
      </c>
      <c r="D406" s="1" t="s">
        <v>23</v>
      </c>
      <c r="E406" s="1" t="s">
        <v>35</v>
      </c>
      <c r="F406" s="1" t="s">
        <v>25</v>
      </c>
      <c r="G406" s="1" t="s">
        <v>19</v>
      </c>
      <c r="H406" s="1" t="s">
        <v>20</v>
      </c>
      <c r="I406" s="2">
        <v>44618</v>
      </c>
      <c r="J406">
        <v>5019</v>
      </c>
      <c r="K406" s="2">
        <v>45856</v>
      </c>
      <c r="L406">
        <v>15282</v>
      </c>
      <c r="M406">
        <v>20301</v>
      </c>
      <c r="N406">
        <v>0</v>
      </c>
    </row>
    <row r="407" spans="1:14" x14ac:dyDescent="0.3">
      <c r="A407" s="1" t="s">
        <v>452</v>
      </c>
      <c r="B407" s="1" t="s">
        <v>32</v>
      </c>
      <c r="C407">
        <v>49</v>
      </c>
      <c r="D407" s="1" t="s">
        <v>23</v>
      </c>
      <c r="E407" s="1" t="s">
        <v>24</v>
      </c>
      <c r="F407" s="1" t="s">
        <v>25</v>
      </c>
      <c r="G407" s="1" t="s">
        <v>19</v>
      </c>
      <c r="H407" s="1" t="s">
        <v>20</v>
      </c>
      <c r="I407" s="2">
        <v>44834</v>
      </c>
      <c r="J407">
        <v>25846</v>
      </c>
      <c r="K407" s="2">
        <v>45855</v>
      </c>
      <c r="L407">
        <v>-15360</v>
      </c>
      <c r="M407">
        <v>10486</v>
      </c>
      <c r="N407">
        <v>0</v>
      </c>
    </row>
    <row r="408" spans="1:14" x14ac:dyDescent="0.3">
      <c r="A408" s="1" t="s">
        <v>453</v>
      </c>
      <c r="B408" s="1" t="s">
        <v>75</v>
      </c>
      <c r="C408">
        <v>64</v>
      </c>
      <c r="D408" s="1" t="s">
        <v>23</v>
      </c>
      <c r="E408" s="1" t="s">
        <v>38</v>
      </c>
      <c r="F408" s="1" t="s">
        <v>25</v>
      </c>
      <c r="G408" s="1" t="s">
        <v>41</v>
      </c>
      <c r="H408" s="1" t="s">
        <v>49</v>
      </c>
      <c r="I408" s="2">
        <v>45035</v>
      </c>
      <c r="J408">
        <v>5649</v>
      </c>
      <c r="K408" s="2">
        <v>45868</v>
      </c>
      <c r="L408">
        <v>23908</v>
      </c>
      <c r="M408">
        <v>29557</v>
      </c>
      <c r="N408">
        <v>0</v>
      </c>
    </row>
    <row r="409" spans="1:14" x14ac:dyDescent="0.3">
      <c r="A409" s="1" t="s">
        <v>454</v>
      </c>
      <c r="B409" s="1" t="s">
        <v>29</v>
      </c>
      <c r="C409">
        <v>39</v>
      </c>
      <c r="D409" s="1" t="s">
        <v>23</v>
      </c>
      <c r="E409" s="1" t="s">
        <v>24</v>
      </c>
      <c r="F409" s="1" t="s">
        <v>25</v>
      </c>
      <c r="G409" s="1" t="s">
        <v>19</v>
      </c>
      <c r="H409" s="1" t="s">
        <v>20</v>
      </c>
      <c r="I409" s="2">
        <v>45788</v>
      </c>
      <c r="J409">
        <v>4740</v>
      </c>
      <c r="K409" s="2">
        <v>45868</v>
      </c>
      <c r="L409">
        <v>26611</v>
      </c>
      <c r="M409">
        <v>31351</v>
      </c>
      <c r="N409">
        <v>0</v>
      </c>
    </row>
    <row r="410" spans="1:14" x14ac:dyDescent="0.3">
      <c r="A410" s="1" t="s">
        <v>455</v>
      </c>
      <c r="B410" s="1" t="s">
        <v>75</v>
      </c>
      <c r="C410">
        <v>40</v>
      </c>
      <c r="D410" s="1" t="s">
        <v>23</v>
      </c>
      <c r="E410" s="1" t="s">
        <v>38</v>
      </c>
      <c r="F410" s="1" t="s">
        <v>18</v>
      </c>
      <c r="G410" s="1" t="s">
        <v>19</v>
      </c>
      <c r="H410" s="1" t="s">
        <v>20</v>
      </c>
      <c r="I410" s="2">
        <v>45472</v>
      </c>
      <c r="J410">
        <v>8967</v>
      </c>
      <c r="K410" s="2">
        <v>45855</v>
      </c>
      <c r="L410">
        <v>38747</v>
      </c>
      <c r="M410">
        <v>47714</v>
      </c>
      <c r="N410">
        <v>0</v>
      </c>
    </row>
    <row r="411" spans="1:14" x14ac:dyDescent="0.3">
      <c r="A411" s="1" t="s">
        <v>456</v>
      </c>
      <c r="B411" s="1" t="s">
        <v>43</v>
      </c>
      <c r="C411">
        <v>19</v>
      </c>
      <c r="D411" s="1" t="s">
        <v>23</v>
      </c>
      <c r="E411" s="1" t="s">
        <v>38</v>
      </c>
      <c r="F411" s="1" t="s">
        <v>25</v>
      </c>
      <c r="G411" s="1" t="s">
        <v>19</v>
      </c>
      <c r="H411" s="1" t="s">
        <v>20</v>
      </c>
      <c r="I411" s="2">
        <v>44915</v>
      </c>
      <c r="J411">
        <v>58625</v>
      </c>
      <c r="K411" s="2">
        <v>45831</v>
      </c>
      <c r="L411">
        <v>528</v>
      </c>
      <c r="M411">
        <v>59153</v>
      </c>
      <c r="N411">
        <v>0</v>
      </c>
    </row>
    <row r="412" spans="1:14" x14ac:dyDescent="0.3">
      <c r="A412" s="1" t="s">
        <v>457</v>
      </c>
      <c r="B412" s="1" t="s">
        <v>43</v>
      </c>
      <c r="C412">
        <v>44</v>
      </c>
      <c r="D412" s="1" t="s">
        <v>23</v>
      </c>
      <c r="E412" s="1" t="s">
        <v>17</v>
      </c>
      <c r="F412" s="1" t="s">
        <v>18</v>
      </c>
      <c r="G412" s="1" t="s">
        <v>19</v>
      </c>
      <c r="H412" s="1" t="s">
        <v>20</v>
      </c>
      <c r="I412" s="2">
        <v>44287</v>
      </c>
      <c r="J412">
        <v>22590</v>
      </c>
      <c r="K412" s="2">
        <v>45627</v>
      </c>
      <c r="L412">
        <v>12886</v>
      </c>
      <c r="M412">
        <v>35476</v>
      </c>
      <c r="N412">
        <v>1</v>
      </c>
    </row>
    <row r="413" spans="1:14" x14ac:dyDescent="0.3">
      <c r="A413" s="1" t="s">
        <v>458</v>
      </c>
      <c r="B413" s="1" t="s">
        <v>71</v>
      </c>
      <c r="C413">
        <v>59</v>
      </c>
      <c r="D413" s="1" t="s">
        <v>16</v>
      </c>
      <c r="E413" s="1" t="s">
        <v>24</v>
      </c>
      <c r="F413" s="1" t="s">
        <v>25</v>
      </c>
      <c r="G413" s="1" t="s">
        <v>19</v>
      </c>
      <c r="H413" s="1" t="s">
        <v>20</v>
      </c>
      <c r="I413" s="2">
        <v>44478</v>
      </c>
      <c r="J413">
        <v>24073</v>
      </c>
      <c r="K413" s="2">
        <v>45789</v>
      </c>
      <c r="L413">
        <v>-680</v>
      </c>
      <c r="M413">
        <v>23393</v>
      </c>
      <c r="N413">
        <v>0</v>
      </c>
    </row>
    <row r="414" spans="1:14" x14ac:dyDescent="0.3">
      <c r="A414" s="1" t="s">
        <v>459</v>
      </c>
      <c r="B414" s="1" t="s">
        <v>34</v>
      </c>
      <c r="C414">
        <v>19</v>
      </c>
      <c r="D414" s="1" t="s">
        <v>16</v>
      </c>
      <c r="E414" s="1" t="s">
        <v>17</v>
      </c>
      <c r="F414" s="1" t="s">
        <v>25</v>
      </c>
      <c r="G414" s="1" t="s">
        <v>19</v>
      </c>
      <c r="H414" s="1" t="s">
        <v>20</v>
      </c>
      <c r="I414" s="2">
        <v>44959</v>
      </c>
      <c r="J414">
        <v>17788</v>
      </c>
      <c r="K414" s="2">
        <v>45867</v>
      </c>
      <c r="L414">
        <v>23783</v>
      </c>
      <c r="M414">
        <v>41571</v>
      </c>
      <c r="N414">
        <v>0</v>
      </c>
    </row>
    <row r="415" spans="1:14" x14ac:dyDescent="0.3">
      <c r="A415" s="1" t="s">
        <v>460</v>
      </c>
      <c r="B415" s="1" t="s">
        <v>29</v>
      </c>
      <c r="C415">
        <v>43</v>
      </c>
      <c r="D415" s="1" t="s">
        <v>23</v>
      </c>
      <c r="E415" s="1" t="s">
        <v>38</v>
      </c>
      <c r="F415" s="1" t="s">
        <v>18</v>
      </c>
      <c r="G415" s="1" t="s">
        <v>19</v>
      </c>
      <c r="H415" s="1" t="s">
        <v>20</v>
      </c>
      <c r="I415" s="2">
        <v>45558</v>
      </c>
      <c r="J415">
        <v>5182</v>
      </c>
      <c r="K415" s="2">
        <v>45861</v>
      </c>
      <c r="L415">
        <v>4230</v>
      </c>
      <c r="M415">
        <v>9412</v>
      </c>
      <c r="N415">
        <v>0</v>
      </c>
    </row>
    <row r="416" spans="1:14" x14ac:dyDescent="0.3">
      <c r="A416" s="1" t="s">
        <v>461</v>
      </c>
      <c r="B416" s="1" t="s">
        <v>34</v>
      </c>
      <c r="C416">
        <v>34</v>
      </c>
      <c r="D416" s="1" t="s">
        <v>16</v>
      </c>
      <c r="E416" s="1" t="s">
        <v>24</v>
      </c>
      <c r="F416" s="1" t="s">
        <v>18</v>
      </c>
      <c r="G416" s="1" t="s">
        <v>19</v>
      </c>
      <c r="H416" s="1" t="s">
        <v>20</v>
      </c>
      <c r="I416" s="2">
        <v>44833</v>
      </c>
      <c r="J416">
        <v>7044</v>
      </c>
      <c r="K416" s="2">
        <v>45844</v>
      </c>
      <c r="L416">
        <v>-17010</v>
      </c>
      <c r="M416">
        <v>-9966</v>
      </c>
      <c r="N416">
        <v>0</v>
      </c>
    </row>
    <row r="417" spans="1:14" x14ac:dyDescent="0.3">
      <c r="A417" s="1" t="s">
        <v>462</v>
      </c>
      <c r="B417" s="1" t="s">
        <v>59</v>
      </c>
      <c r="C417">
        <v>57</v>
      </c>
      <c r="D417" s="1" t="s">
        <v>16</v>
      </c>
      <c r="E417" s="1" t="s">
        <v>38</v>
      </c>
      <c r="F417" s="1" t="s">
        <v>18</v>
      </c>
      <c r="G417" s="1" t="s">
        <v>19</v>
      </c>
      <c r="H417" s="1" t="s">
        <v>20</v>
      </c>
      <c r="I417" s="2">
        <v>45097</v>
      </c>
      <c r="J417">
        <v>5943</v>
      </c>
      <c r="K417" s="2">
        <v>45859</v>
      </c>
      <c r="L417">
        <v>28120</v>
      </c>
      <c r="M417">
        <v>34063</v>
      </c>
      <c r="N417">
        <v>0</v>
      </c>
    </row>
    <row r="418" spans="1:14" x14ac:dyDescent="0.3">
      <c r="A418" s="1" t="s">
        <v>463</v>
      </c>
      <c r="B418" s="1" t="s">
        <v>32</v>
      </c>
      <c r="C418">
        <v>50</v>
      </c>
      <c r="D418" s="1" t="s">
        <v>23</v>
      </c>
      <c r="E418" s="1" t="s">
        <v>17</v>
      </c>
      <c r="F418" s="1" t="s">
        <v>18</v>
      </c>
      <c r="G418" s="1" t="s">
        <v>19</v>
      </c>
      <c r="H418" s="1" t="s">
        <v>20</v>
      </c>
      <c r="I418" s="2">
        <v>45688</v>
      </c>
      <c r="J418">
        <v>39798</v>
      </c>
      <c r="K418" s="2">
        <v>45866</v>
      </c>
      <c r="L418">
        <v>11064</v>
      </c>
      <c r="M418">
        <v>50862</v>
      </c>
      <c r="N418">
        <v>0</v>
      </c>
    </row>
    <row r="419" spans="1:14" x14ac:dyDescent="0.3">
      <c r="A419" s="1" t="s">
        <v>464</v>
      </c>
      <c r="B419" s="1" t="s">
        <v>43</v>
      </c>
      <c r="C419">
        <v>26</v>
      </c>
      <c r="D419" s="1" t="s">
        <v>16</v>
      </c>
      <c r="E419" s="1" t="s">
        <v>24</v>
      </c>
      <c r="F419" s="1" t="s">
        <v>25</v>
      </c>
      <c r="G419" s="1" t="s">
        <v>19</v>
      </c>
      <c r="H419" s="1" t="s">
        <v>20</v>
      </c>
      <c r="I419" s="2">
        <v>45725</v>
      </c>
      <c r="J419">
        <v>17950</v>
      </c>
      <c r="K419" s="2">
        <v>45864</v>
      </c>
      <c r="L419">
        <v>20503</v>
      </c>
      <c r="M419">
        <v>38453</v>
      </c>
      <c r="N419">
        <v>0</v>
      </c>
    </row>
    <row r="420" spans="1:14" x14ac:dyDescent="0.3">
      <c r="A420" s="1" t="s">
        <v>465</v>
      </c>
      <c r="B420" s="1" t="s">
        <v>75</v>
      </c>
      <c r="C420">
        <v>60</v>
      </c>
      <c r="D420" s="1" t="s">
        <v>16</v>
      </c>
      <c r="E420" s="1" t="s">
        <v>24</v>
      </c>
      <c r="F420" s="1" t="s">
        <v>18</v>
      </c>
      <c r="G420" s="1" t="s">
        <v>19</v>
      </c>
      <c r="H420" s="1" t="s">
        <v>20</v>
      </c>
      <c r="I420" s="2">
        <v>44557</v>
      </c>
      <c r="J420">
        <v>2522</v>
      </c>
      <c r="K420" s="2">
        <v>45730</v>
      </c>
      <c r="L420">
        <v>19943</v>
      </c>
      <c r="M420">
        <v>22465</v>
      </c>
      <c r="N420">
        <v>0</v>
      </c>
    </row>
    <row r="421" spans="1:14" x14ac:dyDescent="0.3">
      <c r="A421" s="1" t="s">
        <v>466</v>
      </c>
      <c r="B421" s="1" t="s">
        <v>37</v>
      </c>
      <c r="C421">
        <v>65</v>
      </c>
      <c r="D421" s="1" t="s">
        <v>16</v>
      </c>
      <c r="E421" s="1" t="s">
        <v>38</v>
      </c>
      <c r="F421" s="1" t="s">
        <v>25</v>
      </c>
      <c r="G421" s="1" t="s">
        <v>19</v>
      </c>
      <c r="H421" s="1" t="s">
        <v>20</v>
      </c>
      <c r="I421" s="2">
        <v>44269</v>
      </c>
      <c r="J421">
        <v>57105</v>
      </c>
      <c r="K421" s="2">
        <v>45749</v>
      </c>
      <c r="L421">
        <v>-8950</v>
      </c>
      <c r="M421">
        <v>48155</v>
      </c>
      <c r="N421">
        <v>0</v>
      </c>
    </row>
    <row r="422" spans="1:14" x14ac:dyDescent="0.3">
      <c r="A422" s="1" t="s">
        <v>467</v>
      </c>
      <c r="B422" s="1" t="s">
        <v>43</v>
      </c>
      <c r="C422">
        <v>56</v>
      </c>
      <c r="D422" s="1" t="s">
        <v>23</v>
      </c>
      <c r="E422" s="1" t="s">
        <v>35</v>
      </c>
      <c r="F422" s="1" t="s">
        <v>18</v>
      </c>
      <c r="G422" s="1" t="s">
        <v>19</v>
      </c>
      <c r="H422" s="1" t="s">
        <v>20</v>
      </c>
      <c r="I422" s="2">
        <v>44707</v>
      </c>
      <c r="J422">
        <v>9586</v>
      </c>
      <c r="K422" s="2">
        <v>45837</v>
      </c>
      <c r="L422">
        <v>9446</v>
      </c>
      <c r="M422">
        <v>19032</v>
      </c>
      <c r="N422">
        <v>0</v>
      </c>
    </row>
    <row r="423" spans="1:14" x14ac:dyDescent="0.3">
      <c r="A423" s="1" t="s">
        <v>468</v>
      </c>
      <c r="B423" s="1" t="s">
        <v>22</v>
      </c>
      <c r="C423">
        <v>46</v>
      </c>
      <c r="D423" s="1" t="s">
        <v>16</v>
      </c>
      <c r="E423" s="1" t="s">
        <v>35</v>
      </c>
      <c r="F423" s="1" t="s">
        <v>25</v>
      </c>
      <c r="G423" s="1" t="s">
        <v>19</v>
      </c>
      <c r="H423" s="1" t="s">
        <v>20</v>
      </c>
      <c r="I423" s="2">
        <v>45361</v>
      </c>
      <c r="J423">
        <v>25678</v>
      </c>
      <c r="K423" s="2">
        <v>45865</v>
      </c>
      <c r="L423">
        <v>13888</v>
      </c>
      <c r="M423">
        <v>39566</v>
      </c>
      <c r="N423">
        <v>0</v>
      </c>
    </row>
    <row r="424" spans="1:14" x14ac:dyDescent="0.3">
      <c r="A424" s="1" t="s">
        <v>469</v>
      </c>
      <c r="B424" s="1" t="s">
        <v>79</v>
      </c>
      <c r="C424">
        <v>59</v>
      </c>
      <c r="D424" s="1" t="s">
        <v>23</v>
      </c>
      <c r="E424" s="1" t="s">
        <v>38</v>
      </c>
      <c r="F424" s="1" t="s">
        <v>25</v>
      </c>
      <c r="G424" s="1" t="s">
        <v>19</v>
      </c>
      <c r="H424" s="1" t="s">
        <v>20</v>
      </c>
      <c r="I424" s="2">
        <v>45788</v>
      </c>
      <c r="J424">
        <v>38267</v>
      </c>
      <c r="K424" s="2">
        <v>45862</v>
      </c>
      <c r="L424">
        <v>24488</v>
      </c>
      <c r="M424">
        <v>62755</v>
      </c>
      <c r="N424">
        <v>0</v>
      </c>
    </row>
    <row r="425" spans="1:14" x14ac:dyDescent="0.3">
      <c r="A425" s="1" t="s">
        <v>470</v>
      </c>
      <c r="B425" s="1" t="s">
        <v>71</v>
      </c>
      <c r="C425">
        <v>43</v>
      </c>
      <c r="D425" s="1" t="s">
        <v>16</v>
      </c>
      <c r="E425" s="1" t="s">
        <v>38</v>
      </c>
      <c r="F425" s="1" t="s">
        <v>25</v>
      </c>
      <c r="G425" s="1" t="s">
        <v>19</v>
      </c>
      <c r="H425" s="1" t="s">
        <v>20</v>
      </c>
      <c r="I425" s="2">
        <v>44325</v>
      </c>
      <c r="J425">
        <v>1031</v>
      </c>
      <c r="K425" s="2">
        <v>45829</v>
      </c>
      <c r="L425">
        <v>24406</v>
      </c>
      <c r="M425">
        <v>25437</v>
      </c>
      <c r="N425">
        <v>0</v>
      </c>
    </row>
    <row r="426" spans="1:14" x14ac:dyDescent="0.3">
      <c r="A426" s="1" t="s">
        <v>471</v>
      </c>
      <c r="B426" s="1" t="s">
        <v>40</v>
      </c>
      <c r="C426">
        <v>52</v>
      </c>
      <c r="D426" s="1" t="s">
        <v>16</v>
      </c>
      <c r="E426" s="1" t="s">
        <v>17</v>
      </c>
      <c r="F426" s="1" t="s">
        <v>18</v>
      </c>
      <c r="G426" s="1" t="s">
        <v>19</v>
      </c>
      <c r="H426" s="1" t="s">
        <v>20</v>
      </c>
      <c r="I426" s="2">
        <v>44244</v>
      </c>
      <c r="J426">
        <v>21049</v>
      </c>
      <c r="K426" s="2">
        <v>45797</v>
      </c>
      <c r="L426">
        <v>941</v>
      </c>
      <c r="M426">
        <v>21990</v>
      </c>
      <c r="N426">
        <v>0</v>
      </c>
    </row>
    <row r="427" spans="1:14" x14ac:dyDescent="0.3">
      <c r="A427" s="1" t="s">
        <v>472</v>
      </c>
      <c r="B427" s="1" t="s">
        <v>56</v>
      </c>
      <c r="C427">
        <v>67</v>
      </c>
      <c r="D427" s="1" t="s">
        <v>16</v>
      </c>
      <c r="E427" s="1" t="s">
        <v>24</v>
      </c>
      <c r="F427" s="1" t="s">
        <v>25</v>
      </c>
      <c r="G427" s="1" t="s">
        <v>19</v>
      </c>
      <c r="H427" s="1" t="s">
        <v>20</v>
      </c>
      <c r="I427" s="2">
        <v>45676</v>
      </c>
      <c r="J427">
        <v>10378</v>
      </c>
      <c r="K427" s="2">
        <v>45854</v>
      </c>
      <c r="L427">
        <v>30300</v>
      </c>
      <c r="M427">
        <v>40678</v>
      </c>
      <c r="N427">
        <v>0</v>
      </c>
    </row>
    <row r="428" spans="1:14" x14ac:dyDescent="0.3">
      <c r="A428" s="1" t="s">
        <v>473</v>
      </c>
      <c r="B428" s="1" t="s">
        <v>48</v>
      </c>
      <c r="C428">
        <v>42</v>
      </c>
      <c r="D428" s="1" t="s">
        <v>16</v>
      </c>
      <c r="E428" s="1" t="s">
        <v>24</v>
      </c>
      <c r="F428" s="1" t="s">
        <v>18</v>
      </c>
      <c r="G428" s="1" t="s">
        <v>19</v>
      </c>
      <c r="H428" s="1" t="s">
        <v>20</v>
      </c>
      <c r="I428" s="2">
        <v>45448</v>
      </c>
      <c r="J428">
        <v>1186</v>
      </c>
      <c r="K428" s="2">
        <v>45866</v>
      </c>
      <c r="L428">
        <v>15006</v>
      </c>
      <c r="M428">
        <v>16192</v>
      </c>
      <c r="N428">
        <v>0</v>
      </c>
    </row>
    <row r="429" spans="1:14" x14ac:dyDescent="0.3">
      <c r="A429" s="1" t="s">
        <v>474</v>
      </c>
      <c r="B429" s="1" t="s">
        <v>34</v>
      </c>
      <c r="C429">
        <v>41</v>
      </c>
      <c r="D429" s="1" t="s">
        <v>16</v>
      </c>
      <c r="E429" s="1" t="s">
        <v>38</v>
      </c>
      <c r="F429" s="1" t="s">
        <v>18</v>
      </c>
      <c r="G429" s="1" t="s">
        <v>41</v>
      </c>
      <c r="H429" s="1" t="s">
        <v>20</v>
      </c>
      <c r="I429" s="2">
        <v>45857</v>
      </c>
      <c r="J429">
        <v>4305</v>
      </c>
      <c r="K429" s="2">
        <v>45869</v>
      </c>
      <c r="L429">
        <v>24885</v>
      </c>
      <c r="M429">
        <v>29190</v>
      </c>
      <c r="N429">
        <v>0</v>
      </c>
    </row>
    <row r="430" spans="1:14" x14ac:dyDescent="0.3">
      <c r="A430" s="1" t="s">
        <v>475</v>
      </c>
      <c r="B430" s="1" t="s">
        <v>71</v>
      </c>
      <c r="C430">
        <v>30</v>
      </c>
      <c r="D430" s="1" t="s">
        <v>23</v>
      </c>
      <c r="E430" s="1" t="s">
        <v>35</v>
      </c>
      <c r="F430" s="1" t="s">
        <v>18</v>
      </c>
      <c r="G430" s="1" t="s">
        <v>41</v>
      </c>
      <c r="H430" s="1" t="s">
        <v>20</v>
      </c>
      <c r="I430" s="2">
        <v>44860</v>
      </c>
      <c r="J430">
        <v>8479</v>
      </c>
      <c r="K430" s="2">
        <v>45837</v>
      </c>
      <c r="L430">
        <v>25506</v>
      </c>
      <c r="M430">
        <v>33985</v>
      </c>
      <c r="N430">
        <v>0</v>
      </c>
    </row>
    <row r="431" spans="1:14" x14ac:dyDescent="0.3">
      <c r="A431" s="1" t="s">
        <v>476</v>
      </c>
      <c r="B431" s="1" t="s">
        <v>87</v>
      </c>
      <c r="C431">
        <v>24</v>
      </c>
      <c r="D431" s="1" t="s">
        <v>23</v>
      </c>
      <c r="E431" s="1" t="s">
        <v>17</v>
      </c>
      <c r="F431" s="1" t="s">
        <v>18</v>
      </c>
      <c r="G431" s="1" t="s">
        <v>19</v>
      </c>
      <c r="H431" s="1" t="s">
        <v>20</v>
      </c>
      <c r="I431" s="2">
        <v>44893</v>
      </c>
      <c r="J431">
        <v>31121</v>
      </c>
      <c r="K431" s="2">
        <v>45827</v>
      </c>
      <c r="L431">
        <v>1017</v>
      </c>
      <c r="M431">
        <v>32138</v>
      </c>
      <c r="N431">
        <v>0</v>
      </c>
    </row>
    <row r="432" spans="1:14" x14ac:dyDescent="0.3">
      <c r="A432" s="1" t="s">
        <v>477</v>
      </c>
      <c r="B432" s="1" t="s">
        <v>61</v>
      </c>
      <c r="C432">
        <v>53</v>
      </c>
      <c r="D432" s="1" t="s">
        <v>16</v>
      </c>
      <c r="E432" s="1" t="s">
        <v>35</v>
      </c>
      <c r="F432" s="1" t="s">
        <v>25</v>
      </c>
      <c r="G432" s="1" t="s">
        <v>41</v>
      </c>
      <c r="H432" s="1" t="s">
        <v>20</v>
      </c>
      <c r="I432" s="2">
        <v>44485</v>
      </c>
      <c r="J432">
        <v>11201</v>
      </c>
      <c r="K432" s="2">
        <v>45869</v>
      </c>
      <c r="L432">
        <v>-738</v>
      </c>
      <c r="M432">
        <v>10463</v>
      </c>
      <c r="N432">
        <v>0</v>
      </c>
    </row>
    <row r="433" spans="1:14" x14ac:dyDescent="0.3">
      <c r="A433" s="1" t="s">
        <v>478</v>
      </c>
      <c r="B433" s="1" t="s">
        <v>56</v>
      </c>
      <c r="C433">
        <v>62</v>
      </c>
      <c r="D433" s="1" t="s">
        <v>23</v>
      </c>
      <c r="E433" s="1" t="s">
        <v>38</v>
      </c>
      <c r="F433" s="1" t="s">
        <v>18</v>
      </c>
      <c r="G433" s="1" t="s">
        <v>19</v>
      </c>
      <c r="H433" s="1" t="s">
        <v>20</v>
      </c>
      <c r="I433" s="2">
        <v>44390</v>
      </c>
      <c r="J433">
        <v>15493</v>
      </c>
      <c r="K433" s="2">
        <v>45756</v>
      </c>
      <c r="L433">
        <v>4067</v>
      </c>
      <c r="M433">
        <v>19560</v>
      </c>
      <c r="N433">
        <v>0</v>
      </c>
    </row>
    <row r="434" spans="1:14" x14ac:dyDescent="0.3">
      <c r="A434" s="1" t="s">
        <v>479</v>
      </c>
      <c r="B434" s="1" t="s">
        <v>27</v>
      </c>
      <c r="C434">
        <v>37</v>
      </c>
      <c r="D434" s="1" t="s">
        <v>23</v>
      </c>
      <c r="E434" s="1" t="s">
        <v>24</v>
      </c>
      <c r="F434" s="1" t="s">
        <v>25</v>
      </c>
      <c r="G434" s="1" t="s">
        <v>19</v>
      </c>
      <c r="H434" s="1" t="s">
        <v>20</v>
      </c>
      <c r="I434" s="2">
        <v>45165</v>
      </c>
      <c r="J434">
        <v>9357</v>
      </c>
      <c r="K434" s="2">
        <v>45823</v>
      </c>
      <c r="L434">
        <v>-3922</v>
      </c>
      <c r="M434">
        <v>5435</v>
      </c>
      <c r="N434">
        <v>0</v>
      </c>
    </row>
    <row r="435" spans="1:14" x14ac:dyDescent="0.3">
      <c r="A435" s="1" t="s">
        <v>480</v>
      </c>
      <c r="B435" s="1" t="s">
        <v>56</v>
      </c>
      <c r="C435">
        <v>18</v>
      </c>
      <c r="D435" s="1" t="s">
        <v>23</v>
      </c>
      <c r="E435" s="1" t="s">
        <v>17</v>
      </c>
      <c r="F435" s="1" t="s">
        <v>25</v>
      </c>
      <c r="G435" s="1" t="s">
        <v>19</v>
      </c>
      <c r="H435" s="1" t="s">
        <v>20</v>
      </c>
      <c r="I435" s="2">
        <v>44806</v>
      </c>
      <c r="J435">
        <v>39652</v>
      </c>
      <c r="K435" s="2">
        <v>45836</v>
      </c>
      <c r="L435">
        <v>-3077</v>
      </c>
      <c r="M435">
        <v>36575</v>
      </c>
      <c r="N435">
        <v>0</v>
      </c>
    </row>
    <row r="436" spans="1:14" x14ac:dyDescent="0.3">
      <c r="A436" s="1" t="s">
        <v>481</v>
      </c>
      <c r="B436" s="1" t="s">
        <v>79</v>
      </c>
      <c r="C436">
        <v>25</v>
      </c>
      <c r="D436" s="1" t="s">
        <v>23</v>
      </c>
      <c r="E436" s="1" t="s">
        <v>17</v>
      </c>
      <c r="F436" s="1" t="s">
        <v>18</v>
      </c>
      <c r="G436" s="1" t="s">
        <v>41</v>
      </c>
      <c r="H436" s="1" t="s">
        <v>20</v>
      </c>
      <c r="I436" s="2">
        <v>44331</v>
      </c>
      <c r="J436">
        <v>22495</v>
      </c>
      <c r="K436" s="2">
        <v>45839</v>
      </c>
      <c r="L436">
        <v>2432</v>
      </c>
      <c r="M436">
        <v>24927</v>
      </c>
      <c r="N436">
        <v>0</v>
      </c>
    </row>
    <row r="437" spans="1:14" x14ac:dyDescent="0.3">
      <c r="A437" s="1" t="s">
        <v>482</v>
      </c>
      <c r="B437" s="1" t="s">
        <v>87</v>
      </c>
      <c r="C437">
        <v>63</v>
      </c>
      <c r="D437" s="1" t="s">
        <v>30</v>
      </c>
      <c r="E437" s="1" t="s">
        <v>24</v>
      </c>
      <c r="F437" s="1" t="s">
        <v>25</v>
      </c>
      <c r="G437" s="1" t="s">
        <v>19</v>
      </c>
      <c r="H437" s="1" t="s">
        <v>20</v>
      </c>
      <c r="I437" s="2">
        <v>45680</v>
      </c>
      <c r="J437">
        <v>15723</v>
      </c>
      <c r="K437" s="2">
        <v>45868</v>
      </c>
      <c r="L437">
        <v>1807</v>
      </c>
      <c r="M437">
        <v>17530</v>
      </c>
      <c r="N437">
        <v>0</v>
      </c>
    </row>
    <row r="438" spans="1:14" x14ac:dyDescent="0.3">
      <c r="A438" s="1" t="s">
        <v>483</v>
      </c>
      <c r="B438" s="1" t="s">
        <v>32</v>
      </c>
      <c r="C438">
        <v>33</v>
      </c>
      <c r="D438" s="1" t="s">
        <v>16</v>
      </c>
      <c r="E438" s="1" t="s">
        <v>38</v>
      </c>
      <c r="F438" s="1" t="s">
        <v>18</v>
      </c>
      <c r="G438" s="1" t="s">
        <v>19</v>
      </c>
      <c r="H438" s="1" t="s">
        <v>20</v>
      </c>
      <c r="I438" s="2">
        <v>44528</v>
      </c>
      <c r="J438">
        <v>4259</v>
      </c>
      <c r="K438" s="2">
        <v>45860</v>
      </c>
      <c r="L438">
        <v>4357</v>
      </c>
      <c r="M438">
        <v>8616</v>
      </c>
      <c r="N438">
        <v>0</v>
      </c>
    </row>
    <row r="439" spans="1:14" x14ac:dyDescent="0.3">
      <c r="A439" s="1" t="s">
        <v>484</v>
      </c>
      <c r="B439" s="1" t="s">
        <v>71</v>
      </c>
      <c r="C439">
        <v>31</v>
      </c>
      <c r="D439" s="1" t="s">
        <v>16</v>
      </c>
      <c r="E439" s="1" t="s">
        <v>17</v>
      </c>
      <c r="F439" s="1" t="s">
        <v>18</v>
      </c>
      <c r="G439" s="1" t="s">
        <v>19</v>
      </c>
      <c r="H439" s="1" t="s">
        <v>20</v>
      </c>
      <c r="I439" s="2">
        <v>45449</v>
      </c>
      <c r="J439">
        <v>15061</v>
      </c>
      <c r="K439" s="2">
        <v>45858</v>
      </c>
      <c r="L439">
        <v>-3045</v>
      </c>
      <c r="M439">
        <v>12016</v>
      </c>
      <c r="N439">
        <v>0</v>
      </c>
    </row>
    <row r="440" spans="1:14" x14ac:dyDescent="0.3">
      <c r="A440" s="1" t="s">
        <v>485</v>
      </c>
      <c r="B440" s="1" t="s">
        <v>40</v>
      </c>
      <c r="C440">
        <v>29</v>
      </c>
      <c r="D440" s="1" t="s">
        <v>16</v>
      </c>
      <c r="E440" s="1" t="s">
        <v>24</v>
      </c>
      <c r="F440" s="1" t="s">
        <v>18</v>
      </c>
      <c r="G440" s="1" t="s">
        <v>19</v>
      </c>
      <c r="H440" s="1" t="s">
        <v>20</v>
      </c>
      <c r="I440" s="2">
        <v>44669</v>
      </c>
      <c r="J440">
        <v>215749</v>
      </c>
      <c r="K440" s="2">
        <v>45829</v>
      </c>
      <c r="L440">
        <v>5010</v>
      </c>
      <c r="M440">
        <v>220759</v>
      </c>
      <c r="N440">
        <v>0</v>
      </c>
    </row>
    <row r="441" spans="1:14" x14ac:dyDescent="0.3">
      <c r="A441" s="1" t="s">
        <v>486</v>
      </c>
      <c r="B441" s="1" t="s">
        <v>34</v>
      </c>
      <c r="C441">
        <v>68</v>
      </c>
      <c r="D441" s="1" t="s">
        <v>16</v>
      </c>
      <c r="E441" s="1" t="s">
        <v>38</v>
      </c>
      <c r="F441" s="1" t="s">
        <v>25</v>
      </c>
      <c r="G441" s="1" t="s">
        <v>19</v>
      </c>
      <c r="H441" s="1" t="s">
        <v>49</v>
      </c>
      <c r="I441" s="2">
        <v>45556</v>
      </c>
      <c r="J441">
        <v>29592</v>
      </c>
      <c r="K441" s="2">
        <v>45822</v>
      </c>
      <c r="L441">
        <v>1311</v>
      </c>
      <c r="M441">
        <v>30903</v>
      </c>
      <c r="N441">
        <v>0</v>
      </c>
    </row>
    <row r="442" spans="1:14" x14ac:dyDescent="0.3">
      <c r="A442" s="1" t="s">
        <v>487</v>
      </c>
      <c r="B442" s="1" t="s">
        <v>32</v>
      </c>
      <c r="C442">
        <v>40</v>
      </c>
      <c r="D442" s="1" t="s">
        <v>23</v>
      </c>
      <c r="E442" s="1" t="s">
        <v>38</v>
      </c>
      <c r="F442" s="1" t="s">
        <v>25</v>
      </c>
      <c r="G442" s="1" t="s">
        <v>19</v>
      </c>
      <c r="H442" s="1" t="s">
        <v>20</v>
      </c>
      <c r="I442" s="2">
        <v>44395</v>
      </c>
      <c r="J442">
        <v>6378</v>
      </c>
      <c r="K442" s="2">
        <v>45641</v>
      </c>
      <c r="L442">
        <v>-1369</v>
      </c>
      <c r="M442">
        <v>5009</v>
      </c>
      <c r="N442">
        <v>1</v>
      </c>
    </row>
    <row r="443" spans="1:14" x14ac:dyDescent="0.3">
      <c r="A443" s="1" t="s">
        <v>488</v>
      </c>
      <c r="B443" s="1" t="s">
        <v>15</v>
      </c>
      <c r="C443">
        <v>32</v>
      </c>
      <c r="D443" s="1" t="s">
        <v>16</v>
      </c>
      <c r="E443" s="1" t="s">
        <v>35</v>
      </c>
      <c r="F443" s="1" t="s">
        <v>18</v>
      </c>
      <c r="G443" s="1" t="s">
        <v>19</v>
      </c>
      <c r="H443" s="1" t="s">
        <v>20</v>
      </c>
      <c r="I443" s="2">
        <v>45461</v>
      </c>
      <c r="J443">
        <v>85175</v>
      </c>
      <c r="K443" s="2">
        <v>45839</v>
      </c>
      <c r="L443">
        <v>2676</v>
      </c>
      <c r="M443">
        <v>87851</v>
      </c>
      <c r="N443">
        <v>0</v>
      </c>
    </row>
    <row r="444" spans="1:14" x14ac:dyDescent="0.3">
      <c r="A444" s="1" t="s">
        <v>489</v>
      </c>
      <c r="B444" s="1" t="s">
        <v>37</v>
      </c>
      <c r="C444">
        <v>45</v>
      </c>
      <c r="D444" s="1" t="s">
        <v>23</v>
      </c>
      <c r="E444" s="1" t="s">
        <v>24</v>
      </c>
      <c r="F444" s="1" t="s">
        <v>18</v>
      </c>
      <c r="G444" s="1" t="s">
        <v>19</v>
      </c>
      <c r="H444" s="1" t="s">
        <v>20</v>
      </c>
      <c r="I444" s="2">
        <v>44361</v>
      </c>
      <c r="J444">
        <v>6103</v>
      </c>
      <c r="K444" s="2">
        <v>45858</v>
      </c>
      <c r="L444">
        <v>-1867</v>
      </c>
      <c r="M444">
        <v>4236</v>
      </c>
      <c r="N444">
        <v>0</v>
      </c>
    </row>
    <row r="445" spans="1:14" x14ac:dyDescent="0.3">
      <c r="A445" s="1" t="s">
        <v>490</v>
      </c>
      <c r="B445" s="1" t="s">
        <v>59</v>
      </c>
      <c r="C445">
        <v>51</v>
      </c>
      <c r="D445" s="1" t="s">
        <v>16</v>
      </c>
      <c r="E445" s="1" t="s">
        <v>24</v>
      </c>
      <c r="F445" s="1" t="s">
        <v>25</v>
      </c>
      <c r="G445" s="1" t="s">
        <v>19</v>
      </c>
      <c r="H445" s="1" t="s">
        <v>20</v>
      </c>
      <c r="I445" s="2">
        <v>44944</v>
      </c>
      <c r="J445">
        <v>27291</v>
      </c>
      <c r="K445" s="2">
        <v>45777</v>
      </c>
      <c r="L445">
        <v>1700</v>
      </c>
      <c r="M445">
        <v>28991</v>
      </c>
      <c r="N445">
        <v>0</v>
      </c>
    </row>
    <row r="446" spans="1:14" x14ac:dyDescent="0.3">
      <c r="A446" s="1" t="s">
        <v>491</v>
      </c>
      <c r="B446" s="1" t="s">
        <v>22</v>
      </c>
      <c r="C446">
        <v>19</v>
      </c>
      <c r="D446" s="1" t="s">
        <v>16</v>
      </c>
      <c r="E446" s="1" t="s">
        <v>38</v>
      </c>
      <c r="F446" s="1" t="s">
        <v>18</v>
      </c>
      <c r="G446" s="1" t="s">
        <v>19</v>
      </c>
      <c r="H446" s="1" t="s">
        <v>20</v>
      </c>
      <c r="I446" s="2">
        <v>45424</v>
      </c>
      <c r="J446">
        <v>12757</v>
      </c>
      <c r="K446" s="2">
        <v>45816</v>
      </c>
      <c r="L446">
        <v>10115</v>
      </c>
      <c r="M446">
        <v>22872</v>
      </c>
      <c r="N446">
        <v>0</v>
      </c>
    </row>
    <row r="447" spans="1:14" x14ac:dyDescent="0.3">
      <c r="A447" s="1" t="s">
        <v>492</v>
      </c>
      <c r="B447" s="1" t="s">
        <v>61</v>
      </c>
      <c r="C447">
        <v>49</v>
      </c>
      <c r="D447" s="1" t="s">
        <v>23</v>
      </c>
      <c r="E447" s="1" t="s">
        <v>24</v>
      </c>
      <c r="F447" s="1" t="s">
        <v>25</v>
      </c>
      <c r="G447" s="1" t="s">
        <v>19</v>
      </c>
      <c r="H447" s="1" t="s">
        <v>20</v>
      </c>
      <c r="I447" s="2">
        <v>44486</v>
      </c>
      <c r="J447">
        <v>16029</v>
      </c>
      <c r="K447" s="2">
        <v>45734</v>
      </c>
      <c r="L447">
        <v>15242</v>
      </c>
      <c r="M447">
        <v>31271</v>
      </c>
      <c r="N447">
        <v>0</v>
      </c>
    </row>
    <row r="448" spans="1:14" x14ac:dyDescent="0.3">
      <c r="A448" s="1" t="s">
        <v>493</v>
      </c>
      <c r="B448" s="1" t="s">
        <v>40</v>
      </c>
      <c r="C448">
        <v>40</v>
      </c>
      <c r="D448" s="1" t="s">
        <v>30</v>
      </c>
      <c r="E448" s="1" t="s">
        <v>17</v>
      </c>
      <c r="F448" s="1" t="s">
        <v>18</v>
      </c>
      <c r="G448" s="1" t="s">
        <v>19</v>
      </c>
      <c r="H448" s="1" t="s">
        <v>20</v>
      </c>
      <c r="I448" s="2">
        <v>44674</v>
      </c>
      <c r="J448">
        <v>16628</v>
      </c>
      <c r="K448" s="2">
        <v>45771</v>
      </c>
      <c r="L448">
        <v>10900</v>
      </c>
      <c r="M448">
        <v>27528</v>
      </c>
      <c r="N448">
        <v>0</v>
      </c>
    </row>
    <row r="449" spans="1:14" x14ac:dyDescent="0.3">
      <c r="A449" s="1" t="s">
        <v>494</v>
      </c>
      <c r="B449" s="1" t="s">
        <v>22</v>
      </c>
      <c r="C449">
        <v>39</v>
      </c>
      <c r="D449" s="1" t="s">
        <v>16</v>
      </c>
      <c r="E449" s="1" t="s">
        <v>24</v>
      </c>
      <c r="F449" s="1" t="s">
        <v>18</v>
      </c>
      <c r="G449" s="1" t="s">
        <v>41</v>
      </c>
      <c r="H449" s="1" t="s">
        <v>20</v>
      </c>
      <c r="I449" s="2">
        <v>45643</v>
      </c>
      <c r="J449">
        <v>10430</v>
      </c>
      <c r="K449" s="2">
        <v>45862</v>
      </c>
      <c r="L449">
        <v>7881</v>
      </c>
      <c r="M449">
        <v>18311</v>
      </c>
      <c r="N449">
        <v>0</v>
      </c>
    </row>
    <row r="450" spans="1:14" x14ac:dyDescent="0.3">
      <c r="A450" s="1" t="s">
        <v>495</v>
      </c>
      <c r="B450" s="1" t="s">
        <v>69</v>
      </c>
      <c r="C450">
        <v>68</v>
      </c>
      <c r="D450" s="1" t="s">
        <v>16</v>
      </c>
      <c r="E450" s="1" t="s">
        <v>24</v>
      </c>
      <c r="F450" s="1" t="s">
        <v>25</v>
      </c>
      <c r="G450" s="1" t="s">
        <v>19</v>
      </c>
      <c r="H450" s="1" t="s">
        <v>20</v>
      </c>
      <c r="I450" s="2">
        <v>45677</v>
      </c>
      <c r="J450">
        <v>9051</v>
      </c>
      <c r="K450" s="2">
        <v>45837</v>
      </c>
      <c r="L450">
        <v>883</v>
      </c>
      <c r="M450">
        <v>9934</v>
      </c>
      <c r="N450">
        <v>0</v>
      </c>
    </row>
    <row r="451" spans="1:14" x14ac:dyDescent="0.3">
      <c r="A451" s="1" t="s">
        <v>496</v>
      </c>
      <c r="B451" s="1" t="s">
        <v>48</v>
      </c>
      <c r="C451">
        <v>42</v>
      </c>
      <c r="D451" s="1" t="s">
        <v>23</v>
      </c>
      <c r="E451" s="1" t="s">
        <v>24</v>
      </c>
      <c r="F451" s="1" t="s">
        <v>18</v>
      </c>
      <c r="G451" s="1" t="s">
        <v>19</v>
      </c>
      <c r="H451" s="1" t="s">
        <v>20</v>
      </c>
      <c r="I451" s="2">
        <v>44272</v>
      </c>
      <c r="J451">
        <v>3580</v>
      </c>
      <c r="K451" s="2">
        <v>45782</v>
      </c>
      <c r="L451">
        <v>22328</v>
      </c>
      <c r="M451">
        <v>25908</v>
      </c>
      <c r="N451">
        <v>0</v>
      </c>
    </row>
    <row r="452" spans="1:14" x14ac:dyDescent="0.3">
      <c r="A452" s="1" t="s">
        <v>497</v>
      </c>
      <c r="B452" s="1" t="s">
        <v>69</v>
      </c>
      <c r="C452">
        <v>39</v>
      </c>
      <c r="D452" s="1" t="s">
        <v>16</v>
      </c>
      <c r="E452" s="1" t="s">
        <v>24</v>
      </c>
      <c r="F452" s="1" t="s">
        <v>25</v>
      </c>
      <c r="G452" s="1" t="s">
        <v>19</v>
      </c>
      <c r="H452" s="1" t="s">
        <v>20</v>
      </c>
      <c r="I452" s="2">
        <v>44478</v>
      </c>
      <c r="J452">
        <v>4337</v>
      </c>
      <c r="K452" s="2">
        <v>45796</v>
      </c>
      <c r="L452">
        <v>15227</v>
      </c>
      <c r="M452">
        <v>19564</v>
      </c>
      <c r="N452">
        <v>0</v>
      </c>
    </row>
    <row r="453" spans="1:14" x14ac:dyDescent="0.3">
      <c r="A453" s="1" t="s">
        <v>498</v>
      </c>
      <c r="B453" s="1" t="s">
        <v>52</v>
      </c>
      <c r="C453">
        <v>39</v>
      </c>
      <c r="D453" s="1" t="s">
        <v>16</v>
      </c>
      <c r="E453" s="1" t="s">
        <v>24</v>
      </c>
      <c r="F453" s="1" t="s">
        <v>25</v>
      </c>
      <c r="G453" s="1" t="s">
        <v>19</v>
      </c>
      <c r="H453" s="1" t="s">
        <v>20</v>
      </c>
      <c r="I453" s="2">
        <v>44393</v>
      </c>
      <c r="J453">
        <v>18657</v>
      </c>
      <c r="K453" s="2">
        <v>45784</v>
      </c>
      <c r="L453">
        <v>22173</v>
      </c>
      <c r="M453">
        <v>40830</v>
      </c>
      <c r="N453">
        <v>0</v>
      </c>
    </row>
    <row r="454" spans="1:14" x14ac:dyDescent="0.3">
      <c r="A454" s="1" t="s">
        <v>499</v>
      </c>
      <c r="B454" s="1" t="s">
        <v>69</v>
      </c>
      <c r="C454">
        <v>66</v>
      </c>
      <c r="D454" s="1" t="s">
        <v>23</v>
      </c>
      <c r="E454" s="1" t="s">
        <v>17</v>
      </c>
      <c r="F454" s="1" t="s">
        <v>18</v>
      </c>
      <c r="G454" s="1" t="s">
        <v>41</v>
      </c>
      <c r="H454" s="1" t="s">
        <v>20</v>
      </c>
      <c r="I454" s="2">
        <v>44497</v>
      </c>
      <c r="J454">
        <v>6750</v>
      </c>
      <c r="K454" s="2">
        <v>45866</v>
      </c>
      <c r="L454">
        <v>9892</v>
      </c>
      <c r="M454">
        <v>16642</v>
      </c>
      <c r="N454">
        <v>0</v>
      </c>
    </row>
    <row r="455" spans="1:14" x14ac:dyDescent="0.3">
      <c r="A455" s="1" t="s">
        <v>500</v>
      </c>
      <c r="B455" s="1" t="s">
        <v>64</v>
      </c>
      <c r="C455">
        <v>69</v>
      </c>
      <c r="D455" s="1" t="s">
        <v>23</v>
      </c>
      <c r="E455" s="1" t="s">
        <v>24</v>
      </c>
      <c r="F455" s="1" t="s">
        <v>18</v>
      </c>
      <c r="G455" s="1" t="s">
        <v>19</v>
      </c>
      <c r="H455" s="1" t="s">
        <v>20</v>
      </c>
      <c r="I455" s="2">
        <v>45820</v>
      </c>
      <c r="J455">
        <v>5378</v>
      </c>
      <c r="K455" s="2">
        <v>45868</v>
      </c>
      <c r="L455">
        <v>26225</v>
      </c>
      <c r="M455">
        <v>31603</v>
      </c>
      <c r="N455">
        <v>0</v>
      </c>
    </row>
    <row r="456" spans="1:14" x14ac:dyDescent="0.3">
      <c r="A456" s="1" t="s">
        <v>501</v>
      </c>
      <c r="B456" s="1" t="s">
        <v>75</v>
      </c>
      <c r="C456">
        <v>59</v>
      </c>
      <c r="D456" s="1" t="s">
        <v>16</v>
      </c>
      <c r="E456" s="1" t="s">
        <v>24</v>
      </c>
      <c r="F456" s="1" t="s">
        <v>25</v>
      </c>
      <c r="G456" s="1" t="s">
        <v>19</v>
      </c>
      <c r="H456" s="1" t="s">
        <v>20</v>
      </c>
      <c r="I456" s="2">
        <v>45119</v>
      </c>
      <c r="J456">
        <v>225782</v>
      </c>
      <c r="K456" s="2">
        <v>45826</v>
      </c>
      <c r="L456">
        <v>-5615</v>
      </c>
      <c r="M456">
        <v>220167</v>
      </c>
      <c r="N456">
        <v>0</v>
      </c>
    </row>
    <row r="457" spans="1:14" x14ac:dyDescent="0.3">
      <c r="A457" s="1" t="s">
        <v>502</v>
      </c>
      <c r="B457" s="1" t="s">
        <v>15</v>
      </c>
      <c r="C457">
        <v>23</v>
      </c>
      <c r="D457" s="1" t="s">
        <v>23</v>
      </c>
      <c r="E457" s="1" t="s">
        <v>38</v>
      </c>
      <c r="F457" s="1" t="s">
        <v>25</v>
      </c>
      <c r="G457" s="1" t="s">
        <v>19</v>
      </c>
      <c r="H457" s="1" t="s">
        <v>20</v>
      </c>
      <c r="I457" s="2">
        <v>44980</v>
      </c>
      <c r="J457">
        <v>161030</v>
      </c>
      <c r="K457" s="2">
        <v>45825</v>
      </c>
      <c r="L457">
        <v>8739</v>
      </c>
      <c r="M457">
        <v>169769</v>
      </c>
      <c r="N457">
        <v>0</v>
      </c>
    </row>
    <row r="458" spans="1:14" x14ac:dyDescent="0.3">
      <c r="A458" s="1" t="s">
        <v>503</v>
      </c>
      <c r="B458" s="1" t="s">
        <v>61</v>
      </c>
      <c r="C458">
        <v>32</v>
      </c>
      <c r="D458" s="1" t="s">
        <v>16</v>
      </c>
      <c r="E458" s="1" t="s">
        <v>17</v>
      </c>
      <c r="F458" s="1" t="s">
        <v>18</v>
      </c>
      <c r="G458" s="1" t="s">
        <v>19</v>
      </c>
      <c r="H458" s="1" t="s">
        <v>20</v>
      </c>
      <c r="I458" s="2">
        <v>45844</v>
      </c>
      <c r="J458">
        <v>23881</v>
      </c>
      <c r="K458" s="2">
        <v>45869</v>
      </c>
      <c r="L458">
        <v>9380</v>
      </c>
      <c r="M458">
        <v>33261</v>
      </c>
      <c r="N458">
        <v>0</v>
      </c>
    </row>
    <row r="459" spans="1:14" x14ac:dyDescent="0.3">
      <c r="A459" s="1" t="s">
        <v>504</v>
      </c>
      <c r="B459" s="1" t="s">
        <v>48</v>
      </c>
      <c r="C459">
        <v>60</v>
      </c>
      <c r="D459" s="1" t="s">
        <v>16</v>
      </c>
      <c r="E459" s="1" t="s">
        <v>24</v>
      </c>
      <c r="F459" s="1" t="s">
        <v>25</v>
      </c>
      <c r="G459" s="1" t="s">
        <v>19</v>
      </c>
      <c r="H459" s="1" t="s">
        <v>20</v>
      </c>
      <c r="I459" s="2">
        <v>45128</v>
      </c>
      <c r="J459">
        <v>27488</v>
      </c>
      <c r="K459" s="2">
        <v>45829</v>
      </c>
      <c r="L459">
        <v>2853</v>
      </c>
      <c r="M459">
        <v>30341</v>
      </c>
      <c r="N459">
        <v>0</v>
      </c>
    </row>
    <row r="460" spans="1:14" x14ac:dyDescent="0.3">
      <c r="A460" s="1" t="s">
        <v>505</v>
      </c>
      <c r="B460" s="1" t="s">
        <v>52</v>
      </c>
      <c r="C460">
        <v>54</v>
      </c>
      <c r="D460" s="1" t="s">
        <v>16</v>
      </c>
      <c r="E460" s="1" t="s">
        <v>24</v>
      </c>
      <c r="F460" s="1" t="s">
        <v>18</v>
      </c>
      <c r="G460" s="1" t="s">
        <v>19</v>
      </c>
      <c r="H460" s="1" t="s">
        <v>20</v>
      </c>
      <c r="I460" s="2">
        <v>45303</v>
      </c>
      <c r="J460">
        <v>5929</v>
      </c>
      <c r="K460" s="2">
        <v>45836</v>
      </c>
      <c r="L460">
        <v>-1558</v>
      </c>
      <c r="M460">
        <v>4371</v>
      </c>
      <c r="N460">
        <v>0</v>
      </c>
    </row>
    <row r="461" spans="1:14" x14ac:dyDescent="0.3">
      <c r="A461" s="1" t="s">
        <v>506</v>
      </c>
      <c r="B461" s="1" t="s">
        <v>59</v>
      </c>
      <c r="C461">
        <v>50</v>
      </c>
      <c r="D461" s="1" t="s">
        <v>23</v>
      </c>
      <c r="E461" s="1" t="s">
        <v>24</v>
      </c>
      <c r="F461" s="1" t="s">
        <v>18</v>
      </c>
      <c r="G461" s="1" t="s">
        <v>19</v>
      </c>
      <c r="H461" s="1" t="s">
        <v>20</v>
      </c>
      <c r="I461" s="2">
        <v>44753</v>
      </c>
      <c r="J461">
        <v>4084</v>
      </c>
      <c r="K461" s="2">
        <v>45816</v>
      </c>
      <c r="L461">
        <v>-6347</v>
      </c>
      <c r="M461">
        <v>-2263</v>
      </c>
      <c r="N461">
        <v>0</v>
      </c>
    </row>
    <row r="462" spans="1:14" x14ac:dyDescent="0.3">
      <c r="A462" s="1" t="s">
        <v>507</v>
      </c>
      <c r="B462" s="1" t="s">
        <v>71</v>
      </c>
      <c r="C462">
        <v>25</v>
      </c>
      <c r="D462" s="1" t="s">
        <v>16</v>
      </c>
      <c r="E462" s="1" t="s">
        <v>24</v>
      </c>
      <c r="F462" s="1" t="s">
        <v>25</v>
      </c>
      <c r="G462" s="1" t="s">
        <v>19</v>
      </c>
      <c r="H462" s="1" t="s">
        <v>49</v>
      </c>
      <c r="I462" s="2">
        <v>44836</v>
      </c>
      <c r="J462">
        <v>9506</v>
      </c>
      <c r="K462" s="2">
        <v>45806</v>
      </c>
      <c r="L462">
        <v>-3786</v>
      </c>
      <c r="M462">
        <v>5720</v>
      </c>
      <c r="N462">
        <v>0</v>
      </c>
    </row>
    <row r="463" spans="1:14" x14ac:dyDescent="0.3">
      <c r="A463" s="1" t="s">
        <v>508</v>
      </c>
      <c r="B463" s="1" t="s">
        <v>56</v>
      </c>
      <c r="C463">
        <v>61</v>
      </c>
      <c r="D463" s="1" t="s">
        <v>23</v>
      </c>
      <c r="E463" s="1" t="s">
        <v>24</v>
      </c>
      <c r="F463" s="1" t="s">
        <v>18</v>
      </c>
      <c r="G463" s="1" t="s">
        <v>19</v>
      </c>
      <c r="H463" s="1" t="s">
        <v>20</v>
      </c>
      <c r="I463" s="2">
        <v>45191</v>
      </c>
      <c r="J463">
        <v>13364</v>
      </c>
      <c r="K463" s="2">
        <v>45861</v>
      </c>
      <c r="L463">
        <v>11189</v>
      </c>
      <c r="M463">
        <v>24553</v>
      </c>
      <c r="N463">
        <v>0</v>
      </c>
    </row>
    <row r="464" spans="1:14" x14ac:dyDescent="0.3">
      <c r="A464" s="1" t="s">
        <v>509</v>
      </c>
      <c r="B464" s="1" t="s">
        <v>87</v>
      </c>
      <c r="C464">
        <v>61</v>
      </c>
      <c r="D464" s="1" t="s">
        <v>23</v>
      </c>
      <c r="E464" s="1" t="s">
        <v>35</v>
      </c>
      <c r="F464" s="1" t="s">
        <v>25</v>
      </c>
      <c r="G464" s="1" t="s">
        <v>19</v>
      </c>
      <c r="H464" s="1" t="s">
        <v>20</v>
      </c>
      <c r="I464" s="2">
        <v>44313</v>
      </c>
      <c r="J464">
        <v>27257</v>
      </c>
      <c r="K464" s="2">
        <v>45785</v>
      </c>
      <c r="L464">
        <v>13593</v>
      </c>
      <c r="M464">
        <v>40850</v>
      </c>
      <c r="N464">
        <v>0</v>
      </c>
    </row>
    <row r="465" spans="1:14" x14ac:dyDescent="0.3">
      <c r="A465" s="1" t="s">
        <v>510</v>
      </c>
      <c r="B465" s="1" t="s">
        <v>75</v>
      </c>
      <c r="C465">
        <v>22</v>
      </c>
      <c r="D465" s="1" t="s">
        <v>16</v>
      </c>
      <c r="E465" s="1" t="s">
        <v>24</v>
      </c>
      <c r="F465" s="1" t="s">
        <v>18</v>
      </c>
      <c r="G465" s="1" t="s">
        <v>19</v>
      </c>
      <c r="H465" s="1" t="s">
        <v>20</v>
      </c>
      <c r="I465" s="2">
        <v>44625</v>
      </c>
      <c r="J465">
        <v>2142</v>
      </c>
      <c r="K465" s="2">
        <v>45845</v>
      </c>
      <c r="L465">
        <v>16830</v>
      </c>
      <c r="M465">
        <v>18972</v>
      </c>
      <c r="N465">
        <v>0</v>
      </c>
    </row>
    <row r="466" spans="1:14" x14ac:dyDescent="0.3">
      <c r="A466" s="1" t="s">
        <v>511</v>
      </c>
      <c r="B466" s="1" t="s">
        <v>43</v>
      </c>
      <c r="C466">
        <v>56</v>
      </c>
      <c r="D466" s="1" t="s">
        <v>23</v>
      </c>
      <c r="E466" s="1" t="s">
        <v>24</v>
      </c>
      <c r="F466" s="1" t="s">
        <v>25</v>
      </c>
      <c r="G466" s="1" t="s">
        <v>19</v>
      </c>
      <c r="H466" s="1" t="s">
        <v>20</v>
      </c>
      <c r="I466" s="2">
        <v>44526</v>
      </c>
      <c r="J466">
        <v>114376</v>
      </c>
      <c r="K466" s="2">
        <v>45817</v>
      </c>
      <c r="L466">
        <v>16808</v>
      </c>
      <c r="M466">
        <v>131184</v>
      </c>
      <c r="N466">
        <v>0</v>
      </c>
    </row>
    <row r="467" spans="1:14" x14ac:dyDescent="0.3">
      <c r="A467" s="1" t="s">
        <v>512</v>
      </c>
      <c r="B467" s="1" t="s">
        <v>64</v>
      </c>
      <c r="C467">
        <v>21</v>
      </c>
      <c r="D467" s="1" t="s">
        <v>23</v>
      </c>
      <c r="E467" s="1" t="s">
        <v>38</v>
      </c>
      <c r="F467" s="1" t="s">
        <v>18</v>
      </c>
      <c r="G467" s="1" t="s">
        <v>19</v>
      </c>
      <c r="H467" s="1" t="s">
        <v>20</v>
      </c>
      <c r="I467" s="2">
        <v>44223</v>
      </c>
      <c r="J467">
        <v>17120</v>
      </c>
      <c r="K467" s="2">
        <v>45867</v>
      </c>
      <c r="L467">
        <v>11238</v>
      </c>
      <c r="M467">
        <v>28358</v>
      </c>
      <c r="N467">
        <v>0</v>
      </c>
    </row>
    <row r="468" spans="1:14" x14ac:dyDescent="0.3">
      <c r="A468" s="1" t="s">
        <v>513</v>
      </c>
      <c r="B468" s="1" t="s">
        <v>15</v>
      </c>
      <c r="C468">
        <v>23</v>
      </c>
      <c r="D468" s="1" t="s">
        <v>16</v>
      </c>
      <c r="E468" s="1" t="s">
        <v>24</v>
      </c>
      <c r="F468" s="1" t="s">
        <v>18</v>
      </c>
      <c r="G468" s="1" t="s">
        <v>19</v>
      </c>
      <c r="H468" s="1" t="s">
        <v>20</v>
      </c>
      <c r="I468" s="2">
        <v>45095</v>
      </c>
      <c r="J468">
        <v>2834</v>
      </c>
      <c r="K468" s="2">
        <v>45804</v>
      </c>
      <c r="L468">
        <v>18255</v>
      </c>
      <c r="M468">
        <v>21089</v>
      </c>
      <c r="N468">
        <v>0</v>
      </c>
    </row>
    <row r="469" spans="1:14" x14ac:dyDescent="0.3">
      <c r="A469" s="1" t="s">
        <v>514</v>
      </c>
      <c r="B469" s="1" t="s">
        <v>56</v>
      </c>
      <c r="C469">
        <v>62</v>
      </c>
      <c r="D469" s="1" t="s">
        <v>23</v>
      </c>
      <c r="E469" s="1" t="s">
        <v>24</v>
      </c>
      <c r="F469" s="1" t="s">
        <v>25</v>
      </c>
      <c r="G469" s="1" t="s">
        <v>19</v>
      </c>
      <c r="H469" s="1" t="s">
        <v>20</v>
      </c>
      <c r="I469" s="2">
        <v>45135</v>
      </c>
      <c r="J469">
        <v>15638</v>
      </c>
      <c r="K469" s="2">
        <v>45797</v>
      </c>
      <c r="L469">
        <v>9932</v>
      </c>
      <c r="M469">
        <v>25570</v>
      </c>
      <c r="N469">
        <v>0</v>
      </c>
    </row>
    <row r="470" spans="1:14" x14ac:dyDescent="0.3">
      <c r="A470" s="1" t="s">
        <v>515</v>
      </c>
      <c r="B470" s="1" t="s">
        <v>61</v>
      </c>
      <c r="C470">
        <v>49</v>
      </c>
      <c r="D470" s="1" t="s">
        <v>23</v>
      </c>
      <c r="E470" s="1" t="s">
        <v>24</v>
      </c>
      <c r="F470" s="1" t="s">
        <v>18</v>
      </c>
      <c r="G470" s="1" t="s">
        <v>19</v>
      </c>
      <c r="H470" s="1" t="s">
        <v>20</v>
      </c>
      <c r="I470" s="2">
        <v>44839</v>
      </c>
      <c r="J470">
        <v>5418</v>
      </c>
      <c r="K470" s="2">
        <v>45861</v>
      </c>
      <c r="L470">
        <v>-3391</v>
      </c>
      <c r="M470">
        <v>2027</v>
      </c>
      <c r="N470">
        <v>0</v>
      </c>
    </row>
    <row r="471" spans="1:14" x14ac:dyDescent="0.3">
      <c r="A471" s="1" t="s">
        <v>516</v>
      </c>
      <c r="B471" s="1" t="s">
        <v>22</v>
      </c>
      <c r="C471">
        <v>69</v>
      </c>
      <c r="D471" s="1" t="s">
        <v>16</v>
      </c>
      <c r="E471" s="1" t="s">
        <v>38</v>
      </c>
      <c r="F471" s="1" t="s">
        <v>18</v>
      </c>
      <c r="G471" s="1" t="s">
        <v>19</v>
      </c>
      <c r="H471" s="1" t="s">
        <v>20</v>
      </c>
      <c r="I471" s="2">
        <v>44646</v>
      </c>
      <c r="J471">
        <v>5052</v>
      </c>
      <c r="K471" s="2">
        <v>45865</v>
      </c>
      <c r="L471">
        <v>13550</v>
      </c>
      <c r="M471">
        <v>18602</v>
      </c>
      <c r="N471">
        <v>0</v>
      </c>
    </row>
    <row r="472" spans="1:14" x14ac:dyDescent="0.3">
      <c r="A472" s="1" t="s">
        <v>517</v>
      </c>
      <c r="B472" s="1" t="s">
        <v>61</v>
      </c>
      <c r="C472">
        <v>47</v>
      </c>
      <c r="D472" s="1" t="s">
        <v>16</v>
      </c>
      <c r="E472" s="1" t="s">
        <v>24</v>
      </c>
      <c r="F472" s="1" t="s">
        <v>18</v>
      </c>
      <c r="G472" s="1" t="s">
        <v>19</v>
      </c>
      <c r="H472" s="1" t="s">
        <v>20</v>
      </c>
      <c r="I472" s="2">
        <v>45287</v>
      </c>
      <c r="J472">
        <v>4617</v>
      </c>
      <c r="K472" s="2">
        <v>45853</v>
      </c>
      <c r="L472">
        <v>-2945</v>
      </c>
      <c r="M472">
        <v>1672</v>
      </c>
      <c r="N472">
        <v>0</v>
      </c>
    </row>
    <row r="473" spans="1:14" x14ac:dyDescent="0.3">
      <c r="A473" s="1" t="s">
        <v>518</v>
      </c>
      <c r="B473" s="1" t="s">
        <v>40</v>
      </c>
      <c r="C473">
        <v>64</v>
      </c>
      <c r="D473" s="1" t="s">
        <v>16</v>
      </c>
      <c r="E473" s="1" t="s">
        <v>17</v>
      </c>
      <c r="F473" s="1" t="s">
        <v>18</v>
      </c>
      <c r="G473" s="1" t="s">
        <v>19</v>
      </c>
      <c r="H473" s="1" t="s">
        <v>20</v>
      </c>
      <c r="I473" s="2">
        <v>44422</v>
      </c>
      <c r="J473">
        <v>10337</v>
      </c>
      <c r="K473" s="2">
        <v>45809</v>
      </c>
      <c r="L473">
        <v>10362</v>
      </c>
      <c r="M473">
        <v>20699</v>
      </c>
      <c r="N473">
        <v>0</v>
      </c>
    </row>
    <row r="474" spans="1:14" x14ac:dyDescent="0.3">
      <c r="A474" s="1" t="s">
        <v>519</v>
      </c>
      <c r="B474" s="1" t="s">
        <v>71</v>
      </c>
      <c r="C474">
        <v>52</v>
      </c>
      <c r="D474" s="1" t="s">
        <v>23</v>
      </c>
      <c r="E474" s="1" t="s">
        <v>24</v>
      </c>
      <c r="F474" s="1" t="s">
        <v>25</v>
      </c>
      <c r="G474" s="1" t="s">
        <v>19</v>
      </c>
      <c r="H474" s="1" t="s">
        <v>20</v>
      </c>
      <c r="I474" s="2">
        <v>45064</v>
      </c>
      <c r="J474">
        <v>109394</v>
      </c>
      <c r="K474" s="2">
        <v>45829</v>
      </c>
      <c r="L474">
        <v>4000</v>
      </c>
      <c r="M474">
        <v>113394</v>
      </c>
      <c r="N474">
        <v>0</v>
      </c>
    </row>
    <row r="475" spans="1:14" x14ac:dyDescent="0.3">
      <c r="A475" s="1" t="s">
        <v>520</v>
      </c>
      <c r="B475" s="1" t="s">
        <v>37</v>
      </c>
      <c r="C475">
        <v>57</v>
      </c>
      <c r="D475" s="1" t="s">
        <v>23</v>
      </c>
      <c r="E475" s="1" t="s">
        <v>38</v>
      </c>
      <c r="F475" s="1" t="s">
        <v>18</v>
      </c>
      <c r="G475" s="1" t="s">
        <v>19</v>
      </c>
      <c r="H475" s="1" t="s">
        <v>20</v>
      </c>
      <c r="I475" s="2">
        <v>45481</v>
      </c>
      <c r="J475">
        <v>14657</v>
      </c>
      <c r="K475" s="2">
        <v>45865</v>
      </c>
      <c r="L475">
        <v>8045</v>
      </c>
      <c r="M475">
        <v>22702</v>
      </c>
      <c r="N475">
        <v>0</v>
      </c>
    </row>
    <row r="476" spans="1:14" x14ac:dyDescent="0.3">
      <c r="A476" s="1" t="s">
        <v>521</v>
      </c>
      <c r="B476" s="1" t="s">
        <v>37</v>
      </c>
      <c r="C476">
        <v>69</v>
      </c>
      <c r="D476" s="1" t="s">
        <v>23</v>
      </c>
      <c r="E476" s="1" t="s">
        <v>17</v>
      </c>
      <c r="F476" s="1" t="s">
        <v>18</v>
      </c>
      <c r="G476" s="1" t="s">
        <v>19</v>
      </c>
      <c r="H476" s="1" t="s">
        <v>20</v>
      </c>
      <c r="I476" s="2">
        <v>44471</v>
      </c>
      <c r="J476">
        <v>26739</v>
      </c>
      <c r="K476" s="2">
        <v>45821</v>
      </c>
      <c r="L476">
        <v>14695</v>
      </c>
      <c r="M476">
        <v>41434</v>
      </c>
      <c r="N476">
        <v>0</v>
      </c>
    </row>
    <row r="477" spans="1:14" x14ac:dyDescent="0.3">
      <c r="A477" s="1" t="s">
        <v>522</v>
      </c>
      <c r="B477" s="1" t="s">
        <v>79</v>
      </c>
      <c r="C477">
        <v>33</v>
      </c>
      <c r="D477" s="1" t="s">
        <v>23</v>
      </c>
      <c r="E477" s="1" t="s">
        <v>35</v>
      </c>
      <c r="F477" s="1" t="s">
        <v>18</v>
      </c>
      <c r="G477" s="1" t="s">
        <v>19</v>
      </c>
      <c r="H477" s="1" t="s">
        <v>20</v>
      </c>
      <c r="I477" s="2">
        <v>45457</v>
      </c>
      <c r="J477">
        <v>34150</v>
      </c>
      <c r="K477" s="2">
        <v>45869</v>
      </c>
      <c r="L477">
        <v>2926</v>
      </c>
      <c r="M477">
        <v>37076</v>
      </c>
      <c r="N477">
        <v>0</v>
      </c>
    </row>
    <row r="478" spans="1:14" x14ac:dyDescent="0.3">
      <c r="A478" s="1" t="s">
        <v>523</v>
      </c>
      <c r="B478" s="1" t="s">
        <v>59</v>
      </c>
      <c r="C478">
        <v>30</v>
      </c>
      <c r="D478" s="1" t="s">
        <v>16</v>
      </c>
      <c r="E478" s="1" t="s">
        <v>24</v>
      </c>
      <c r="F478" s="1" t="s">
        <v>18</v>
      </c>
      <c r="G478" s="1" t="s">
        <v>19</v>
      </c>
      <c r="H478" s="1" t="s">
        <v>20</v>
      </c>
      <c r="I478" s="2">
        <v>45469</v>
      </c>
      <c r="J478">
        <v>11559</v>
      </c>
      <c r="K478" s="2">
        <v>45861</v>
      </c>
      <c r="L478">
        <v>13717</v>
      </c>
      <c r="M478">
        <v>25276</v>
      </c>
      <c r="N478">
        <v>0</v>
      </c>
    </row>
    <row r="479" spans="1:14" x14ac:dyDescent="0.3">
      <c r="A479" s="1" t="s">
        <v>524</v>
      </c>
      <c r="B479" s="1" t="s">
        <v>71</v>
      </c>
      <c r="C479">
        <v>67</v>
      </c>
      <c r="D479" s="1" t="s">
        <v>23</v>
      </c>
      <c r="E479" s="1" t="s">
        <v>35</v>
      </c>
      <c r="F479" s="1" t="s">
        <v>18</v>
      </c>
      <c r="G479" s="1" t="s">
        <v>19</v>
      </c>
      <c r="H479" s="1" t="s">
        <v>20</v>
      </c>
      <c r="I479" s="2">
        <v>44297</v>
      </c>
      <c r="J479">
        <v>4184</v>
      </c>
      <c r="K479" s="2">
        <v>45858</v>
      </c>
      <c r="L479">
        <v>-6319</v>
      </c>
      <c r="M479">
        <v>-2135</v>
      </c>
      <c r="N479">
        <v>0</v>
      </c>
    </row>
    <row r="480" spans="1:14" x14ac:dyDescent="0.3">
      <c r="A480" s="1" t="s">
        <v>525</v>
      </c>
      <c r="B480" s="1" t="s">
        <v>22</v>
      </c>
      <c r="C480">
        <v>59</v>
      </c>
      <c r="D480" s="1" t="s">
        <v>23</v>
      </c>
      <c r="E480" s="1" t="s">
        <v>35</v>
      </c>
      <c r="F480" s="1" t="s">
        <v>18</v>
      </c>
      <c r="G480" s="1" t="s">
        <v>19</v>
      </c>
      <c r="H480" s="1" t="s">
        <v>20</v>
      </c>
      <c r="I480" s="2">
        <v>44228</v>
      </c>
      <c r="J480">
        <v>2701</v>
      </c>
      <c r="K480" s="2">
        <v>45761</v>
      </c>
      <c r="L480">
        <v>-5098</v>
      </c>
      <c r="M480">
        <v>-2397</v>
      </c>
      <c r="N480">
        <v>0</v>
      </c>
    </row>
    <row r="481" spans="1:14" x14ac:dyDescent="0.3">
      <c r="A481" s="1" t="s">
        <v>526</v>
      </c>
      <c r="B481" s="1" t="s">
        <v>59</v>
      </c>
      <c r="C481">
        <v>47</v>
      </c>
      <c r="D481" s="1" t="s">
        <v>16</v>
      </c>
      <c r="E481" s="1" t="s">
        <v>24</v>
      </c>
      <c r="F481" s="1" t="s">
        <v>18</v>
      </c>
      <c r="G481" s="1" t="s">
        <v>41</v>
      </c>
      <c r="H481" s="1" t="s">
        <v>20</v>
      </c>
      <c r="I481" s="2">
        <v>45826</v>
      </c>
      <c r="J481">
        <v>9068</v>
      </c>
      <c r="K481" s="2">
        <v>45867</v>
      </c>
      <c r="L481">
        <v>888</v>
      </c>
      <c r="M481">
        <v>9956</v>
      </c>
      <c r="N481">
        <v>0</v>
      </c>
    </row>
    <row r="482" spans="1:14" x14ac:dyDescent="0.3">
      <c r="A482" s="1" t="s">
        <v>527</v>
      </c>
      <c r="B482" s="1" t="s">
        <v>15</v>
      </c>
      <c r="C482">
        <v>36</v>
      </c>
      <c r="D482" s="1" t="s">
        <v>16</v>
      </c>
      <c r="E482" s="1" t="s">
        <v>17</v>
      </c>
      <c r="F482" s="1" t="s">
        <v>25</v>
      </c>
      <c r="G482" s="1" t="s">
        <v>19</v>
      </c>
      <c r="H482" s="1" t="s">
        <v>20</v>
      </c>
      <c r="I482" s="2">
        <v>44520</v>
      </c>
      <c r="J482">
        <v>41938</v>
      </c>
      <c r="K482" s="2">
        <v>45697</v>
      </c>
      <c r="L482">
        <v>-6073</v>
      </c>
      <c r="M482">
        <v>35865</v>
      </c>
      <c r="N482">
        <v>0</v>
      </c>
    </row>
    <row r="483" spans="1:14" x14ac:dyDescent="0.3">
      <c r="A483" s="1" t="s">
        <v>528</v>
      </c>
      <c r="B483" s="1" t="s">
        <v>29</v>
      </c>
      <c r="C483">
        <v>34</v>
      </c>
      <c r="D483" s="1" t="s">
        <v>16</v>
      </c>
      <c r="E483" s="1" t="s">
        <v>17</v>
      </c>
      <c r="F483" s="1" t="s">
        <v>25</v>
      </c>
      <c r="G483" s="1" t="s">
        <v>19</v>
      </c>
      <c r="H483" s="1" t="s">
        <v>20</v>
      </c>
      <c r="I483" s="2">
        <v>45572</v>
      </c>
      <c r="J483">
        <v>34043</v>
      </c>
      <c r="K483" s="2">
        <v>45856</v>
      </c>
      <c r="L483">
        <v>-273</v>
      </c>
      <c r="M483">
        <v>33770</v>
      </c>
      <c r="N483">
        <v>0</v>
      </c>
    </row>
    <row r="484" spans="1:14" x14ac:dyDescent="0.3">
      <c r="A484" s="1" t="s">
        <v>529</v>
      </c>
      <c r="B484" s="1" t="s">
        <v>75</v>
      </c>
      <c r="C484">
        <v>36</v>
      </c>
      <c r="D484" s="1" t="s">
        <v>23</v>
      </c>
      <c r="E484" s="1" t="s">
        <v>17</v>
      </c>
      <c r="F484" s="1" t="s">
        <v>18</v>
      </c>
      <c r="G484" s="1" t="s">
        <v>19</v>
      </c>
      <c r="H484" s="1" t="s">
        <v>20</v>
      </c>
      <c r="I484" s="2">
        <v>45136</v>
      </c>
      <c r="J484">
        <v>17264</v>
      </c>
      <c r="K484" s="2">
        <v>45856</v>
      </c>
      <c r="L484">
        <v>-4105</v>
      </c>
      <c r="M484">
        <v>13159</v>
      </c>
      <c r="N484">
        <v>0</v>
      </c>
    </row>
    <row r="485" spans="1:14" x14ac:dyDescent="0.3">
      <c r="A485" s="1" t="s">
        <v>530</v>
      </c>
      <c r="B485" s="1" t="s">
        <v>34</v>
      </c>
      <c r="C485">
        <v>45</v>
      </c>
      <c r="D485" s="1" t="s">
        <v>23</v>
      </c>
      <c r="E485" s="1" t="s">
        <v>38</v>
      </c>
      <c r="F485" s="1" t="s">
        <v>18</v>
      </c>
      <c r="G485" s="1" t="s">
        <v>19</v>
      </c>
      <c r="H485" s="1" t="s">
        <v>20</v>
      </c>
      <c r="I485" s="2">
        <v>44639</v>
      </c>
      <c r="J485">
        <v>19710</v>
      </c>
      <c r="K485" s="2">
        <v>45848</v>
      </c>
      <c r="L485">
        <v>24575</v>
      </c>
      <c r="M485">
        <v>44285</v>
      </c>
      <c r="N485">
        <v>0</v>
      </c>
    </row>
    <row r="486" spans="1:14" x14ac:dyDescent="0.3">
      <c r="A486" s="1" t="s">
        <v>531</v>
      </c>
      <c r="B486" s="1" t="s">
        <v>22</v>
      </c>
      <c r="C486">
        <v>43</v>
      </c>
      <c r="D486" s="1" t="s">
        <v>23</v>
      </c>
      <c r="E486" s="1" t="s">
        <v>24</v>
      </c>
      <c r="F486" s="1" t="s">
        <v>18</v>
      </c>
      <c r="G486" s="1" t="s">
        <v>19</v>
      </c>
      <c r="H486" s="1" t="s">
        <v>20</v>
      </c>
      <c r="I486" s="2">
        <v>44414</v>
      </c>
      <c r="J486">
        <v>11651</v>
      </c>
      <c r="K486" s="2">
        <v>45747</v>
      </c>
      <c r="L486">
        <v>20376</v>
      </c>
      <c r="M486">
        <v>32027</v>
      </c>
      <c r="N486">
        <v>0</v>
      </c>
    </row>
    <row r="487" spans="1:14" x14ac:dyDescent="0.3">
      <c r="A487" s="1" t="s">
        <v>532</v>
      </c>
      <c r="B487" s="1" t="s">
        <v>64</v>
      </c>
      <c r="C487">
        <v>54</v>
      </c>
      <c r="D487" s="1" t="s">
        <v>23</v>
      </c>
      <c r="E487" s="1" t="s">
        <v>24</v>
      </c>
      <c r="F487" s="1" t="s">
        <v>18</v>
      </c>
      <c r="G487" s="1" t="s">
        <v>19</v>
      </c>
      <c r="H487" s="1" t="s">
        <v>20</v>
      </c>
      <c r="I487" s="2">
        <v>45027</v>
      </c>
      <c r="J487">
        <v>8255</v>
      </c>
      <c r="K487" s="2">
        <v>45824</v>
      </c>
      <c r="L487">
        <v>7217</v>
      </c>
      <c r="M487">
        <v>15472</v>
      </c>
      <c r="N487">
        <v>0</v>
      </c>
    </row>
    <row r="488" spans="1:14" x14ac:dyDescent="0.3">
      <c r="A488" s="1" t="s">
        <v>533</v>
      </c>
      <c r="B488" s="1" t="s">
        <v>48</v>
      </c>
      <c r="C488">
        <v>43</v>
      </c>
      <c r="D488" s="1" t="s">
        <v>16</v>
      </c>
      <c r="E488" s="1" t="s">
        <v>24</v>
      </c>
      <c r="F488" s="1" t="s">
        <v>18</v>
      </c>
      <c r="G488" s="1" t="s">
        <v>41</v>
      </c>
      <c r="H488" s="1" t="s">
        <v>20</v>
      </c>
      <c r="I488" s="2">
        <v>44878</v>
      </c>
      <c r="J488">
        <v>6386</v>
      </c>
      <c r="K488" s="2">
        <v>45843</v>
      </c>
      <c r="L488">
        <v>-9367</v>
      </c>
      <c r="M488">
        <v>-2981</v>
      </c>
      <c r="N488">
        <v>0</v>
      </c>
    </row>
    <row r="489" spans="1:14" x14ac:dyDescent="0.3">
      <c r="A489" s="1" t="s">
        <v>534</v>
      </c>
      <c r="B489" s="1" t="s">
        <v>43</v>
      </c>
      <c r="C489">
        <v>40</v>
      </c>
      <c r="D489" s="1" t="s">
        <v>16</v>
      </c>
      <c r="E489" s="1" t="s">
        <v>35</v>
      </c>
      <c r="F489" s="1" t="s">
        <v>18</v>
      </c>
      <c r="G489" s="1" t="s">
        <v>19</v>
      </c>
      <c r="H489" s="1" t="s">
        <v>20</v>
      </c>
      <c r="I489" s="2">
        <v>45366</v>
      </c>
      <c r="J489">
        <v>3067</v>
      </c>
      <c r="K489" s="2">
        <v>45864</v>
      </c>
      <c r="L489">
        <v>10064</v>
      </c>
      <c r="M489">
        <v>13131</v>
      </c>
      <c r="N489">
        <v>0</v>
      </c>
    </row>
    <row r="490" spans="1:14" x14ac:dyDescent="0.3">
      <c r="A490" s="1" t="s">
        <v>535</v>
      </c>
      <c r="B490" s="1" t="s">
        <v>64</v>
      </c>
      <c r="C490">
        <v>26</v>
      </c>
      <c r="D490" s="1" t="s">
        <v>16</v>
      </c>
      <c r="E490" s="1" t="s">
        <v>17</v>
      </c>
      <c r="F490" s="1" t="s">
        <v>18</v>
      </c>
      <c r="G490" s="1" t="s">
        <v>19</v>
      </c>
      <c r="H490" s="1" t="s">
        <v>20</v>
      </c>
      <c r="I490" s="2">
        <v>45709</v>
      </c>
      <c r="J490">
        <v>80590</v>
      </c>
      <c r="K490" s="2">
        <v>45867</v>
      </c>
      <c r="L490">
        <v>5974</v>
      </c>
      <c r="M490">
        <v>86564</v>
      </c>
      <c r="N490">
        <v>0</v>
      </c>
    </row>
    <row r="491" spans="1:14" x14ac:dyDescent="0.3">
      <c r="A491" s="1" t="s">
        <v>536</v>
      </c>
      <c r="B491" s="1" t="s">
        <v>59</v>
      </c>
      <c r="C491">
        <v>29</v>
      </c>
      <c r="D491" s="1" t="s">
        <v>16</v>
      </c>
      <c r="E491" s="1" t="s">
        <v>17</v>
      </c>
      <c r="F491" s="1" t="s">
        <v>18</v>
      </c>
      <c r="G491" s="1" t="s">
        <v>41</v>
      </c>
      <c r="H491" s="1" t="s">
        <v>20</v>
      </c>
      <c r="I491" s="2">
        <v>45544</v>
      </c>
      <c r="J491">
        <v>15853</v>
      </c>
      <c r="K491" s="2">
        <v>45823</v>
      </c>
      <c r="L491">
        <v>6965</v>
      </c>
      <c r="M491">
        <v>22818</v>
      </c>
      <c r="N491">
        <v>0</v>
      </c>
    </row>
    <row r="492" spans="1:14" x14ac:dyDescent="0.3">
      <c r="A492" s="1" t="s">
        <v>537</v>
      </c>
      <c r="B492" s="1" t="s">
        <v>64</v>
      </c>
      <c r="C492">
        <v>18</v>
      </c>
      <c r="D492" s="1" t="s">
        <v>23</v>
      </c>
      <c r="E492" s="1" t="s">
        <v>17</v>
      </c>
      <c r="F492" s="1" t="s">
        <v>18</v>
      </c>
      <c r="G492" s="1" t="s">
        <v>19</v>
      </c>
      <c r="H492" s="1" t="s">
        <v>20</v>
      </c>
      <c r="I492" s="2">
        <v>44656</v>
      </c>
      <c r="J492">
        <v>8583</v>
      </c>
      <c r="K492" s="2">
        <v>45794</v>
      </c>
      <c r="L492">
        <v>-2891</v>
      </c>
      <c r="M492">
        <v>5692</v>
      </c>
      <c r="N492">
        <v>0</v>
      </c>
    </row>
    <row r="493" spans="1:14" x14ac:dyDescent="0.3">
      <c r="A493" s="1" t="s">
        <v>538</v>
      </c>
      <c r="B493" s="1" t="s">
        <v>22</v>
      </c>
      <c r="C493">
        <v>18</v>
      </c>
      <c r="D493" s="1" t="s">
        <v>16</v>
      </c>
      <c r="E493" s="1" t="s">
        <v>35</v>
      </c>
      <c r="F493" s="1" t="s">
        <v>18</v>
      </c>
      <c r="G493" s="1" t="s">
        <v>19</v>
      </c>
      <c r="H493" s="1" t="s">
        <v>20</v>
      </c>
      <c r="I493" s="2">
        <v>45667</v>
      </c>
      <c r="J493">
        <v>82551</v>
      </c>
      <c r="K493" s="2">
        <v>45866</v>
      </c>
      <c r="L493">
        <v>10069</v>
      </c>
      <c r="M493">
        <v>92620</v>
      </c>
      <c r="N493">
        <v>0</v>
      </c>
    </row>
    <row r="494" spans="1:14" x14ac:dyDescent="0.3">
      <c r="A494" s="1" t="s">
        <v>539</v>
      </c>
      <c r="B494" s="1" t="s">
        <v>43</v>
      </c>
      <c r="C494">
        <v>64</v>
      </c>
      <c r="D494" s="1" t="s">
        <v>23</v>
      </c>
      <c r="E494" s="1" t="s">
        <v>24</v>
      </c>
      <c r="F494" s="1" t="s">
        <v>18</v>
      </c>
      <c r="G494" s="1" t="s">
        <v>19</v>
      </c>
      <c r="H494" s="1" t="s">
        <v>20</v>
      </c>
      <c r="I494" s="2">
        <v>45591</v>
      </c>
      <c r="J494">
        <v>99906</v>
      </c>
      <c r="K494" s="2">
        <v>45869</v>
      </c>
      <c r="L494">
        <v>-883</v>
      </c>
      <c r="M494">
        <v>99023</v>
      </c>
      <c r="N494">
        <v>0</v>
      </c>
    </row>
    <row r="495" spans="1:14" x14ac:dyDescent="0.3">
      <c r="A495" s="1" t="s">
        <v>540</v>
      </c>
      <c r="B495" s="1" t="s">
        <v>52</v>
      </c>
      <c r="C495">
        <v>51</v>
      </c>
      <c r="D495" s="1" t="s">
        <v>16</v>
      </c>
      <c r="E495" s="1" t="s">
        <v>24</v>
      </c>
      <c r="F495" s="1" t="s">
        <v>18</v>
      </c>
      <c r="G495" s="1" t="s">
        <v>19</v>
      </c>
      <c r="H495" s="1" t="s">
        <v>20</v>
      </c>
      <c r="I495" s="2">
        <v>45751</v>
      </c>
      <c r="J495">
        <v>207972</v>
      </c>
      <c r="K495" s="2">
        <v>45838</v>
      </c>
      <c r="L495">
        <v>6347</v>
      </c>
      <c r="M495">
        <v>214319</v>
      </c>
      <c r="N495">
        <v>0</v>
      </c>
    </row>
    <row r="496" spans="1:14" x14ac:dyDescent="0.3">
      <c r="A496" s="1" t="s">
        <v>541</v>
      </c>
      <c r="B496" s="1" t="s">
        <v>32</v>
      </c>
      <c r="C496">
        <v>49</v>
      </c>
      <c r="D496" s="1" t="s">
        <v>16</v>
      </c>
      <c r="E496" s="1" t="s">
        <v>17</v>
      </c>
      <c r="F496" s="1" t="s">
        <v>18</v>
      </c>
      <c r="G496" s="1" t="s">
        <v>19</v>
      </c>
      <c r="H496" s="1" t="s">
        <v>20</v>
      </c>
      <c r="I496" s="2">
        <v>44964</v>
      </c>
      <c r="J496">
        <v>10422</v>
      </c>
      <c r="K496" s="2">
        <v>45869</v>
      </c>
      <c r="L496">
        <v>23833</v>
      </c>
      <c r="M496">
        <v>34255</v>
      </c>
      <c r="N496">
        <v>0</v>
      </c>
    </row>
    <row r="497" spans="1:14" x14ac:dyDescent="0.3">
      <c r="A497" s="1" t="s">
        <v>542</v>
      </c>
      <c r="B497" s="1" t="s">
        <v>40</v>
      </c>
      <c r="C497">
        <v>65</v>
      </c>
      <c r="D497" s="1" t="s">
        <v>23</v>
      </c>
      <c r="E497" s="1" t="s">
        <v>24</v>
      </c>
      <c r="F497" s="1" t="s">
        <v>18</v>
      </c>
      <c r="G497" s="1" t="s">
        <v>19</v>
      </c>
      <c r="H497" s="1" t="s">
        <v>20</v>
      </c>
      <c r="I497" s="2">
        <v>45482</v>
      </c>
      <c r="J497">
        <v>14842</v>
      </c>
      <c r="K497" s="2">
        <v>45834</v>
      </c>
      <c r="L497">
        <v>5315</v>
      </c>
      <c r="M497">
        <v>20157</v>
      </c>
      <c r="N497">
        <v>0</v>
      </c>
    </row>
    <row r="498" spans="1:14" x14ac:dyDescent="0.3">
      <c r="A498" s="1" t="s">
        <v>543</v>
      </c>
      <c r="B498" s="1" t="s">
        <v>37</v>
      </c>
      <c r="C498">
        <v>42</v>
      </c>
      <c r="D498" s="1" t="s">
        <v>23</v>
      </c>
      <c r="E498" s="1" t="s">
        <v>17</v>
      </c>
      <c r="F498" s="1" t="s">
        <v>18</v>
      </c>
      <c r="G498" s="1" t="s">
        <v>19</v>
      </c>
      <c r="H498" s="1" t="s">
        <v>20</v>
      </c>
      <c r="I498" s="2">
        <v>45186</v>
      </c>
      <c r="J498">
        <v>25616</v>
      </c>
      <c r="K498" s="2">
        <v>45858</v>
      </c>
      <c r="L498">
        <v>26330</v>
      </c>
      <c r="M498">
        <v>51946</v>
      </c>
      <c r="N498">
        <v>0</v>
      </c>
    </row>
    <row r="499" spans="1:14" x14ac:dyDescent="0.3">
      <c r="A499" s="1" t="s">
        <v>544</v>
      </c>
      <c r="B499" s="1" t="s">
        <v>56</v>
      </c>
      <c r="C499">
        <v>57</v>
      </c>
      <c r="D499" s="1" t="s">
        <v>30</v>
      </c>
      <c r="E499" s="1" t="s">
        <v>35</v>
      </c>
      <c r="F499" s="1" t="s">
        <v>18</v>
      </c>
      <c r="G499" s="1" t="s">
        <v>19</v>
      </c>
      <c r="H499" s="1" t="s">
        <v>20</v>
      </c>
      <c r="I499" s="2">
        <v>44716</v>
      </c>
      <c r="J499">
        <v>70417</v>
      </c>
      <c r="K499" s="2">
        <v>45786</v>
      </c>
      <c r="L499">
        <v>15420</v>
      </c>
      <c r="M499">
        <v>85837</v>
      </c>
      <c r="N499">
        <v>0</v>
      </c>
    </row>
    <row r="500" spans="1:14" x14ac:dyDescent="0.3">
      <c r="A500" s="1" t="s">
        <v>545</v>
      </c>
      <c r="B500" s="1" t="s">
        <v>15</v>
      </c>
      <c r="C500">
        <v>62</v>
      </c>
      <c r="D500" s="1" t="s">
        <v>23</v>
      </c>
      <c r="E500" s="1" t="s">
        <v>38</v>
      </c>
      <c r="F500" s="1" t="s">
        <v>18</v>
      </c>
      <c r="G500" s="1" t="s">
        <v>41</v>
      </c>
      <c r="H500" s="1" t="s">
        <v>20</v>
      </c>
      <c r="I500" s="2">
        <v>45860</v>
      </c>
      <c r="J500">
        <v>14215</v>
      </c>
      <c r="K500" s="2">
        <v>45869</v>
      </c>
      <c r="L500">
        <v>33618</v>
      </c>
      <c r="M500">
        <v>47833</v>
      </c>
      <c r="N500">
        <v>0</v>
      </c>
    </row>
    <row r="501" spans="1:14" x14ac:dyDescent="0.3">
      <c r="A501" s="1" t="s">
        <v>546</v>
      </c>
      <c r="B501" s="1" t="s">
        <v>22</v>
      </c>
      <c r="C501">
        <v>18</v>
      </c>
      <c r="D501" s="1" t="s">
        <v>23</v>
      </c>
      <c r="E501" s="1" t="s">
        <v>24</v>
      </c>
      <c r="F501" s="1" t="s">
        <v>18</v>
      </c>
      <c r="G501" s="1" t="s">
        <v>19</v>
      </c>
      <c r="H501" s="1" t="s">
        <v>20</v>
      </c>
      <c r="I501" s="2">
        <v>44261</v>
      </c>
      <c r="J501">
        <v>4997</v>
      </c>
      <c r="K501" s="2">
        <v>45760</v>
      </c>
      <c r="L501">
        <v>3517</v>
      </c>
      <c r="M501">
        <v>8514</v>
      </c>
      <c r="N501">
        <v>0</v>
      </c>
    </row>
    <row r="502" spans="1:14" x14ac:dyDescent="0.3">
      <c r="A502" s="1" t="s">
        <v>547</v>
      </c>
      <c r="B502" s="1" t="s">
        <v>56</v>
      </c>
      <c r="C502">
        <v>33</v>
      </c>
      <c r="D502" s="1" t="s">
        <v>23</v>
      </c>
      <c r="E502" s="1" t="s">
        <v>38</v>
      </c>
      <c r="F502" s="1" t="s">
        <v>18</v>
      </c>
      <c r="G502" s="1" t="s">
        <v>19</v>
      </c>
      <c r="H502" s="1" t="s">
        <v>20</v>
      </c>
      <c r="I502" s="2">
        <v>44468</v>
      </c>
      <c r="J502">
        <v>6289</v>
      </c>
      <c r="K502" s="2">
        <v>45727</v>
      </c>
      <c r="L502">
        <v>39687</v>
      </c>
      <c r="M502">
        <v>45976</v>
      </c>
      <c r="N502">
        <v>0</v>
      </c>
    </row>
    <row r="503" spans="1:14" x14ac:dyDescent="0.3">
      <c r="A503" s="1" t="s">
        <v>548</v>
      </c>
      <c r="B503" s="1" t="s">
        <v>61</v>
      </c>
      <c r="C503">
        <v>56</v>
      </c>
      <c r="D503" s="1" t="s">
        <v>16</v>
      </c>
      <c r="E503" s="1" t="s">
        <v>17</v>
      </c>
      <c r="F503" s="1" t="s">
        <v>18</v>
      </c>
      <c r="G503" s="1" t="s">
        <v>19</v>
      </c>
      <c r="H503" s="1" t="s">
        <v>20</v>
      </c>
      <c r="I503" s="2">
        <v>45690</v>
      </c>
      <c r="J503">
        <v>43366</v>
      </c>
      <c r="K503" s="2">
        <v>45859</v>
      </c>
      <c r="L503">
        <v>4274</v>
      </c>
      <c r="M503">
        <v>47640</v>
      </c>
      <c r="N503">
        <v>0</v>
      </c>
    </row>
    <row r="504" spans="1:14" x14ac:dyDescent="0.3">
      <c r="A504" s="1" t="s">
        <v>549</v>
      </c>
      <c r="B504" s="1" t="s">
        <v>22</v>
      </c>
      <c r="C504">
        <v>22</v>
      </c>
      <c r="D504" s="1" t="s">
        <v>16</v>
      </c>
      <c r="E504" s="1" t="s">
        <v>38</v>
      </c>
      <c r="F504" s="1" t="s">
        <v>25</v>
      </c>
      <c r="G504" s="1" t="s">
        <v>19</v>
      </c>
      <c r="H504" s="1" t="s">
        <v>20</v>
      </c>
      <c r="I504" s="2">
        <v>44298</v>
      </c>
      <c r="J504">
        <v>24860</v>
      </c>
      <c r="K504" s="2">
        <v>45856</v>
      </c>
      <c r="L504">
        <v>7165</v>
      </c>
      <c r="M504">
        <v>32025</v>
      </c>
      <c r="N504">
        <v>0</v>
      </c>
    </row>
    <row r="505" spans="1:14" x14ac:dyDescent="0.3">
      <c r="A505" s="1" t="s">
        <v>550</v>
      </c>
      <c r="B505" s="1" t="s">
        <v>87</v>
      </c>
      <c r="C505">
        <v>39</v>
      </c>
      <c r="D505" s="1" t="s">
        <v>16</v>
      </c>
      <c r="E505" s="1" t="s">
        <v>38</v>
      </c>
      <c r="F505" s="1" t="s">
        <v>18</v>
      </c>
      <c r="G505" s="1" t="s">
        <v>41</v>
      </c>
      <c r="H505" s="1" t="s">
        <v>20</v>
      </c>
      <c r="I505" s="2">
        <v>45680</v>
      </c>
      <c r="J505">
        <v>11238</v>
      </c>
      <c r="K505" s="2">
        <v>45844</v>
      </c>
      <c r="L505">
        <v>13138</v>
      </c>
      <c r="M505">
        <v>24376</v>
      </c>
      <c r="N505">
        <v>0</v>
      </c>
    </row>
    <row r="506" spans="1:14" x14ac:dyDescent="0.3">
      <c r="A506" s="1" t="s">
        <v>551</v>
      </c>
      <c r="B506" s="1" t="s">
        <v>52</v>
      </c>
      <c r="C506">
        <v>46</v>
      </c>
      <c r="D506" s="1" t="s">
        <v>23</v>
      </c>
      <c r="E506" s="1" t="s">
        <v>24</v>
      </c>
      <c r="F506" s="1" t="s">
        <v>18</v>
      </c>
      <c r="G506" s="1" t="s">
        <v>19</v>
      </c>
      <c r="H506" s="1" t="s">
        <v>20</v>
      </c>
      <c r="I506" s="2">
        <v>45393</v>
      </c>
      <c r="J506">
        <v>10523</v>
      </c>
      <c r="K506" s="2">
        <v>45837</v>
      </c>
      <c r="L506">
        <v>35035</v>
      </c>
      <c r="M506">
        <v>45558</v>
      </c>
      <c r="N506">
        <v>0</v>
      </c>
    </row>
    <row r="507" spans="1:14" x14ac:dyDescent="0.3">
      <c r="A507" s="1" t="s">
        <v>552</v>
      </c>
      <c r="B507" s="1" t="s">
        <v>22</v>
      </c>
      <c r="C507">
        <v>20</v>
      </c>
      <c r="D507" s="1" t="s">
        <v>16</v>
      </c>
      <c r="E507" s="1" t="s">
        <v>38</v>
      </c>
      <c r="F507" s="1" t="s">
        <v>25</v>
      </c>
      <c r="G507" s="1" t="s">
        <v>19</v>
      </c>
      <c r="H507" s="1" t="s">
        <v>20</v>
      </c>
      <c r="I507" s="2">
        <v>44258</v>
      </c>
      <c r="J507">
        <v>11239</v>
      </c>
      <c r="K507" s="2">
        <v>45855</v>
      </c>
      <c r="L507">
        <v>-21584</v>
      </c>
      <c r="M507">
        <v>-10345</v>
      </c>
      <c r="N507">
        <v>0</v>
      </c>
    </row>
    <row r="508" spans="1:14" x14ac:dyDescent="0.3">
      <c r="A508" s="1" t="s">
        <v>553</v>
      </c>
      <c r="B508" s="1" t="s">
        <v>75</v>
      </c>
      <c r="C508">
        <v>29</v>
      </c>
      <c r="D508" s="1" t="s">
        <v>23</v>
      </c>
      <c r="E508" s="1" t="s">
        <v>24</v>
      </c>
      <c r="F508" s="1" t="s">
        <v>18</v>
      </c>
      <c r="G508" s="1" t="s">
        <v>19</v>
      </c>
      <c r="H508" s="1" t="s">
        <v>20</v>
      </c>
      <c r="I508" s="2">
        <v>44915</v>
      </c>
      <c r="J508">
        <v>46122</v>
      </c>
      <c r="K508" s="2">
        <v>45850</v>
      </c>
      <c r="L508">
        <v>3895</v>
      </c>
      <c r="M508">
        <v>50017</v>
      </c>
      <c r="N508">
        <v>0</v>
      </c>
    </row>
    <row r="509" spans="1:14" x14ac:dyDescent="0.3">
      <c r="A509" s="1" t="s">
        <v>554</v>
      </c>
      <c r="B509" s="1" t="s">
        <v>40</v>
      </c>
      <c r="C509">
        <v>43</v>
      </c>
      <c r="D509" s="1" t="s">
        <v>16</v>
      </c>
      <c r="E509" s="1" t="s">
        <v>24</v>
      </c>
      <c r="F509" s="1" t="s">
        <v>18</v>
      </c>
      <c r="G509" s="1" t="s">
        <v>41</v>
      </c>
      <c r="H509" s="1" t="s">
        <v>20</v>
      </c>
      <c r="I509" s="2">
        <v>45459</v>
      </c>
      <c r="J509">
        <v>6070</v>
      </c>
      <c r="K509" s="2">
        <v>45860</v>
      </c>
      <c r="L509">
        <v>14335</v>
      </c>
      <c r="M509">
        <v>20405</v>
      </c>
      <c r="N509">
        <v>0</v>
      </c>
    </row>
    <row r="510" spans="1:14" x14ac:dyDescent="0.3">
      <c r="A510" s="1" t="s">
        <v>555</v>
      </c>
      <c r="B510" s="1" t="s">
        <v>48</v>
      </c>
      <c r="C510">
        <v>33</v>
      </c>
      <c r="D510" s="1" t="s">
        <v>16</v>
      </c>
      <c r="E510" s="1" t="s">
        <v>17</v>
      </c>
      <c r="F510" s="1" t="s">
        <v>25</v>
      </c>
      <c r="G510" s="1" t="s">
        <v>19</v>
      </c>
      <c r="H510" s="1" t="s">
        <v>20</v>
      </c>
      <c r="I510" s="2">
        <v>45172</v>
      </c>
      <c r="J510">
        <v>3970</v>
      </c>
      <c r="K510" s="2">
        <v>45857</v>
      </c>
      <c r="L510">
        <v>6535</v>
      </c>
      <c r="M510">
        <v>10505</v>
      </c>
      <c r="N510">
        <v>0</v>
      </c>
    </row>
    <row r="511" spans="1:14" x14ac:dyDescent="0.3">
      <c r="A511" s="1" t="s">
        <v>556</v>
      </c>
      <c r="B511" s="1" t="s">
        <v>79</v>
      </c>
      <c r="C511">
        <v>68</v>
      </c>
      <c r="D511" s="1" t="s">
        <v>23</v>
      </c>
      <c r="E511" s="1" t="s">
        <v>24</v>
      </c>
      <c r="F511" s="1" t="s">
        <v>25</v>
      </c>
      <c r="G511" s="1" t="s">
        <v>19</v>
      </c>
      <c r="H511" s="1" t="s">
        <v>49</v>
      </c>
      <c r="I511" s="2">
        <v>45762</v>
      </c>
      <c r="J511">
        <v>82192</v>
      </c>
      <c r="K511" s="2">
        <v>45855</v>
      </c>
      <c r="L511">
        <v>9327</v>
      </c>
      <c r="M511">
        <v>91519</v>
      </c>
      <c r="N511">
        <v>0</v>
      </c>
    </row>
    <row r="512" spans="1:14" x14ac:dyDescent="0.3">
      <c r="A512" s="1" t="s">
        <v>557</v>
      </c>
      <c r="B512" s="1" t="s">
        <v>79</v>
      </c>
      <c r="C512">
        <v>54</v>
      </c>
      <c r="D512" s="1" t="s">
        <v>23</v>
      </c>
      <c r="E512" s="1" t="s">
        <v>38</v>
      </c>
      <c r="F512" s="1" t="s">
        <v>18</v>
      </c>
      <c r="G512" s="1" t="s">
        <v>19</v>
      </c>
      <c r="H512" s="1" t="s">
        <v>20</v>
      </c>
      <c r="I512" s="2">
        <v>45648</v>
      </c>
      <c r="J512">
        <v>13699</v>
      </c>
      <c r="K512" s="2">
        <v>45863</v>
      </c>
      <c r="L512">
        <v>34462</v>
      </c>
      <c r="M512">
        <v>48161</v>
      </c>
      <c r="N512">
        <v>0</v>
      </c>
    </row>
    <row r="513" spans="1:14" x14ac:dyDescent="0.3">
      <c r="A513" s="1" t="s">
        <v>558</v>
      </c>
      <c r="B513" s="1" t="s">
        <v>64</v>
      </c>
      <c r="C513">
        <v>39</v>
      </c>
      <c r="D513" s="1" t="s">
        <v>23</v>
      </c>
      <c r="E513" s="1" t="s">
        <v>35</v>
      </c>
      <c r="F513" s="1" t="s">
        <v>18</v>
      </c>
      <c r="G513" s="1" t="s">
        <v>41</v>
      </c>
      <c r="H513" s="1" t="s">
        <v>20</v>
      </c>
      <c r="I513" s="2">
        <v>44753</v>
      </c>
      <c r="J513">
        <v>12341</v>
      </c>
      <c r="K513" s="2">
        <v>45850</v>
      </c>
      <c r="L513">
        <v>28903</v>
      </c>
      <c r="M513">
        <v>41244</v>
      </c>
      <c r="N513">
        <v>0</v>
      </c>
    </row>
    <row r="514" spans="1:14" x14ac:dyDescent="0.3">
      <c r="A514" s="1" t="s">
        <v>559</v>
      </c>
      <c r="B514" s="1" t="s">
        <v>61</v>
      </c>
      <c r="C514">
        <v>46</v>
      </c>
      <c r="D514" s="1" t="s">
        <v>23</v>
      </c>
      <c r="E514" s="1" t="s">
        <v>24</v>
      </c>
      <c r="F514" s="1" t="s">
        <v>18</v>
      </c>
      <c r="G514" s="1" t="s">
        <v>19</v>
      </c>
      <c r="H514" s="1" t="s">
        <v>20</v>
      </c>
      <c r="I514" s="2">
        <v>44338</v>
      </c>
      <c r="J514">
        <v>26134</v>
      </c>
      <c r="K514" s="2">
        <v>45866</v>
      </c>
      <c r="L514">
        <v>19306</v>
      </c>
      <c r="M514">
        <v>45440</v>
      </c>
      <c r="N514">
        <v>0</v>
      </c>
    </row>
    <row r="515" spans="1:14" x14ac:dyDescent="0.3">
      <c r="A515" s="1" t="s">
        <v>560</v>
      </c>
      <c r="B515" s="1" t="s">
        <v>79</v>
      </c>
      <c r="C515">
        <v>31</v>
      </c>
      <c r="D515" s="1" t="s">
        <v>23</v>
      </c>
      <c r="E515" s="1" t="s">
        <v>38</v>
      </c>
      <c r="F515" s="1" t="s">
        <v>18</v>
      </c>
      <c r="G515" s="1" t="s">
        <v>19</v>
      </c>
      <c r="H515" s="1" t="s">
        <v>20</v>
      </c>
      <c r="I515" s="2">
        <v>45776</v>
      </c>
      <c r="J515">
        <v>4970</v>
      </c>
      <c r="K515" s="2">
        <v>45864</v>
      </c>
      <c r="L515">
        <v>-3769</v>
      </c>
      <c r="M515">
        <v>1201</v>
      </c>
      <c r="N515">
        <v>0</v>
      </c>
    </row>
    <row r="516" spans="1:14" x14ac:dyDescent="0.3">
      <c r="A516" s="1" t="s">
        <v>561</v>
      </c>
      <c r="B516" s="1" t="s">
        <v>87</v>
      </c>
      <c r="C516">
        <v>45</v>
      </c>
      <c r="D516" s="1" t="s">
        <v>16</v>
      </c>
      <c r="E516" s="1" t="s">
        <v>38</v>
      </c>
      <c r="F516" s="1" t="s">
        <v>18</v>
      </c>
      <c r="G516" s="1" t="s">
        <v>19</v>
      </c>
      <c r="H516" s="1" t="s">
        <v>20</v>
      </c>
      <c r="I516" s="2">
        <v>45062</v>
      </c>
      <c r="J516">
        <v>28297</v>
      </c>
      <c r="K516" s="2">
        <v>45842</v>
      </c>
      <c r="L516">
        <v>-2675</v>
      </c>
      <c r="M516">
        <v>25622</v>
      </c>
      <c r="N516">
        <v>0</v>
      </c>
    </row>
    <row r="517" spans="1:14" x14ac:dyDescent="0.3">
      <c r="A517" s="1" t="s">
        <v>562</v>
      </c>
      <c r="B517" s="1" t="s">
        <v>61</v>
      </c>
      <c r="C517">
        <v>22</v>
      </c>
      <c r="D517" s="1" t="s">
        <v>16</v>
      </c>
      <c r="E517" s="1" t="s">
        <v>17</v>
      </c>
      <c r="F517" s="1" t="s">
        <v>18</v>
      </c>
      <c r="G517" s="1" t="s">
        <v>19</v>
      </c>
      <c r="H517" s="1" t="s">
        <v>20</v>
      </c>
      <c r="I517" s="2">
        <v>44321</v>
      </c>
      <c r="J517">
        <v>9111</v>
      </c>
      <c r="K517" s="2">
        <v>45825</v>
      </c>
      <c r="L517">
        <v>1248</v>
      </c>
      <c r="M517">
        <v>10359</v>
      </c>
      <c r="N517">
        <v>0</v>
      </c>
    </row>
    <row r="518" spans="1:14" x14ac:dyDescent="0.3">
      <c r="A518" s="1" t="s">
        <v>563</v>
      </c>
      <c r="B518" s="1" t="s">
        <v>27</v>
      </c>
      <c r="C518">
        <v>64</v>
      </c>
      <c r="D518" s="1" t="s">
        <v>23</v>
      </c>
      <c r="E518" s="1" t="s">
        <v>24</v>
      </c>
      <c r="F518" s="1" t="s">
        <v>18</v>
      </c>
      <c r="G518" s="1" t="s">
        <v>19</v>
      </c>
      <c r="H518" s="1" t="s">
        <v>20</v>
      </c>
      <c r="I518" s="2">
        <v>45563</v>
      </c>
      <c r="J518">
        <v>41179</v>
      </c>
      <c r="K518" s="2">
        <v>45866</v>
      </c>
      <c r="L518">
        <v>32205</v>
      </c>
      <c r="M518">
        <v>73384</v>
      </c>
      <c r="N518">
        <v>0</v>
      </c>
    </row>
    <row r="519" spans="1:14" x14ac:dyDescent="0.3">
      <c r="A519" s="1" t="s">
        <v>564</v>
      </c>
      <c r="B519" s="1" t="s">
        <v>40</v>
      </c>
      <c r="C519">
        <v>66</v>
      </c>
      <c r="D519" s="1" t="s">
        <v>23</v>
      </c>
      <c r="E519" s="1" t="s">
        <v>17</v>
      </c>
      <c r="F519" s="1" t="s">
        <v>25</v>
      </c>
      <c r="G519" s="1" t="s">
        <v>41</v>
      </c>
      <c r="H519" s="1" t="s">
        <v>20</v>
      </c>
      <c r="I519" s="2">
        <v>45650</v>
      </c>
      <c r="J519">
        <v>2882</v>
      </c>
      <c r="K519" s="2">
        <v>45848</v>
      </c>
      <c r="L519">
        <v>-2762</v>
      </c>
      <c r="M519">
        <v>120</v>
      </c>
      <c r="N519">
        <v>0</v>
      </c>
    </row>
    <row r="520" spans="1:14" x14ac:dyDescent="0.3">
      <c r="A520" s="1" t="s">
        <v>565</v>
      </c>
      <c r="B520" s="1" t="s">
        <v>15</v>
      </c>
      <c r="C520">
        <v>47</v>
      </c>
      <c r="D520" s="1" t="s">
        <v>23</v>
      </c>
      <c r="E520" s="1" t="s">
        <v>38</v>
      </c>
      <c r="F520" s="1" t="s">
        <v>25</v>
      </c>
      <c r="G520" s="1" t="s">
        <v>41</v>
      </c>
      <c r="H520" s="1" t="s">
        <v>20</v>
      </c>
      <c r="I520" s="2">
        <v>45266</v>
      </c>
      <c r="J520">
        <v>20966</v>
      </c>
      <c r="K520" s="2">
        <v>45833</v>
      </c>
      <c r="L520">
        <v>-12939</v>
      </c>
      <c r="M520">
        <v>8027</v>
      </c>
      <c r="N520">
        <v>0</v>
      </c>
    </row>
    <row r="521" spans="1:14" x14ac:dyDescent="0.3">
      <c r="A521" s="1" t="s">
        <v>566</v>
      </c>
      <c r="B521" s="1" t="s">
        <v>37</v>
      </c>
      <c r="C521">
        <v>63</v>
      </c>
      <c r="D521" s="1" t="s">
        <v>16</v>
      </c>
      <c r="E521" s="1" t="s">
        <v>35</v>
      </c>
      <c r="F521" s="1" t="s">
        <v>18</v>
      </c>
      <c r="G521" s="1" t="s">
        <v>41</v>
      </c>
      <c r="H521" s="1" t="s">
        <v>20</v>
      </c>
      <c r="I521" s="2">
        <v>44945</v>
      </c>
      <c r="J521">
        <v>10602</v>
      </c>
      <c r="K521" s="2">
        <v>45851</v>
      </c>
      <c r="L521">
        <v>3499</v>
      </c>
      <c r="M521">
        <v>14101</v>
      </c>
      <c r="N521">
        <v>0</v>
      </c>
    </row>
    <row r="522" spans="1:14" x14ac:dyDescent="0.3">
      <c r="A522" s="1" t="s">
        <v>567</v>
      </c>
      <c r="B522" s="1" t="s">
        <v>43</v>
      </c>
      <c r="C522">
        <v>69</v>
      </c>
      <c r="D522" s="1" t="s">
        <v>23</v>
      </c>
      <c r="E522" s="1" t="s">
        <v>17</v>
      </c>
      <c r="F522" s="1" t="s">
        <v>25</v>
      </c>
      <c r="G522" s="1" t="s">
        <v>19</v>
      </c>
      <c r="H522" s="1" t="s">
        <v>20</v>
      </c>
      <c r="I522" s="2">
        <v>45304</v>
      </c>
      <c r="J522">
        <v>6604</v>
      </c>
      <c r="K522" s="2">
        <v>45860</v>
      </c>
      <c r="L522">
        <v>8691</v>
      </c>
      <c r="M522">
        <v>15295</v>
      </c>
      <c r="N522">
        <v>0</v>
      </c>
    </row>
    <row r="523" spans="1:14" x14ac:dyDescent="0.3">
      <c r="A523" s="1" t="s">
        <v>568</v>
      </c>
      <c r="B523" s="1" t="s">
        <v>15</v>
      </c>
      <c r="C523">
        <v>22</v>
      </c>
      <c r="D523" s="1" t="s">
        <v>16</v>
      </c>
      <c r="E523" s="1" t="s">
        <v>38</v>
      </c>
      <c r="F523" s="1" t="s">
        <v>18</v>
      </c>
      <c r="G523" s="1" t="s">
        <v>19</v>
      </c>
      <c r="H523" s="1" t="s">
        <v>20</v>
      </c>
      <c r="I523" s="2">
        <v>45379</v>
      </c>
      <c r="J523">
        <v>28893</v>
      </c>
      <c r="K523" s="2">
        <v>45857</v>
      </c>
      <c r="L523">
        <v>20658</v>
      </c>
      <c r="M523">
        <v>49551</v>
      </c>
      <c r="N523">
        <v>0</v>
      </c>
    </row>
    <row r="524" spans="1:14" x14ac:dyDescent="0.3">
      <c r="A524" s="1" t="s">
        <v>569</v>
      </c>
      <c r="B524" s="1" t="s">
        <v>37</v>
      </c>
      <c r="C524">
        <v>29</v>
      </c>
      <c r="D524" s="1" t="s">
        <v>16</v>
      </c>
      <c r="E524" s="1" t="s">
        <v>24</v>
      </c>
      <c r="F524" s="1" t="s">
        <v>25</v>
      </c>
      <c r="G524" s="1" t="s">
        <v>19</v>
      </c>
      <c r="H524" s="1" t="s">
        <v>20</v>
      </c>
      <c r="I524" s="2">
        <v>45691</v>
      </c>
      <c r="J524">
        <v>11518</v>
      </c>
      <c r="K524" s="2">
        <v>45861</v>
      </c>
      <c r="L524">
        <v>10892</v>
      </c>
      <c r="M524">
        <v>22410</v>
      </c>
      <c r="N524">
        <v>0</v>
      </c>
    </row>
    <row r="525" spans="1:14" x14ac:dyDescent="0.3">
      <c r="A525" s="1" t="s">
        <v>570</v>
      </c>
      <c r="B525" s="1" t="s">
        <v>56</v>
      </c>
      <c r="C525">
        <v>33</v>
      </c>
      <c r="D525" s="1" t="s">
        <v>16</v>
      </c>
      <c r="E525" s="1" t="s">
        <v>24</v>
      </c>
      <c r="F525" s="1" t="s">
        <v>18</v>
      </c>
      <c r="G525" s="1" t="s">
        <v>19</v>
      </c>
      <c r="H525" s="1" t="s">
        <v>20</v>
      </c>
      <c r="I525" s="2">
        <v>45796</v>
      </c>
      <c r="J525">
        <v>21290</v>
      </c>
      <c r="K525" s="2">
        <v>45868</v>
      </c>
      <c r="L525">
        <v>-7775</v>
      </c>
      <c r="M525">
        <v>13515</v>
      </c>
      <c r="N525">
        <v>0</v>
      </c>
    </row>
    <row r="526" spans="1:14" x14ac:dyDescent="0.3">
      <c r="A526" s="1" t="s">
        <v>571</v>
      </c>
      <c r="B526" s="1" t="s">
        <v>48</v>
      </c>
      <c r="C526">
        <v>43</v>
      </c>
      <c r="D526" s="1" t="s">
        <v>16</v>
      </c>
      <c r="E526" s="1" t="s">
        <v>24</v>
      </c>
      <c r="F526" s="1" t="s">
        <v>18</v>
      </c>
      <c r="G526" s="1" t="s">
        <v>19</v>
      </c>
      <c r="H526" s="1" t="s">
        <v>20</v>
      </c>
      <c r="I526" s="2">
        <v>45057</v>
      </c>
      <c r="J526">
        <v>47368</v>
      </c>
      <c r="K526" s="2">
        <v>45844</v>
      </c>
      <c r="L526">
        <v>14397</v>
      </c>
      <c r="M526">
        <v>61765</v>
      </c>
      <c r="N526">
        <v>0</v>
      </c>
    </row>
    <row r="527" spans="1:14" x14ac:dyDescent="0.3">
      <c r="A527" s="1" t="s">
        <v>572</v>
      </c>
      <c r="B527" s="1" t="s">
        <v>32</v>
      </c>
      <c r="C527">
        <v>43</v>
      </c>
      <c r="D527" s="1" t="s">
        <v>23</v>
      </c>
      <c r="E527" s="1" t="s">
        <v>24</v>
      </c>
      <c r="F527" s="1" t="s">
        <v>18</v>
      </c>
      <c r="G527" s="1" t="s">
        <v>19</v>
      </c>
      <c r="H527" s="1" t="s">
        <v>20</v>
      </c>
      <c r="I527" s="2">
        <v>45532</v>
      </c>
      <c r="J527">
        <v>29481</v>
      </c>
      <c r="K527" s="2">
        <v>45860</v>
      </c>
      <c r="L527">
        <v>20714</v>
      </c>
      <c r="M527">
        <v>50195</v>
      </c>
      <c r="N527">
        <v>0</v>
      </c>
    </row>
    <row r="528" spans="1:14" x14ac:dyDescent="0.3">
      <c r="A528" s="1" t="s">
        <v>573</v>
      </c>
      <c r="B528" s="1" t="s">
        <v>43</v>
      </c>
      <c r="C528">
        <v>65</v>
      </c>
      <c r="D528" s="1" t="s">
        <v>30</v>
      </c>
      <c r="E528" s="1" t="s">
        <v>17</v>
      </c>
      <c r="F528" s="1" t="s">
        <v>18</v>
      </c>
      <c r="G528" s="1" t="s">
        <v>41</v>
      </c>
      <c r="H528" s="1" t="s">
        <v>20</v>
      </c>
      <c r="I528" s="2">
        <v>45810</v>
      </c>
      <c r="J528">
        <v>4535</v>
      </c>
      <c r="K528" s="2">
        <v>45868</v>
      </c>
      <c r="L528">
        <v>6348</v>
      </c>
      <c r="M528">
        <v>10883</v>
      </c>
      <c r="N528">
        <v>0</v>
      </c>
    </row>
    <row r="529" spans="1:14" x14ac:dyDescent="0.3">
      <c r="A529" s="1" t="s">
        <v>574</v>
      </c>
      <c r="B529" s="1" t="s">
        <v>87</v>
      </c>
      <c r="C529">
        <v>38</v>
      </c>
      <c r="D529" s="1" t="s">
        <v>23</v>
      </c>
      <c r="E529" s="1" t="s">
        <v>17</v>
      </c>
      <c r="F529" s="1" t="s">
        <v>18</v>
      </c>
      <c r="G529" s="1" t="s">
        <v>19</v>
      </c>
      <c r="H529" s="1" t="s">
        <v>20</v>
      </c>
      <c r="I529" s="2">
        <v>44450</v>
      </c>
      <c r="J529">
        <v>7772</v>
      </c>
      <c r="K529" s="2">
        <v>45807</v>
      </c>
      <c r="L529">
        <v>-3948</v>
      </c>
      <c r="M529">
        <v>3824</v>
      </c>
      <c r="N529">
        <v>0</v>
      </c>
    </row>
    <row r="530" spans="1:14" x14ac:dyDescent="0.3">
      <c r="A530" s="1" t="s">
        <v>575</v>
      </c>
      <c r="B530" s="1" t="s">
        <v>22</v>
      </c>
      <c r="C530">
        <v>56</v>
      </c>
      <c r="D530" s="1" t="s">
        <v>23</v>
      </c>
      <c r="E530" s="1" t="s">
        <v>17</v>
      </c>
      <c r="F530" s="1" t="s">
        <v>25</v>
      </c>
      <c r="G530" s="1" t="s">
        <v>41</v>
      </c>
      <c r="H530" s="1" t="s">
        <v>20</v>
      </c>
      <c r="I530" s="2">
        <v>44227</v>
      </c>
      <c r="J530">
        <v>21148</v>
      </c>
      <c r="K530" s="2">
        <v>45802</v>
      </c>
      <c r="L530">
        <v>2819</v>
      </c>
      <c r="M530">
        <v>23967</v>
      </c>
      <c r="N530">
        <v>0</v>
      </c>
    </row>
    <row r="531" spans="1:14" x14ac:dyDescent="0.3">
      <c r="A531" s="1" t="s">
        <v>576</v>
      </c>
      <c r="B531" s="1" t="s">
        <v>22</v>
      </c>
      <c r="C531">
        <v>53</v>
      </c>
      <c r="D531" s="1" t="s">
        <v>16</v>
      </c>
      <c r="E531" s="1" t="s">
        <v>24</v>
      </c>
      <c r="F531" s="1" t="s">
        <v>25</v>
      </c>
      <c r="G531" s="1" t="s">
        <v>19</v>
      </c>
      <c r="H531" s="1" t="s">
        <v>20</v>
      </c>
      <c r="I531" s="2">
        <v>45650</v>
      </c>
      <c r="J531">
        <v>29551</v>
      </c>
      <c r="K531" s="2">
        <v>45840</v>
      </c>
      <c r="L531">
        <v>35725</v>
      </c>
      <c r="M531">
        <v>65276</v>
      </c>
      <c r="N531">
        <v>0</v>
      </c>
    </row>
    <row r="532" spans="1:14" x14ac:dyDescent="0.3">
      <c r="A532" s="1" t="s">
        <v>577</v>
      </c>
      <c r="B532" s="1" t="s">
        <v>59</v>
      </c>
      <c r="C532">
        <v>50</v>
      </c>
      <c r="D532" s="1" t="s">
        <v>16</v>
      </c>
      <c r="E532" s="1" t="s">
        <v>17</v>
      </c>
      <c r="F532" s="1" t="s">
        <v>18</v>
      </c>
      <c r="G532" s="1" t="s">
        <v>19</v>
      </c>
      <c r="H532" s="1" t="s">
        <v>20</v>
      </c>
      <c r="I532" s="2">
        <v>44523</v>
      </c>
      <c r="J532">
        <v>9037</v>
      </c>
      <c r="K532" s="2">
        <v>45852</v>
      </c>
      <c r="L532">
        <v>11405</v>
      </c>
      <c r="M532">
        <v>20442</v>
      </c>
      <c r="N532">
        <v>0</v>
      </c>
    </row>
    <row r="533" spans="1:14" x14ac:dyDescent="0.3">
      <c r="A533" s="1" t="s">
        <v>578</v>
      </c>
      <c r="B533" s="1" t="s">
        <v>37</v>
      </c>
      <c r="C533">
        <v>47</v>
      </c>
      <c r="D533" s="1" t="s">
        <v>16</v>
      </c>
      <c r="E533" s="1" t="s">
        <v>38</v>
      </c>
      <c r="F533" s="1" t="s">
        <v>18</v>
      </c>
      <c r="G533" s="1" t="s">
        <v>19</v>
      </c>
      <c r="H533" s="1" t="s">
        <v>20</v>
      </c>
      <c r="I533" s="2">
        <v>44268</v>
      </c>
      <c r="J533">
        <v>16283</v>
      </c>
      <c r="K533" s="2">
        <v>45861</v>
      </c>
      <c r="L533">
        <v>27478</v>
      </c>
      <c r="M533">
        <v>43761</v>
      </c>
      <c r="N533">
        <v>0</v>
      </c>
    </row>
    <row r="534" spans="1:14" x14ac:dyDescent="0.3">
      <c r="A534" s="1" t="s">
        <v>579</v>
      </c>
      <c r="B534" s="1" t="s">
        <v>61</v>
      </c>
      <c r="C534">
        <v>54</v>
      </c>
      <c r="D534" s="1" t="s">
        <v>23</v>
      </c>
      <c r="E534" s="1" t="s">
        <v>24</v>
      </c>
      <c r="F534" s="1" t="s">
        <v>18</v>
      </c>
      <c r="G534" s="1" t="s">
        <v>19</v>
      </c>
      <c r="H534" s="1" t="s">
        <v>20</v>
      </c>
      <c r="I534" s="2">
        <v>44464</v>
      </c>
      <c r="J534">
        <v>16181</v>
      </c>
      <c r="K534" s="2">
        <v>45802</v>
      </c>
      <c r="L534">
        <v>10200</v>
      </c>
      <c r="M534">
        <v>26381</v>
      </c>
      <c r="N534">
        <v>0</v>
      </c>
    </row>
    <row r="535" spans="1:14" x14ac:dyDescent="0.3">
      <c r="A535" s="1" t="s">
        <v>580</v>
      </c>
      <c r="B535" s="1" t="s">
        <v>37</v>
      </c>
      <c r="C535">
        <v>40</v>
      </c>
      <c r="D535" s="1" t="s">
        <v>23</v>
      </c>
      <c r="E535" s="1" t="s">
        <v>38</v>
      </c>
      <c r="F535" s="1" t="s">
        <v>25</v>
      </c>
      <c r="G535" s="1" t="s">
        <v>19</v>
      </c>
      <c r="H535" s="1" t="s">
        <v>20</v>
      </c>
      <c r="I535" s="2">
        <v>44839</v>
      </c>
      <c r="J535">
        <v>18600</v>
      </c>
      <c r="K535" s="2">
        <v>45784</v>
      </c>
      <c r="L535">
        <v>-1702</v>
      </c>
      <c r="M535">
        <v>16898</v>
      </c>
      <c r="N535">
        <v>0</v>
      </c>
    </row>
    <row r="536" spans="1:14" x14ac:dyDescent="0.3">
      <c r="A536" s="1" t="s">
        <v>581</v>
      </c>
      <c r="B536" s="1" t="s">
        <v>64</v>
      </c>
      <c r="C536">
        <v>27</v>
      </c>
      <c r="D536" s="1" t="s">
        <v>16</v>
      </c>
      <c r="E536" s="1" t="s">
        <v>24</v>
      </c>
      <c r="F536" s="1" t="s">
        <v>25</v>
      </c>
      <c r="G536" s="1" t="s">
        <v>41</v>
      </c>
      <c r="H536" s="1" t="s">
        <v>20</v>
      </c>
      <c r="I536" s="2">
        <v>44563</v>
      </c>
      <c r="J536">
        <v>4109</v>
      </c>
      <c r="K536" s="2">
        <v>45585</v>
      </c>
      <c r="L536">
        <v>2902</v>
      </c>
      <c r="M536">
        <v>7011</v>
      </c>
      <c r="N536">
        <v>1</v>
      </c>
    </row>
    <row r="537" spans="1:14" x14ac:dyDescent="0.3">
      <c r="A537" s="1" t="s">
        <v>582</v>
      </c>
      <c r="B537" s="1" t="s">
        <v>56</v>
      </c>
      <c r="C537">
        <v>22</v>
      </c>
      <c r="D537" s="1" t="s">
        <v>23</v>
      </c>
      <c r="E537" s="1" t="s">
        <v>24</v>
      </c>
      <c r="F537" s="1" t="s">
        <v>25</v>
      </c>
      <c r="G537" s="1" t="s">
        <v>19</v>
      </c>
      <c r="H537" s="1" t="s">
        <v>20</v>
      </c>
      <c r="I537" s="2">
        <v>44707</v>
      </c>
      <c r="J537">
        <v>3245</v>
      </c>
      <c r="K537" s="2">
        <v>45736</v>
      </c>
      <c r="L537">
        <v>5151</v>
      </c>
      <c r="M537">
        <v>8396</v>
      </c>
      <c r="N537">
        <v>0</v>
      </c>
    </row>
    <row r="538" spans="1:14" x14ac:dyDescent="0.3">
      <c r="A538" s="1" t="s">
        <v>583</v>
      </c>
      <c r="B538" s="1" t="s">
        <v>75</v>
      </c>
      <c r="C538">
        <v>53</v>
      </c>
      <c r="D538" s="1" t="s">
        <v>16</v>
      </c>
      <c r="E538" s="1" t="s">
        <v>35</v>
      </c>
      <c r="F538" s="1" t="s">
        <v>25</v>
      </c>
      <c r="G538" s="1" t="s">
        <v>19</v>
      </c>
      <c r="H538" s="1" t="s">
        <v>20</v>
      </c>
      <c r="I538" s="2">
        <v>45828</v>
      </c>
      <c r="J538">
        <v>1395</v>
      </c>
      <c r="K538" s="2">
        <v>45869</v>
      </c>
      <c r="L538">
        <v>22963</v>
      </c>
      <c r="M538">
        <v>24358</v>
      </c>
      <c r="N538">
        <v>0</v>
      </c>
    </row>
    <row r="539" spans="1:14" x14ac:dyDescent="0.3">
      <c r="A539" s="1" t="s">
        <v>584</v>
      </c>
      <c r="B539" s="1" t="s">
        <v>29</v>
      </c>
      <c r="C539">
        <v>51</v>
      </c>
      <c r="D539" s="1" t="s">
        <v>16</v>
      </c>
      <c r="E539" s="1" t="s">
        <v>17</v>
      </c>
      <c r="F539" s="1" t="s">
        <v>18</v>
      </c>
      <c r="G539" s="1" t="s">
        <v>19</v>
      </c>
      <c r="H539" s="1" t="s">
        <v>20</v>
      </c>
      <c r="I539" s="2">
        <v>45375</v>
      </c>
      <c r="J539">
        <v>14847</v>
      </c>
      <c r="K539" s="2">
        <v>45863</v>
      </c>
      <c r="L539">
        <v>20451</v>
      </c>
      <c r="M539">
        <v>35298</v>
      </c>
      <c r="N539">
        <v>0</v>
      </c>
    </row>
    <row r="540" spans="1:14" x14ac:dyDescent="0.3">
      <c r="A540" s="1" t="s">
        <v>585</v>
      </c>
      <c r="B540" s="1" t="s">
        <v>43</v>
      </c>
      <c r="C540">
        <v>69</v>
      </c>
      <c r="D540" s="1" t="s">
        <v>16</v>
      </c>
      <c r="E540" s="1" t="s">
        <v>24</v>
      </c>
      <c r="F540" s="1" t="s">
        <v>18</v>
      </c>
      <c r="G540" s="1" t="s">
        <v>19</v>
      </c>
      <c r="H540" s="1" t="s">
        <v>20</v>
      </c>
      <c r="I540" s="2">
        <v>45388</v>
      </c>
      <c r="J540">
        <v>3415</v>
      </c>
      <c r="K540" s="2">
        <v>45862</v>
      </c>
      <c r="L540">
        <v>10944</v>
      </c>
      <c r="M540">
        <v>14359</v>
      </c>
      <c r="N540">
        <v>0</v>
      </c>
    </row>
    <row r="541" spans="1:14" x14ac:dyDescent="0.3">
      <c r="A541" s="1" t="s">
        <v>586</v>
      </c>
      <c r="B541" s="1" t="s">
        <v>59</v>
      </c>
      <c r="C541">
        <v>48</v>
      </c>
      <c r="D541" s="1" t="s">
        <v>23</v>
      </c>
      <c r="E541" s="1" t="s">
        <v>38</v>
      </c>
      <c r="F541" s="1" t="s">
        <v>18</v>
      </c>
      <c r="G541" s="1" t="s">
        <v>19</v>
      </c>
      <c r="H541" s="1" t="s">
        <v>20</v>
      </c>
      <c r="I541" s="2">
        <v>44355</v>
      </c>
      <c r="J541">
        <v>113179</v>
      </c>
      <c r="K541" s="2">
        <v>45682</v>
      </c>
      <c r="L541">
        <v>-16468</v>
      </c>
      <c r="M541">
        <v>96711</v>
      </c>
      <c r="N541">
        <v>1</v>
      </c>
    </row>
    <row r="542" spans="1:14" x14ac:dyDescent="0.3">
      <c r="A542" s="1" t="s">
        <v>587</v>
      </c>
      <c r="B542" s="1" t="s">
        <v>22</v>
      </c>
      <c r="C542">
        <v>27</v>
      </c>
      <c r="D542" s="1" t="s">
        <v>16</v>
      </c>
      <c r="E542" s="1" t="s">
        <v>17</v>
      </c>
      <c r="F542" s="1" t="s">
        <v>25</v>
      </c>
      <c r="G542" s="1" t="s">
        <v>19</v>
      </c>
      <c r="H542" s="1" t="s">
        <v>20</v>
      </c>
      <c r="I542" s="2">
        <v>45421</v>
      </c>
      <c r="J542">
        <v>25697</v>
      </c>
      <c r="K542" s="2">
        <v>45841</v>
      </c>
      <c r="L542">
        <v>9292</v>
      </c>
      <c r="M542">
        <v>34989</v>
      </c>
      <c r="N542">
        <v>0</v>
      </c>
    </row>
    <row r="543" spans="1:14" x14ac:dyDescent="0.3">
      <c r="A543" s="1" t="s">
        <v>588</v>
      </c>
      <c r="B543" s="1" t="s">
        <v>52</v>
      </c>
      <c r="C543">
        <v>36</v>
      </c>
      <c r="D543" s="1" t="s">
        <v>23</v>
      </c>
      <c r="E543" s="1" t="s">
        <v>17</v>
      </c>
      <c r="F543" s="1" t="s">
        <v>18</v>
      </c>
      <c r="G543" s="1" t="s">
        <v>41</v>
      </c>
      <c r="H543" s="1" t="s">
        <v>20</v>
      </c>
      <c r="I543" s="2">
        <v>45433</v>
      </c>
      <c r="J543">
        <v>4098</v>
      </c>
      <c r="K543" s="2">
        <v>45854</v>
      </c>
      <c r="L543">
        <v>23147</v>
      </c>
      <c r="M543">
        <v>27245</v>
      </c>
      <c r="N543">
        <v>0</v>
      </c>
    </row>
    <row r="544" spans="1:14" x14ac:dyDescent="0.3">
      <c r="A544" s="1" t="s">
        <v>589</v>
      </c>
      <c r="B544" s="1" t="s">
        <v>59</v>
      </c>
      <c r="C544">
        <v>49</v>
      </c>
      <c r="D544" s="1" t="s">
        <v>16</v>
      </c>
      <c r="E544" s="1" t="s">
        <v>24</v>
      </c>
      <c r="F544" s="1" t="s">
        <v>18</v>
      </c>
      <c r="G544" s="1" t="s">
        <v>19</v>
      </c>
      <c r="H544" s="1" t="s">
        <v>20</v>
      </c>
      <c r="I544" s="2">
        <v>45300</v>
      </c>
      <c r="J544">
        <v>41570</v>
      </c>
      <c r="K544" s="2">
        <v>45833</v>
      </c>
      <c r="L544">
        <v>26744</v>
      </c>
      <c r="M544">
        <v>68314</v>
      </c>
      <c r="N544">
        <v>0</v>
      </c>
    </row>
    <row r="545" spans="1:14" x14ac:dyDescent="0.3">
      <c r="A545" s="1" t="s">
        <v>590</v>
      </c>
      <c r="B545" s="1" t="s">
        <v>34</v>
      </c>
      <c r="C545">
        <v>18</v>
      </c>
      <c r="D545" s="1" t="s">
        <v>16</v>
      </c>
      <c r="E545" s="1" t="s">
        <v>17</v>
      </c>
      <c r="F545" s="1" t="s">
        <v>25</v>
      </c>
      <c r="G545" s="1" t="s">
        <v>19</v>
      </c>
      <c r="H545" s="1" t="s">
        <v>20</v>
      </c>
      <c r="I545" s="2">
        <v>44579</v>
      </c>
      <c r="J545">
        <v>41668</v>
      </c>
      <c r="K545" s="2">
        <v>45858</v>
      </c>
      <c r="L545">
        <v>6265</v>
      </c>
      <c r="M545">
        <v>47933</v>
      </c>
      <c r="N545">
        <v>0</v>
      </c>
    </row>
    <row r="546" spans="1:14" x14ac:dyDescent="0.3">
      <c r="A546" s="1" t="s">
        <v>591</v>
      </c>
      <c r="B546" s="1" t="s">
        <v>34</v>
      </c>
      <c r="C546">
        <v>22</v>
      </c>
      <c r="D546" s="1" t="s">
        <v>16</v>
      </c>
      <c r="E546" s="1" t="s">
        <v>24</v>
      </c>
      <c r="F546" s="1" t="s">
        <v>18</v>
      </c>
      <c r="G546" s="1" t="s">
        <v>19</v>
      </c>
      <c r="H546" s="1" t="s">
        <v>20</v>
      </c>
      <c r="I546" s="2">
        <v>44904</v>
      </c>
      <c r="J546">
        <v>45194</v>
      </c>
      <c r="K546" s="2">
        <v>45869</v>
      </c>
      <c r="L546">
        <v>4578</v>
      </c>
      <c r="M546">
        <v>49772</v>
      </c>
      <c r="N546">
        <v>0</v>
      </c>
    </row>
    <row r="547" spans="1:14" x14ac:dyDescent="0.3">
      <c r="A547" s="1" t="s">
        <v>592</v>
      </c>
      <c r="B547" s="1" t="s">
        <v>71</v>
      </c>
      <c r="C547">
        <v>62</v>
      </c>
      <c r="D547" s="1" t="s">
        <v>23</v>
      </c>
      <c r="E547" s="1" t="s">
        <v>17</v>
      </c>
      <c r="F547" s="1" t="s">
        <v>18</v>
      </c>
      <c r="G547" s="1" t="s">
        <v>19</v>
      </c>
      <c r="H547" s="1" t="s">
        <v>20</v>
      </c>
      <c r="I547" s="2">
        <v>45612</v>
      </c>
      <c r="J547">
        <v>5955</v>
      </c>
      <c r="K547" s="2">
        <v>45852</v>
      </c>
      <c r="L547">
        <v>13217</v>
      </c>
      <c r="M547">
        <v>19172</v>
      </c>
      <c r="N547">
        <v>0</v>
      </c>
    </row>
    <row r="548" spans="1:14" x14ac:dyDescent="0.3">
      <c r="A548" s="1" t="s">
        <v>593</v>
      </c>
      <c r="B548" s="1" t="s">
        <v>34</v>
      </c>
      <c r="C548">
        <v>21</v>
      </c>
      <c r="D548" s="1" t="s">
        <v>30</v>
      </c>
      <c r="E548" s="1" t="s">
        <v>38</v>
      </c>
      <c r="F548" s="1" t="s">
        <v>25</v>
      </c>
      <c r="G548" s="1" t="s">
        <v>41</v>
      </c>
      <c r="H548" s="1" t="s">
        <v>20</v>
      </c>
      <c r="I548" s="2">
        <v>45318</v>
      </c>
      <c r="J548">
        <v>27339</v>
      </c>
      <c r="K548" s="2">
        <v>45852</v>
      </c>
      <c r="L548">
        <v>17471</v>
      </c>
      <c r="M548">
        <v>44810</v>
      </c>
      <c r="N548">
        <v>0</v>
      </c>
    </row>
    <row r="549" spans="1:14" x14ac:dyDescent="0.3">
      <c r="A549" s="1" t="s">
        <v>594</v>
      </c>
      <c r="B549" s="1" t="s">
        <v>87</v>
      </c>
      <c r="C549">
        <v>33</v>
      </c>
      <c r="D549" s="1" t="s">
        <v>23</v>
      </c>
      <c r="E549" s="1" t="s">
        <v>38</v>
      </c>
      <c r="F549" s="1" t="s">
        <v>18</v>
      </c>
      <c r="G549" s="1" t="s">
        <v>19</v>
      </c>
      <c r="H549" s="1" t="s">
        <v>20</v>
      </c>
      <c r="I549" s="2">
        <v>45422</v>
      </c>
      <c r="J549">
        <v>45966</v>
      </c>
      <c r="K549" s="2">
        <v>45856</v>
      </c>
      <c r="L549">
        <v>19740</v>
      </c>
      <c r="M549">
        <v>65706</v>
      </c>
      <c r="N549">
        <v>0</v>
      </c>
    </row>
    <row r="550" spans="1:14" x14ac:dyDescent="0.3">
      <c r="A550" s="1" t="s">
        <v>595</v>
      </c>
      <c r="B550" s="1" t="s">
        <v>40</v>
      </c>
      <c r="C550">
        <v>41</v>
      </c>
      <c r="D550" s="1" t="s">
        <v>23</v>
      </c>
      <c r="E550" s="1" t="s">
        <v>38</v>
      </c>
      <c r="F550" s="1" t="s">
        <v>18</v>
      </c>
      <c r="G550" s="1" t="s">
        <v>41</v>
      </c>
      <c r="H550" s="1" t="s">
        <v>20</v>
      </c>
      <c r="I550" s="2">
        <v>45179</v>
      </c>
      <c r="J550">
        <v>64271</v>
      </c>
      <c r="K550" s="2">
        <v>45853</v>
      </c>
      <c r="L550">
        <v>-16361</v>
      </c>
      <c r="M550">
        <v>47910</v>
      </c>
      <c r="N550">
        <v>0</v>
      </c>
    </row>
    <row r="551" spans="1:14" x14ac:dyDescent="0.3">
      <c r="A551" s="1" t="s">
        <v>596</v>
      </c>
      <c r="B551" s="1" t="s">
        <v>48</v>
      </c>
      <c r="C551">
        <v>33</v>
      </c>
      <c r="D551" s="1" t="s">
        <v>23</v>
      </c>
      <c r="E551" s="1" t="s">
        <v>24</v>
      </c>
      <c r="F551" s="1" t="s">
        <v>25</v>
      </c>
      <c r="G551" s="1" t="s">
        <v>19</v>
      </c>
      <c r="H551" s="1" t="s">
        <v>20</v>
      </c>
      <c r="I551" s="2">
        <v>44949</v>
      </c>
      <c r="J551">
        <v>2911</v>
      </c>
      <c r="K551" s="2">
        <v>45857</v>
      </c>
      <c r="L551">
        <v>26577</v>
      </c>
      <c r="M551">
        <v>29488</v>
      </c>
      <c r="N551">
        <v>0</v>
      </c>
    </row>
    <row r="552" spans="1:14" x14ac:dyDescent="0.3">
      <c r="A552" s="1" t="s">
        <v>597</v>
      </c>
      <c r="B552" s="1" t="s">
        <v>32</v>
      </c>
      <c r="C552">
        <v>19</v>
      </c>
      <c r="D552" s="1" t="s">
        <v>16</v>
      </c>
      <c r="E552" s="1" t="s">
        <v>38</v>
      </c>
      <c r="F552" s="1" t="s">
        <v>25</v>
      </c>
      <c r="G552" s="1" t="s">
        <v>19</v>
      </c>
      <c r="H552" s="1" t="s">
        <v>20</v>
      </c>
      <c r="I552" s="2">
        <v>45466</v>
      </c>
      <c r="J552">
        <v>10747</v>
      </c>
      <c r="K552" s="2">
        <v>45855</v>
      </c>
      <c r="L552">
        <v>14090</v>
      </c>
      <c r="M552">
        <v>24837</v>
      </c>
      <c r="N552">
        <v>0</v>
      </c>
    </row>
    <row r="553" spans="1:14" x14ac:dyDescent="0.3">
      <c r="A553" s="1" t="s">
        <v>598</v>
      </c>
      <c r="B553" s="1" t="s">
        <v>40</v>
      </c>
      <c r="C553">
        <v>66</v>
      </c>
      <c r="D553" s="1" t="s">
        <v>16</v>
      </c>
      <c r="E553" s="1" t="s">
        <v>17</v>
      </c>
      <c r="F553" s="1" t="s">
        <v>25</v>
      </c>
      <c r="G553" s="1" t="s">
        <v>41</v>
      </c>
      <c r="H553" s="1" t="s">
        <v>20</v>
      </c>
      <c r="I553" s="2">
        <v>44310</v>
      </c>
      <c r="J553">
        <v>5744</v>
      </c>
      <c r="K553" s="2">
        <v>45788</v>
      </c>
      <c r="L553">
        <v>11052</v>
      </c>
      <c r="M553">
        <v>16796</v>
      </c>
      <c r="N553">
        <v>0</v>
      </c>
    </row>
    <row r="554" spans="1:14" x14ac:dyDescent="0.3">
      <c r="A554" s="1" t="s">
        <v>599</v>
      </c>
      <c r="B554" s="1" t="s">
        <v>40</v>
      </c>
      <c r="C554">
        <v>45</v>
      </c>
      <c r="D554" s="1" t="s">
        <v>16</v>
      </c>
      <c r="E554" s="1" t="s">
        <v>38</v>
      </c>
      <c r="F554" s="1" t="s">
        <v>18</v>
      </c>
      <c r="G554" s="1" t="s">
        <v>19</v>
      </c>
      <c r="H554" s="1" t="s">
        <v>20</v>
      </c>
      <c r="I554" s="2">
        <v>45323</v>
      </c>
      <c r="J554">
        <v>86174</v>
      </c>
      <c r="K554" s="2">
        <v>45844</v>
      </c>
      <c r="L554">
        <v>7528</v>
      </c>
      <c r="M554">
        <v>93702</v>
      </c>
      <c r="N554">
        <v>0</v>
      </c>
    </row>
    <row r="555" spans="1:14" x14ac:dyDescent="0.3">
      <c r="A555" s="1" t="s">
        <v>600</v>
      </c>
      <c r="B555" s="1" t="s">
        <v>27</v>
      </c>
      <c r="C555">
        <v>49</v>
      </c>
      <c r="D555" s="1" t="s">
        <v>23</v>
      </c>
      <c r="E555" s="1" t="s">
        <v>38</v>
      </c>
      <c r="F555" s="1" t="s">
        <v>18</v>
      </c>
      <c r="G555" s="1" t="s">
        <v>19</v>
      </c>
      <c r="H555" s="1" t="s">
        <v>20</v>
      </c>
      <c r="I555" s="2">
        <v>45865</v>
      </c>
      <c r="J555">
        <v>21830</v>
      </c>
      <c r="K555" s="2">
        <v>45869</v>
      </c>
      <c r="L555">
        <v>43254</v>
      </c>
      <c r="M555">
        <v>65084</v>
      </c>
      <c r="N555">
        <v>0</v>
      </c>
    </row>
    <row r="556" spans="1:14" x14ac:dyDescent="0.3">
      <c r="A556" s="1" t="s">
        <v>601</v>
      </c>
      <c r="B556" s="1" t="s">
        <v>75</v>
      </c>
      <c r="C556">
        <v>44</v>
      </c>
      <c r="D556" s="1" t="s">
        <v>23</v>
      </c>
      <c r="E556" s="1" t="s">
        <v>38</v>
      </c>
      <c r="F556" s="1" t="s">
        <v>25</v>
      </c>
      <c r="G556" s="1" t="s">
        <v>19</v>
      </c>
      <c r="H556" s="1" t="s">
        <v>20</v>
      </c>
      <c r="I556" s="2">
        <v>45502</v>
      </c>
      <c r="J556">
        <v>32573</v>
      </c>
      <c r="K556" s="2">
        <v>45866</v>
      </c>
      <c r="L556">
        <v>25481</v>
      </c>
      <c r="M556">
        <v>58054</v>
      </c>
      <c r="N556">
        <v>0</v>
      </c>
    </row>
    <row r="557" spans="1:14" x14ac:dyDescent="0.3">
      <c r="A557" s="1" t="s">
        <v>602</v>
      </c>
      <c r="B557" s="1" t="s">
        <v>34</v>
      </c>
      <c r="C557">
        <v>37</v>
      </c>
      <c r="D557" s="1" t="s">
        <v>16</v>
      </c>
      <c r="E557" s="1" t="s">
        <v>24</v>
      </c>
      <c r="F557" s="1" t="s">
        <v>18</v>
      </c>
      <c r="G557" s="1" t="s">
        <v>19</v>
      </c>
      <c r="H557" s="1" t="s">
        <v>20</v>
      </c>
      <c r="I557" s="2">
        <v>44683</v>
      </c>
      <c r="J557">
        <v>21512</v>
      </c>
      <c r="K557" s="2">
        <v>45841</v>
      </c>
      <c r="L557">
        <v>1831</v>
      </c>
      <c r="M557">
        <v>23343</v>
      </c>
      <c r="N557">
        <v>0</v>
      </c>
    </row>
    <row r="558" spans="1:14" x14ac:dyDescent="0.3">
      <c r="A558" s="1" t="s">
        <v>603</v>
      </c>
      <c r="B558" s="1" t="s">
        <v>59</v>
      </c>
      <c r="C558">
        <v>41</v>
      </c>
      <c r="D558" s="1" t="s">
        <v>23</v>
      </c>
      <c r="E558" s="1" t="s">
        <v>17</v>
      </c>
      <c r="F558" s="1" t="s">
        <v>18</v>
      </c>
      <c r="G558" s="1" t="s">
        <v>19</v>
      </c>
      <c r="H558" s="1" t="s">
        <v>49</v>
      </c>
      <c r="I558" s="2">
        <v>44661</v>
      </c>
      <c r="J558">
        <v>19444</v>
      </c>
      <c r="K558" s="2">
        <v>45784</v>
      </c>
      <c r="L558">
        <v>-3923</v>
      </c>
      <c r="M558">
        <v>15521</v>
      </c>
      <c r="N558">
        <v>0</v>
      </c>
    </row>
    <row r="559" spans="1:14" x14ac:dyDescent="0.3">
      <c r="A559" s="1" t="s">
        <v>604</v>
      </c>
      <c r="B559" s="1" t="s">
        <v>27</v>
      </c>
      <c r="C559">
        <v>29</v>
      </c>
      <c r="D559" s="1" t="s">
        <v>16</v>
      </c>
      <c r="E559" s="1" t="s">
        <v>24</v>
      </c>
      <c r="F559" s="1" t="s">
        <v>25</v>
      </c>
      <c r="G559" s="1" t="s">
        <v>19</v>
      </c>
      <c r="H559" s="1" t="s">
        <v>20</v>
      </c>
      <c r="I559" s="2">
        <v>45313</v>
      </c>
      <c r="J559">
        <v>5635</v>
      </c>
      <c r="K559" s="2">
        <v>45791</v>
      </c>
      <c r="L559">
        <v>8733</v>
      </c>
      <c r="M559">
        <v>14368</v>
      </c>
      <c r="N559">
        <v>0</v>
      </c>
    </row>
    <row r="560" spans="1:14" x14ac:dyDescent="0.3">
      <c r="A560" s="1" t="s">
        <v>605</v>
      </c>
      <c r="B560" s="1" t="s">
        <v>43</v>
      </c>
      <c r="C560">
        <v>67</v>
      </c>
      <c r="D560" s="1" t="s">
        <v>30</v>
      </c>
      <c r="E560" s="1" t="s">
        <v>38</v>
      </c>
      <c r="F560" s="1" t="s">
        <v>18</v>
      </c>
      <c r="G560" s="1" t="s">
        <v>19</v>
      </c>
      <c r="H560" s="1" t="s">
        <v>20</v>
      </c>
      <c r="I560" s="2">
        <v>45695</v>
      </c>
      <c r="J560">
        <v>8548</v>
      </c>
      <c r="K560" s="2">
        <v>45869</v>
      </c>
      <c r="L560">
        <v>3650</v>
      </c>
      <c r="M560">
        <v>12198</v>
      </c>
      <c r="N560">
        <v>0</v>
      </c>
    </row>
    <row r="561" spans="1:14" x14ac:dyDescent="0.3">
      <c r="A561" s="1" t="s">
        <v>606</v>
      </c>
      <c r="B561" s="1" t="s">
        <v>59</v>
      </c>
      <c r="C561">
        <v>52</v>
      </c>
      <c r="D561" s="1" t="s">
        <v>30</v>
      </c>
      <c r="E561" s="1" t="s">
        <v>17</v>
      </c>
      <c r="F561" s="1" t="s">
        <v>18</v>
      </c>
      <c r="G561" s="1" t="s">
        <v>19</v>
      </c>
      <c r="H561" s="1" t="s">
        <v>20</v>
      </c>
      <c r="I561" s="2">
        <v>45163</v>
      </c>
      <c r="J561">
        <v>14350</v>
      </c>
      <c r="K561" s="2">
        <v>45809</v>
      </c>
      <c r="L561">
        <v>15097</v>
      </c>
      <c r="M561">
        <v>29447</v>
      </c>
      <c r="N561">
        <v>0</v>
      </c>
    </row>
    <row r="562" spans="1:14" x14ac:dyDescent="0.3">
      <c r="A562" s="1" t="s">
        <v>607</v>
      </c>
      <c r="B562" s="1" t="s">
        <v>22</v>
      </c>
      <c r="C562">
        <v>50</v>
      </c>
      <c r="D562" s="1" t="s">
        <v>16</v>
      </c>
      <c r="E562" s="1" t="s">
        <v>38</v>
      </c>
      <c r="F562" s="1" t="s">
        <v>18</v>
      </c>
      <c r="G562" s="1" t="s">
        <v>41</v>
      </c>
      <c r="H562" s="1" t="s">
        <v>20</v>
      </c>
      <c r="I562" s="2">
        <v>45079</v>
      </c>
      <c r="J562">
        <v>6984</v>
      </c>
      <c r="K562" s="2">
        <v>45852</v>
      </c>
      <c r="L562">
        <v>28589</v>
      </c>
      <c r="M562">
        <v>35573</v>
      </c>
      <c r="N562">
        <v>0</v>
      </c>
    </row>
    <row r="563" spans="1:14" x14ac:dyDescent="0.3">
      <c r="A563" s="1" t="s">
        <v>608</v>
      </c>
      <c r="B563" s="1" t="s">
        <v>43</v>
      </c>
      <c r="C563">
        <v>50</v>
      </c>
      <c r="D563" s="1" t="s">
        <v>16</v>
      </c>
      <c r="E563" s="1" t="s">
        <v>17</v>
      </c>
      <c r="F563" s="1" t="s">
        <v>18</v>
      </c>
      <c r="G563" s="1" t="s">
        <v>19</v>
      </c>
      <c r="H563" s="1" t="s">
        <v>20</v>
      </c>
      <c r="I563" s="2">
        <v>44465</v>
      </c>
      <c r="J563">
        <v>5807</v>
      </c>
      <c r="K563" s="2">
        <v>45835</v>
      </c>
      <c r="L563">
        <v>-4107</v>
      </c>
      <c r="M563">
        <v>1700</v>
      </c>
      <c r="N563">
        <v>0</v>
      </c>
    </row>
    <row r="564" spans="1:14" x14ac:dyDescent="0.3">
      <c r="A564" s="1" t="s">
        <v>609</v>
      </c>
      <c r="B564" s="1" t="s">
        <v>75</v>
      </c>
      <c r="C564">
        <v>68</v>
      </c>
      <c r="D564" s="1" t="s">
        <v>23</v>
      </c>
      <c r="E564" s="1" t="s">
        <v>17</v>
      </c>
      <c r="F564" s="1" t="s">
        <v>18</v>
      </c>
      <c r="G564" s="1" t="s">
        <v>19</v>
      </c>
      <c r="H564" s="1" t="s">
        <v>20</v>
      </c>
      <c r="I564" s="2">
        <v>45393</v>
      </c>
      <c r="J564">
        <v>10876</v>
      </c>
      <c r="K564" s="2">
        <v>45860</v>
      </c>
      <c r="L564">
        <v>20046</v>
      </c>
      <c r="M564">
        <v>30922</v>
      </c>
      <c r="N564">
        <v>0</v>
      </c>
    </row>
    <row r="565" spans="1:14" x14ac:dyDescent="0.3">
      <c r="A565" s="1" t="s">
        <v>610</v>
      </c>
      <c r="B565" s="1" t="s">
        <v>52</v>
      </c>
      <c r="C565">
        <v>60</v>
      </c>
      <c r="D565" s="1" t="s">
        <v>23</v>
      </c>
      <c r="E565" s="1" t="s">
        <v>17</v>
      </c>
      <c r="F565" s="1" t="s">
        <v>18</v>
      </c>
      <c r="G565" s="1" t="s">
        <v>19</v>
      </c>
      <c r="H565" s="1" t="s">
        <v>20</v>
      </c>
      <c r="I565" s="2">
        <v>45371</v>
      </c>
      <c r="J565">
        <v>7294</v>
      </c>
      <c r="K565" s="2">
        <v>45846</v>
      </c>
      <c r="L565">
        <v>5273</v>
      </c>
      <c r="M565">
        <v>12567</v>
      </c>
      <c r="N565">
        <v>0</v>
      </c>
    </row>
    <row r="566" spans="1:14" x14ac:dyDescent="0.3">
      <c r="A566" s="1" t="s">
        <v>611</v>
      </c>
      <c r="B566" s="1" t="s">
        <v>48</v>
      </c>
      <c r="C566">
        <v>54</v>
      </c>
      <c r="D566" s="1" t="s">
        <v>16</v>
      </c>
      <c r="E566" s="1" t="s">
        <v>17</v>
      </c>
      <c r="F566" s="1" t="s">
        <v>25</v>
      </c>
      <c r="G566" s="1" t="s">
        <v>19</v>
      </c>
      <c r="H566" s="1" t="s">
        <v>20</v>
      </c>
      <c r="I566" s="2">
        <v>45814</v>
      </c>
      <c r="J566">
        <v>14042</v>
      </c>
      <c r="K566" s="2">
        <v>45868</v>
      </c>
      <c r="L566">
        <v>-6838</v>
      </c>
      <c r="M566">
        <v>7204</v>
      </c>
      <c r="N566">
        <v>0</v>
      </c>
    </row>
    <row r="567" spans="1:14" x14ac:dyDescent="0.3">
      <c r="A567" s="1" t="s">
        <v>612</v>
      </c>
      <c r="B567" s="1" t="s">
        <v>56</v>
      </c>
      <c r="C567">
        <v>29</v>
      </c>
      <c r="D567" s="1" t="s">
        <v>16</v>
      </c>
      <c r="E567" s="1" t="s">
        <v>24</v>
      </c>
      <c r="F567" s="1" t="s">
        <v>25</v>
      </c>
      <c r="G567" s="1" t="s">
        <v>19</v>
      </c>
      <c r="H567" s="1" t="s">
        <v>20</v>
      </c>
      <c r="I567" s="2">
        <v>44699</v>
      </c>
      <c r="J567">
        <v>8579</v>
      </c>
      <c r="K567" s="2">
        <v>45846</v>
      </c>
      <c r="L567">
        <v>-5304</v>
      </c>
      <c r="M567">
        <v>3275</v>
      </c>
      <c r="N567">
        <v>0</v>
      </c>
    </row>
    <row r="568" spans="1:14" x14ac:dyDescent="0.3">
      <c r="A568" s="1" t="s">
        <v>613</v>
      </c>
      <c r="B568" s="1" t="s">
        <v>69</v>
      </c>
      <c r="C568">
        <v>20</v>
      </c>
      <c r="D568" s="1" t="s">
        <v>23</v>
      </c>
      <c r="E568" s="1" t="s">
        <v>17</v>
      </c>
      <c r="F568" s="1" t="s">
        <v>18</v>
      </c>
      <c r="G568" s="1" t="s">
        <v>19</v>
      </c>
      <c r="H568" s="1" t="s">
        <v>20</v>
      </c>
      <c r="I568" s="2">
        <v>45462</v>
      </c>
      <c r="J568">
        <v>6735</v>
      </c>
      <c r="K568" s="2">
        <v>45765</v>
      </c>
      <c r="L568">
        <v>29901</v>
      </c>
      <c r="M568">
        <v>36636</v>
      </c>
      <c r="N568">
        <v>0</v>
      </c>
    </row>
    <row r="569" spans="1:14" x14ac:dyDescent="0.3">
      <c r="A569" s="1" t="s">
        <v>614</v>
      </c>
      <c r="B569" s="1" t="s">
        <v>15</v>
      </c>
      <c r="C569">
        <v>18</v>
      </c>
      <c r="D569" s="1" t="s">
        <v>23</v>
      </c>
      <c r="E569" s="1" t="s">
        <v>35</v>
      </c>
      <c r="F569" s="1" t="s">
        <v>18</v>
      </c>
      <c r="G569" s="1" t="s">
        <v>19</v>
      </c>
      <c r="H569" s="1" t="s">
        <v>20</v>
      </c>
      <c r="I569" s="2">
        <v>44923</v>
      </c>
      <c r="J569">
        <v>5284</v>
      </c>
      <c r="K569" s="2">
        <v>45847</v>
      </c>
      <c r="L569">
        <v>9673</v>
      </c>
      <c r="M569">
        <v>14957</v>
      </c>
      <c r="N569">
        <v>0</v>
      </c>
    </row>
    <row r="570" spans="1:14" x14ac:dyDescent="0.3">
      <c r="A570" s="1" t="s">
        <v>615</v>
      </c>
      <c r="B570" s="1" t="s">
        <v>79</v>
      </c>
      <c r="C570">
        <v>50</v>
      </c>
      <c r="D570" s="1" t="s">
        <v>23</v>
      </c>
      <c r="E570" s="1" t="s">
        <v>24</v>
      </c>
      <c r="F570" s="1" t="s">
        <v>18</v>
      </c>
      <c r="G570" s="1" t="s">
        <v>19</v>
      </c>
      <c r="H570" s="1" t="s">
        <v>20</v>
      </c>
      <c r="I570" s="2">
        <v>45131</v>
      </c>
      <c r="J570">
        <v>13441</v>
      </c>
      <c r="K570" s="2">
        <v>45860</v>
      </c>
      <c r="L570">
        <v>27004</v>
      </c>
      <c r="M570">
        <v>40445</v>
      </c>
      <c r="N570">
        <v>0</v>
      </c>
    </row>
    <row r="571" spans="1:14" x14ac:dyDescent="0.3">
      <c r="A571" s="1" t="s">
        <v>616</v>
      </c>
      <c r="B571" s="1" t="s">
        <v>52</v>
      </c>
      <c r="C571">
        <v>57</v>
      </c>
      <c r="D571" s="1" t="s">
        <v>16</v>
      </c>
      <c r="E571" s="1" t="s">
        <v>17</v>
      </c>
      <c r="F571" s="1" t="s">
        <v>18</v>
      </c>
      <c r="G571" s="1" t="s">
        <v>19</v>
      </c>
      <c r="H571" s="1" t="s">
        <v>20</v>
      </c>
      <c r="I571" s="2">
        <v>45562</v>
      </c>
      <c r="J571">
        <v>32477</v>
      </c>
      <c r="K571" s="2">
        <v>45854</v>
      </c>
      <c r="L571">
        <v>32301</v>
      </c>
      <c r="M571">
        <v>64778</v>
      </c>
      <c r="N571">
        <v>0</v>
      </c>
    </row>
    <row r="572" spans="1:14" x14ac:dyDescent="0.3">
      <c r="A572" s="1" t="s">
        <v>617</v>
      </c>
      <c r="B572" s="1" t="s">
        <v>52</v>
      </c>
      <c r="C572">
        <v>27</v>
      </c>
      <c r="D572" s="1" t="s">
        <v>16</v>
      </c>
      <c r="E572" s="1" t="s">
        <v>38</v>
      </c>
      <c r="F572" s="1" t="s">
        <v>25</v>
      </c>
      <c r="G572" s="1" t="s">
        <v>19</v>
      </c>
      <c r="H572" s="1" t="s">
        <v>20</v>
      </c>
      <c r="I572" s="2">
        <v>44568</v>
      </c>
      <c r="J572">
        <v>25613</v>
      </c>
      <c r="K572" s="2">
        <v>45863</v>
      </c>
      <c r="L572">
        <v>2645</v>
      </c>
      <c r="M572">
        <v>28258</v>
      </c>
      <c r="N572">
        <v>0</v>
      </c>
    </row>
    <row r="573" spans="1:14" x14ac:dyDescent="0.3">
      <c r="A573" s="1" t="s">
        <v>618</v>
      </c>
      <c r="B573" s="1" t="s">
        <v>37</v>
      </c>
      <c r="C573">
        <v>60</v>
      </c>
      <c r="D573" s="1" t="s">
        <v>16</v>
      </c>
      <c r="E573" s="1" t="s">
        <v>38</v>
      </c>
      <c r="F573" s="1" t="s">
        <v>25</v>
      </c>
      <c r="G573" s="1" t="s">
        <v>19</v>
      </c>
      <c r="H573" s="1" t="s">
        <v>20</v>
      </c>
      <c r="I573" s="2">
        <v>44770</v>
      </c>
      <c r="J573">
        <v>2902</v>
      </c>
      <c r="K573" s="2">
        <v>45867</v>
      </c>
      <c r="L573">
        <v>6440</v>
      </c>
      <c r="M573">
        <v>9342</v>
      </c>
      <c r="N573">
        <v>0</v>
      </c>
    </row>
    <row r="574" spans="1:14" x14ac:dyDescent="0.3">
      <c r="A574" s="1" t="s">
        <v>619</v>
      </c>
      <c r="B574" s="1" t="s">
        <v>43</v>
      </c>
      <c r="C574">
        <v>61</v>
      </c>
      <c r="D574" s="1" t="s">
        <v>23</v>
      </c>
      <c r="E574" s="1" t="s">
        <v>38</v>
      </c>
      <c r="F574" s="1" t="s">
        <v>25</v>
      </c>
      <c r="G574" s="1" t="s">
        <v>19</v>
      </c>
      <c r="H574" s="1" t="s">
        <v>20</v>
      </c>
      <c r="I574" s="2">
        <v>45490</v>
      </c>
      <c r="J574">
        <v>31563</v>
      </c>
      <c r="K574" s="2">
        <v>45848</v>
      </c>
      <c r="L574">
        <v>-6111</v>
      </c>
      <c r="M574">
        <v>25452</v>
      </c>
      <c r="N574">
        <v>0</v>
      </c>
    </row>
    <row r="575" spans="1:14" x14ac:dyDescent="0.3">
      <c r="A575" s="1" t="s">
        <v>620</v>
      </c>
      <c r="B575" s="1" t="s">
        <v>15</v>
      </c>
      <c r="C575">
        <v>46</v>
      </c>
      <c r="D575" s="1" t="s">
        <v>30</v>
      </c>
      <c r="E575" s="1" t="s">
        <v>17</v>
      </c>
      <c r="F575" s="1" t="s">
        <v>18</v>
      </c>
      <c r="G575" s="1" t="s">
        <v>19</v>
      </c>
      <c r="H575" s="1" t="s">
        <v>20</v>
      </c>
      <c r="I575" s="2">
        <v>45151</v>
      </c>
      <c r="J575">
        <v>25433</v>
      </c>
      <c r="K575" s="2">
        <v>45858</v>
      </c>
      <c r="L575">
        <v>-3564</v>
      </c>
      <c r="M575">
        <v>21869</v>
      </c>
      <c r="N575">
        <v>0</v>
      </c>
    </row>
    <row r="576" spans="1:14" x14ac:dyDescent="0.3">
      <c r="A576" s="1" t="s">
        <v>621</v>
      </c>
      <c r="B576" s="1" t="s">
        <v>34</v>
      </c>
      <c r="C576">
        <v>30</v>
      </c>
      <c r="D576" s="1" t="s">
        <v>16</v>
      </c>
      <c r="E576" s="1" t="s">
        <v>38</v>
      </c>
      <c r="F576" s="1" t="s">
        <v>18</v>
      </c>
      <c r="G576" s="1" t="s">
        <v>19</v>
      </c>
      <c r="H576" s="1" t="s">
        <v>20</v>
      </c>
      <c r="I576" s="2">
        <v>44351</v>
      </c>
      <c r="J576">
        <v>32444</v>
      </c>
      <c r="K576" s="2">
        <v>45791</v>
      </c>
      <c r="L576">
        <v>358</v>
      </c>
      <c r="M576">
        <v>32802</v>
      </c>
      <c r="N576">
        <v>0</v>
      </c>
    </row>
    <row r="577" spans="1:14" x14ac:dyDescent="0.3">
      <c r="A577" s="1" t="s">
        <v>622</v>
      </c>
      <c r="B577" s="1" t="s">
        <v>48</v>
      </c>
      <c r="C577">
        <v>29</v>
      </c>
      <c r="D577" s="1" t="s">
        <v>23</v>
      </c>
      <c r="E577" s="1" t="s">
        <v>38</v>
      </c>
      <c r="F577" s="1" t="s">
        <v>18</v>
      </c>
      <c r="G577" s="1" t="s">
        <v>41</v>
      </c>
      <c r="H577" s="1" t="s">
        <v>20</v>
      </c>
      <c r="I577" s="2">
        <v>44916</v>
      </c>
      <c r="J577">
        <v>39482</v>
      </c>
      <c r="K577" s="2">
        <v>45832</v>
      </c>
      <c r="L577">
        <v>18664</v>
      </c>
      <c r="M577">
        <v>58146</v>
      </c>
      <c r="N577">
        <v>0</v>
      </c>
    </row>
    <row r="578" spans="1:14" x14ac:dyDescent="0.3">
      <c r="A578" s="1" t="s">
        <v>623</v>
      </c>
      <c r="B578" s="1" t="s">
        <v>71</v>
      </c>
      <c r="C578">
        <v>48</v>
      </c>
      <c r="D578" s="1" t="s">
        <v>23</v>
      </c>
      <c r="E578" s="1" t="s">
        <v>17</v>
      </c>
      <c r="F578" s="1" t="s">
        <v>18</v>
      </c>
      <c r="G578" s="1" t="s">
        <v>19</v>
      </c>
      <c r="H578" s="1" t="s">
        <v>20</v>
      </c>
      <c r="I578" s="2">
        <v>45178</v>
      </c>
      <c r="J578">
        <v>6453</v>
      </c>
      <c r="K578" s="2">
        <v>45853</v>
      </c>
      <c r="L578">
        <v>13303</v>
      </c>
      <c r="M578">
        <v>19756</v>
      </c>
      <c r="N578">
        <v>0</v>
      </c>
    </row>
    <row r="579" spans="1:14" x14ac:dyDescent="0.3">
      <c r="A579" s="1" t="s">
        <v>624</v>
      </c>
      <c r="B579" s="1" t="s">
        <v>56</v>
      </c>
      <c r="C579">
        <v>63</v>
      </c>
      <c r="D579" s="1" t="s">
        <v>23</v>
      </c>
      <c r="E579" s="1" t="s">
        <v>17</v>
      </c>
      <c r="F579" s="1" t="s">
        <v>25</v>
      </c>
      <c r="G579" s="1" t="s">
        <v>19</v>
      </c>
      <c r="H579" s="1" t="s">
        <v>20</v>
      </c>
      <c r="I579" s="2">
        <v>45718</v>
      </c>
      <c r="J579">
        <v>9899</v>
      </c>
      <c r="K579" s="2">
        <v>45868</v>
      </c>
      <c r="L579">
        <v>34013</v>
      </c>
      <c r="M579">
        <v>43912</v>
      </c>
      <c r="N579">
        <v>0</v>
      </c>
    </row>
    <row r="580" spans="1:14" x14ac:dyDescent="0.3">
      <c r="A580" s="1" t="s">
        <v>625</v>
      </c>
      <c r="B580" s="1" t="s">
        <v>34</v>
      </c>
      <c r="C580">
        <v>19</v>
      </c>
      <c r="D580" s="1" t="s">
        <v>23</v>
      </c>
      <c r="E580" s="1" t="s">
        <v>24</v>
      </c>
      <c r="F580" s="1" t="s">
        <v>25</v>
      </c>
      <c r="G580" s="1" t="s">
        <v>19</v>
      </c>
      <c r="H580" s="1" t="s">
        <v>49</v>
      </c>
      <c r="I580" s="2">
        <v>44512</v>
      </c>
      <c r="J580">
        <v>80055</v>
      </c>
      <c r="K580" s="2">
        <v>45865</v>
      </c>
      <c r="L580">
        <v>-3566</v>
      </c>
      <c r="M580">
        <v>76489</v>
      </c>
      <c r="N580">
        <v>0</v>
      </c>
    </row>
    <row r="581" spans="1:14" x14ac:dyDescent="0.3">
      <c r="A581" s="1" t="s">
        <v>626</v>
      </c>
      <c r="B581" s="1" t="s">
        <v>52</v>
      </c>
      <c r="C581">
        <v>68</v>
      </c>
      <c r="D581" s="1" t="s">
        <v>30</v>
      </c>
      <c r="E581" s="1" t="s">
        <v>17</v>
      </c>
      <c r="F581" s="1" t="s">
        <v>18</v>
      </c>
      <c r="G581" s="1" t="s">
        <v>41</v>
      </c>
      <c r="H581" s="1" t="s">
        <v>49</v>
      </c>
      <c r="I581" s="2">
        <v>45545</v>
      </c>
      <c r="J581">
        <v>75436</v>
      </c>
      <c r="K581" s="2">
        <v>45858</v>
      </c>
      <c r="L581">
        <v>11336</v>
      </c>
      <c r="M581">
        <v>86772</v>
      </c>
      <c r="N581">
        <v>0</v>
      </c>
    </row>
    <row r="582" spans="1:14" x14ac:dyDescent="0.3">
      <c r="A582" s="1" t="s">
        <v>627</v>
      </c>
      <c r="B582" s="1" t="s">
        <v>69</v>
      </c>
      <c r="C582">
        <v>67</v>
      </c>
      <c r="D582" s="1" t="s">
        <v>16</v>
      </c>
      <c r="E582" s="1" t="s">
        <v>38</v>
      </c>
      <c r="F582" s="1" t="s">
        <v>25</v>
      </c>
      <c r="G582" s="1" t="s">
        <v>41</v>
      </c>
      <c r="H582" s="1" t="s">
        <v>20</v>
      </c>
      <c r="I582" s="2">
        <v>44415</v>
      </c>
      <c r="J582">
        <v>12375</v>
      </c>
      <c r="K582" s="2">
        <v>45851</v>
      </c>
      <c r="L582">
        <v>5422</v>
      </c>
      <c r="M582">
        <v>17797</v>
      </c>
      <c r="N582">
        <v>0</v>
      </c>
    </row>
    <row r="583" spans="1:14" x14ac:dyDescent="0.3">
      <c r="A583" s="1" t="s">
        <v>628</v>
      </c>
      <c r="B583" s="1" t="s">
        <v>34</v>
      </c>
      <c r="C583">
        <v>52</v>
      </c>
      <c r="D583" s="1" t="s">
        <v>16</v>
      </c>
      <c r="E583" s="1" t="s">
        <v>24</v>
      </c>
      <c r="F583" s="1" t="s">
        <v>18</v>
      </c>
      <c r="G583" s="1" t="s">
        <v>19</v>
      </c>
      <c r="H583" s="1" t="s">
        <v>20</v>
      </c>
      <c r="I583" s="2">
        <v>44602</v>
      </c>
      <c r="J583">
        <v>24419</v>
      </c>
      <c r="K583" s="2">
        <v>45788</v>
      </c>
      <c r="L583">
        <v>17920</v>
      </c>
      <c r="M583">
        <v>42339</v>
      </c>
      <c r="N583">
        <v>0</v>
      </c>
    </row>
    <row r="584" spans="1:14" x14ac:dyDescent="0.3">
      <c r="A584" s="1" t="s">
        <v>629</v>
      </c>
      <c r="B584" s="1" t="s">
        <v>75</v>
      </c>
      <c r="C584">
        <v>40</v>
      </c>
      <c r="D584" s="1" t="s">
        <v>23</v>
      </c>
      <c r="E584" s="1" t="s">
        <v>35</v>
      </c>
      <c r="F584" s="1" t="s">
        <v>18</v>
      </c>
      <c r="G584" s="1" t="s">
        <v>19</v>
      </c>
      <c r="H584" s="1" t="s">
        <v>20</v>
      </c>
      <c r="I584" s="2">
        <v>44604</v>
      </c>
      <c r="J584">
        <v>26651</v>
      </c>
      <c r="K584" s="2">
        <v>45845</v>
      </c>
      <c r="L584">
        <v>-11364</v>
      </c>
      <c r="M584">
        <v>15287</v>
      </c>
      <c r="N584">
        <v>0</v>
      </c>
    </row>
    <row r="585" spans="1:14" x14ac:dyDescent="0.3">
      <c r="A585" s="1" t="s">
        <v>630</v>
      </c>
      <c r="B585" s="1" t="s">
        <v>27</v>
      </c>
      <c r="C585">
        <v>34</v>
      </c>
      <c r="D585" s="1" t="s">
        <v>23</v>
      </c>
      <c r="E585" s="1" t="s">
        <v>24</v>
      </c>
      <c r="F585" s="1" t="s">
        <v>18</v>
      </c>
      <c r="G585" s="1" t="s">
        <v>19</v>
      </c>
      <c r="H585" s="1" t="s">
        <v>20</v>
      </c>
      <c r="I585" s="2">
        <v>45665</v>
      </c>
      <c r="J585">
        <v>77470</v>
      </c>
      <c r="K585" s="2">
        <v>45860</v>
      </c>
      <c r="L585">
        <v>-5179</v>
      </c>
      <c r="M585">
        <v>72291</v>
      </c>
      <c r="N585">
        <v>0</v>
      </c>
    </row>
    <row r="586" spans="1:14" x14ac:dyDescent="0.3">
      <c r="A586" s="1" t="s">
        <v>631</v>
      </c>
      <c r="B586" s="1" t="s">
        <v>52</v>
      </c>
      <c r="C586">
        <v>43</v>
      </c>
      <c r="D586" s="1" t="s">
        <v>16</v>
      </c>
      <c r="E586" s="1" t="s">
        <v>17</v>
      </c>
      <c r="F586" s="1" t="s">
        <v>18</v>
      </c>
      <c r="G586" s="1" t="s">
        <v>19</v>
      </c>
      <c r="H586" s="1" t="s">
        <v>20</v>
      </c>
      <c r="I586" s="2">
        <v>44529</v>
      </c>
      <c r="J586">
        <v>18869</v>
      </c>
      <c r="K586" s="2">
        <v>45801</v>
      </c>
      <c r="L586">
        <v>27682</v>
      </c>
      <c r="M586">
        <v>46551</v>
      </c>
      <c r="N586">
        <v>0</v>
      </c>
    </row>
    <row r="587" spans="1:14" x14ac:dyDescent="0.3">
      <c r="A587" s="1" t="s">
        <v>632</v>
      </c>
      <c r="B587" s="1" t="s">
        <v>37</v>
      </c>
      <c r="C587">
        <v>25</v>
      </c>
      <c r="D587" s="1" t="s">
        <v>23</v>
      </c>
      <c r="E587" s="1" t="s">
        <v>17</v>
      </c>
      <c r="F587" s="1" t="s">
        <v>18</v>
      </c>
      <c r="G587" s="1" t="s">
        <v>19</v>
      </c>
      <c r="H587" s="1" t="s">
        <v>20</v>
      </c>
      <c r="I587" s="2">
        <v>45513</v>
      </c>
      <c r="J587">
        <v>3975</v>
      </c>
      <c r="K587" s="2">
        <v>45867</v>
      </c>
      <c r="L587">
        <v>1065</v>
      </c>
      <c r="M587">
        <v>5040</v>
      </c>
      <c r="N587">
        <v>0</v>
      </c>
    </row>
    <row r="588" spans="1:14" x14ac:dyDescent="0.3">
      <c r="A588" s="1" t="s">
        <v>633</v>
      </c>
      <c r="B588" s="1" t="s">
        <v>37</v>
      </c>
      <c r="C588">
        <v>46</v>
      </c>
      <c r="D588" s="1" t="s">
        <v>16</v>
      </c>
      <c r="E588" s="1" t="s">
        <v>24</v>
      </c>
      <c r="F588" s="1" t="s">
        <v>25</v>
      </c>
      <c r="G588" s="1" t="s">
        <v>19</v>
      </c>
      <c r="H588" s="1" t="s">
        <v>20</v>
      </c>
      <c r="I588" s="2">
        <v>44969</v>
      </c>
      <c r="J588">
        <v>8300</v>
      </c>
      <c r="K588" s="2">
        <v>45820</v>
      </c>
      <c r="L588">
        <v>-1505</v>
      </c>
      <c r="M588">
        <v>6795</v>
      </c>
      <c r="N588">
        <v>0</v>
      </c>
    </row>
    <row r="589" spans="1:14" x14ac:dyDescent="0.3">
      <c r="A589" s="1" t="s">
        <v>634</v>
      </c>
      <c r="B589" s="1" t="s">
        <v>61</v>
      </c>
      <c r="C589">
        <v>43</v>
      </c>
      <c r="D589" s="1" t="s">
        <v>16</v>
      </c>
      <c r="E589" s="1" t="s">
        <v>38</v>
      </c>
      <c r="F589" s="1" t="s">
        <v>25</v>
      </c>
      <c r="G589" s="1" t="s">
        <v>19</v>
      </c>
      <c r="H589" s="1" t="s">
        <v>20</v>
      </c>
      <c r="I589" s="2">
        <v>45868</v>
      </c>
      <c r="J589">
        <v>300000</v>
      </c>
      <c r="K589" s="2">
        <v>45869</v>
      </c>
      <c r="L589">
        <v>17374</v>
      </c>
      <c r="M589">
        <v>317374</v>
      </c>
      <c r="N589">
        <v>0</v>
      </c>
    </row>
    <row r="590" spans="1:14" x14ac:dyDescent="0.3">
      <c r="A590" s="1" t="s">
        <v>635</v>
      </c>
      <c r="B590" s="1" t="s">
        <v>22</v>
      </c>
      <c r="C590">
        <v>27</v>
      </c>
      <c r="D590" s="1" t="s">
        <v>16</v>
      </c>
      <c r="E590" s="1" t="s">
        <v>38</v>
      </c>
      <c r="F590" s="1" t="s">
        <v>18</v>
      </c>
      <c r="G590" s="1" t="s">
        <v>19</v>
      </c>
      <c r="H590" s="1" t="s">
        <v>20</v>
      </c>
      <c r="I590" s="2">
        <v>45600</v>
      </c>
      <c r="J590">
        <v>3795</v>
      </c>
      <c r="K590" s="2">
        <v>45866</v>
      </c>
      <c r="L590">
        <v>20571</v>
      </c>
      <c r="M590">
        <v>24366</v>
      </c>
      <c r="N590">
        <v>0</v>
      </c>
    </row>
    <row r="591" spans="1:14" x14ac:dyDescent="0.3">
      <c r="A591" s="1" t="s">
        <v>636</v>
      </c>
      <c r="B591" s="1" t="s">
        <v>48</v>
      </c>
      <c r="C591">
        <v>43</v>
      </c>
      <c r="D591" s="1" t="s">
        <v>16</v>
      </c>
      <c r="E591" s="1" t="s">
        <v>24</v>
      </c>
      <c r="F591" s="1" t="s">
        <v>18</v>
      </c>
      <c r="G591" s="1" t="s">
        <v>19</v>
      </c>
      <c r="H591" s="1" t="s">
        <v>20</v>
      </c>
      <c r="I591" s="2">
        <v>45434</v>
      </c>
      <c r="J591">
        <v>14049</v>
      </c>
      <c r="K591" s="2">
        <v>45849</v>
      </c>
      <c r="L591">
        <v>2454</v>
      </c>
      <c r="M591">
        <v>16503</v>
      </c>
      <c r="N591">
        <v>0</v>
      </c>
    </row>
    <row r="592" spans="1:14" x14ac:dyDescent="0.3">
      <c r="A592" s="1" t="s">
        <v>637</v>
      </c>
      <c r="B592" s="1" t="s">
        <v>48</v>
      </c>
      <c r="C592">
        <v>51</v>
      </c>
      <c r="D592" s="1" t="s">
        <v>23</v>
      </c>
      <c r="E592" s="1" t="s">
        <v>17</v>
      </c>
      <c r="F592" s="1" t="s">
        <v>25</v>
      </c>
      <c r="G592" s="1" t="s">
        <v>19</v>
      </c>
      <c r="H592" s="1" t="s">
        <v>20</v>
      </c>
      <c r="I592" s="2">
        <v>45653</v>
      </c>
      <c r="J592">
        <v>135068</v>
      </c>
      <c r="K592" s="2">
        <v>45842</v>
      </c>
      <c r="L592">
        <v>-13607</v>
      </c>
      <c r="M592">
        <v>121461</v>
      </c>
      <c r="N592">
        <v>0</v>
      </c>
    </row>
    <row r="593" spans="1:14" x14ac:dyDescent="0.3">
      <c r="A593" s="1" t="s">
        <v>638</v>
      </c>
      <c r="B593" s="1" t="s">
        <v>22</v>
      </c>
      <c r="C593">
        <v>68</v>
      </c>
      <c r="D593" s="1" t="s">
        <v>23</v>
      </c>
      <c r="E593" s="1" t="s">
        <v>17</v>
      </c>
      <c r="F593" s="1" t="s">
        <v>25</v>
      </c>
      <c r="G593" s="1" t="s">
        <v>41</v>
      </c>
      <c r="H593" s="1" t="s">
        <v>20</v>
      </c>
      <c r="I593" s="2">
        <v>45257</v>
      </c>
      <c r="J593">
        <v>6004</v>
      </c>
      <c r="K593" s="2">
        <v>45852</v>
      </c>
      <c r="L593">
        <v>10944</v>
      </c>
      <c r="M593">
        <v>16948</v>
      </c>
      <c r="N593">
        <v>0</v>
      </c>
    </row>
    <row r="594" spans="1:14" x14ac:dyDescent="0.3">
      <c r="A594" s="1" t="s">
        <v>639</v>
      </c>
      <c r="B594" s="1" t="s">
        <v>43</v>
      </c>
      <c r="C594">
        <v>58</v>
      </c>
      <c r="D594" s="1" t="s">
        <v>23</v>
      </c>
      <c r="E594" s="1" t="s">
        <v>38</v>
      </c>
      <c r="F594" s="1" t="s">
        <v>25</v>
      </c>
      <c r="G594" s="1" t="s">
        <v>19</v>
      </c>
      <c r="H594" s="1" t="s">
        <v>20</v>
      </c>
      <c r="I594" s="2">
        <v>45608</v>
      </c>
      <c r="J594">
        <v>874</v>
      </c>
      <c r="K594" s="2">
        <v>45851</v>
      </c>
      <c r="L594">
        <v>32684</v>
      </c>
      <c r="M594">
        <v>33558</v>
      </c>
      <c r="N594">
        <v>0</v>
      </c>
    </row>
    <row r="595" spans="1:14" x14ac:dyDescent="0.3">
      <c r="A595" s="1" t="s">
        <v>640</v>
      </c>
      <c r="B595" s="1" t="s">
        <v>34</v>
      </c>
      <c r="C595">
        <v>24</v>
      </c>
      <c r="D595" s="1" t="s">
        <v>16</v>
      </c>
      <c r="E595" s="1" t="s">
        <v>17</v>
      </c>
      <c r="F595" s="1" t="s">
        <v>18</v>
      </c>
      <c r="G595" s="1" t="s">
        <v>19</v>
      </c>
      <c r="H595" s="1" t="s">
        <v>20</v>
      </c>
      <c r="I595" s="2">
        <v>44633</v>
      </c>
      <c r="J595">
        <v>1050</v>
      </c>
      <c r="K595" s="2">
        <v>45843</v>
      </c>
      <c r="L595">
        <v>21574</v>
      </c>
      <c r="M595">
        <v>22624</v>
      </c>
      <c r="N595">
        <v>0</v>
      </c>
    </row>
    <row r="596" spans="1:14" x14ac:dyDescent="0.3">
      <c r="A596" s="1" t="s">
        <v>641</v>
      </c>
      <c r="B596" s="1" t="s">
        <v>29</v>
      </c>
      <c r="C596">
        <v>21</v>
      </c>
      <c r="D596" s="1" t="s">
        <v>23</v>
      </c>
      <c r="E596" s="1" t="s">
        <v>24</v>
      </c>
      <c r="F596" s="1" t="s">
        <v>25</v>
      </c>
      <c r="G596" s="1" t="s">
        <v>19</v>
      </c>
      <c r="H596" s="1" t="s">
        <v>49</v>
      </c>
      <c r="I596" s="2">
        <v>44360</v>
      </c>
      <c r="J596">
        <v>6038</v>
      </c>
      <c r="K596" s="2">
        <v>45857</v>
      </c>
      <c r="L596">
        <v>2669</v>
      </c>
      <c r="M596">
        <v>8707</v>
      </c>
      <c r="N596">
        <v>0</v>
      </c>
    </row>
    <row r="597" spans="1:14" x14ac:dyDescent="0.3">
      <c r="A597" s="1" t="s">
        <v>642</v>
      </c>
      <c r="B597" s="1" t="s">
        <v>27</v>
      </c>
      <c r="C597">
        <v>67</v>
      </c>
      <c r="D597" s="1" t="s">
        <v>23</v>
      </c>
      <c r="E597" s="1" t="s">
        <v>24</v>
      </c>
      <c r="F597" s="1" t="s">
        <v>18</v>
      </c>
      <c r="G597" s="1" t="s">
        <v>19</v>
      </c>
      <c r="H597" s="1" t="s">
        <v>20</v>
      </c>
      <c r="I597" s="2">
        <v>45227</v>
      </c>
      <c r="J597">
        <v>2292</v>
      </c>
      <c r="K597" s="2">
        <v>45862</v>
      </c>
      <c r="L597">
        <v>8467</v>
      </c>
      <c r="M597">
        <v>10759</v>
      </c>
      <c r="N597">
        <v>0</v>
      </c>
    </row>
    <row r="598" spans="1:14" x14ac:dyDescent="0.3">
      <c r="A598" s="1" t="s">
        <v>643</v>
      </c>
      <c r="B598" s="1" t="s">
        <v>32</v>
      </c>
      <c r="C598">
        <v>62</v>
      </c>
      <c r="D598" s="1" t="s">
        <v>16</v>
      </c>
      <c r="E598" s="1" t="s">
        <v>35</v>
      </c>
      <c r="F598" s="1" t="s">
        <v>25</v>
      </c>
      <c r="G598" s="1" t="s">
        <v>19</v>
      </c>
      <c r="H598" s="1" t="s">
        <v>20</v>
      </c>
      <c r="I598" s="2">
        <v>44924</v>
      </c>
      <c r="J598">
        <v>37691</v>
      </c>
      <c r="K598" s="2">
        <v>45848</v>
      </c>
      <c r="L598">
        <v>-2096</v>
      </c>
      <c r="M598">
        <v>35595</v>
      </c>
      <c r="N598">
        <v>0</v>
      </c>
    </row>
    <row r="599" spans="1:14" x14ac:dyDescent="0.3">
      <c r="A599" s="1" t="s">
        <v>644</v>
      </c>
      <c r="B599" s="1" t="s">
        <v>48</v>
      </c>
      <c r="C599">
        <v>28</v>
      </c>
      <c r="D599" s="1" t="s">
        <v>23</v>
      </c>
      <c r="E599" s="1" t="s">
        <v>24</v>
      </c>
      <c r="F599" s="1" t="s">
        <v>18</v>
      </c>
      <c r="G599" s="1" t="s">
        <v>19</v>
      </c>
      <c r="H599" s="1" t="s">
        <v>20</v>
      </c>
      <c r="I599" s="2">
        <v>44910</v>
      </c>
      <c r="J599">
        <v>17468</v>
      </c>
      <c r="K599" s="2">
        <v>45815</v>
      </c>
      <c r="L599">
        <v>23426</v>
      </c>
      <c r="M599">
        <v>40894</v>
      </c>
      <c r="N599">
        <v>0</v>
      </c>
    </row>
    <row r="600" spans="1:14" x14ac:dyDescent="0.3">
      <c r="A600" s="1" t="s">
        <v>645</v>
      </c>
      <c r="B600" s="1" t="s">
        <v>37</v>
      </c>
      <c r="C600">
        <v>46</v>
      </c>
      <c r="D600" s="1" t="s">
        <v>23</v>
      </c>
      <c r="E600" s="1" t="s">
        <v>17</v>
      </c>
      <c r="F600" s="1" t="s">
        <v>25</v>
      </c>
      <c r="G600" s="1" t="s">
        <v>19</v>
      </c>
      <c r="H600" s="1" t="s">
        <v>20</v>
      </c>
      <c r="I600" s="2">
        <v>45078</v>
      </c>
      <c r="J600">
        <v>1582</v>
      </c>
      <c r="K600" s="2">
        <v>45833</v>
      </c>
      <c r="L600">
        <v>22095</v>
      </c>
      <c r="M600">
        <v>23677</v>
      </c>
      <c r="N600">
        <v>0</v>
      </c>
    </row>
    <row r="601" spans="1:14" x14ac:dyDescent="0.3">
      <c r="A601" s="1" t="s">
        <v>646</v>
      </c>
      <c r="B601" s="1" t="s">
        <v>52</v>
      </c>
      <c r="C601">
        <v>53</v>
      </c>
      <c r="D601" s="1" t="s">
        <v>23</v>
      </c>
      <c r="E601" s="1" t="s">
        <v>38</v>
      </c>
      <c r="F601" s="1" t="s">
        <v>18</v>
      </c>
      <c r="G601" s="1" t="s">
        <v>19</v>
      </c>
      <c r="H601" s="1" t="s">
        <v>20</v>
      </c>
      <c r="I601" s="2">
        <v>44801</v>
      </c>
      <c r="J601">
        <v>2710</v>
      </c>
      <c r="K601" s="2">
        <v>45864</v>
      </c>
      <c r="L601">
        <v>25408</v>
      </c>
      <c r="M601">
        <v>28118</v>
      </c>
      <c r="N601">
        <v>0</v>
      </c>
    </row>
    <row r="602" spans="1:14" x14ac:dyDescent="0.3">
      <c r="A602" s="1" t="s">
        <v>647</v>
      </c>
      <c r="B602" s="1" t="s">
        <v>59</v>
      </c>
      <c r="C602">
        <v>42</v>
      </c>
      <c r="D602" s="1" t="s">
        <v>16</v>
      </c>
      <c r="E602" s="1" t="s">
        <v>24</v>
      </c>
      <c r="F602" s="1" t="s">
        <v>18</v>
      </c>
      <c r="G602" s="1" t="s">
        <v>19</v>
      </c>
      <c r="H602" s="1" t="s">
        <v>20</v>
      </c>
      <c r="I602" s="2">
        <v>45244</v>
      </c>
      <c r="J602">
        <v>46173</v>
      </c>
      <c r="K602" s="2">
        <v>45869</v>
      </c>
      <c r="L602">
        <v>-8034</v>
      </c>
      <c r="M602">
        <v>38139</v>
      </c>
      <c r="N602">
        <v>0</v>
      </c>
    </row>
    <row r="603" spans="1:14" x14ac:dyDescent="0.3">
      <c r="A603" s="1" t="s">
        <v>648</v>
      </c>
      <c r="B603" s="1" t="s">
        <v>40</v>
      </c>
      <c r="C603">
        <v>38</v>
      </c>
      <c r="D603" s="1" t="s">
        <v>16</v>
      </c>
      <c r="E603" s="1" t="s">
        <v>24</v>
      </c>
      <c r="F603" s="1" t="s">
        <v>18</v>
      </c>
      <c r="G603" s="1" t="s">
        <v>41</v>
      </c>
      <c r="H603" s="1" t="s">
        <v>20</v>
      </c>
      <c r="I603" s="2">
        <v>44248</v>
      </c>
      <c r="J603">
        <v>16206</v>
      </c>
      <c r="K603" s="2">
        <v>45807</v>
      </c>
      <c r="L603">
        <v>49577</v>
      </c>
      <c r="M603">
        <v>65783</v>
      </c>
      <c r="N603">
        <v>0</v>
      </c>
    </row>
    <row r="604" spans="1:14" x14ac:dyDescent="0.3">
      <c r="A604" s="1" t="s">
        <v>649</v>
      </c>
      <c r="B604" s="1" t="s">
        <v>48</v>
      </c>
      <c r="C604">
        <v>53</v>
      </c>
      <c r="D604" s="1" t="s">
        <v>16</v>
      </c>
      <c r="E604" s="1" t="s">
        <v>35</v>
      </c>
      <c r="F604" s="1" t="s">
        <v>18</v>
      </c>
      <c r="G604" s="1" t="s">
        <v>19</v>
      </c>
      <c r="H604" s="1" t="s">
        <v>20</v>
      </c>
      <c r="I604" s="2">
        <v>45819</v>
      </c>
      <c r="J604">
        <v>56029</v>
      </c>
      <c r="K604" s="2">
        <v>45865</v>
      </c>
      <c r="L604">
        <v>3072</v>
      </c>
      <c r="M604">
        <v>59101</v>
      </c>
      <c r="N604">
        <v>0</v>
      </c>
    </row>
    <row r="605" spans="1:14" x14ac:dyDescent="0.3">
      <c r="A605" s="1" t="s">
        <v>650</v>
      </c>
      <c r="B605" s="1" t="s">
        <v>71</v>
      </c>
      <c r="C605">
        <v>27</v>
      </c>
      <c r="D605" s="1" t="s">
        <v>23</v>
      </c>
      <c r="E605" s="1" t="s">
        <v>38</v>
      </c>
      <c r="F605" s="1" t="s">
        <v>25</v>
      </c>
      <c r="G605" s="1" t="s">
        <v>41</v>
      </c>
      <c r="H605" s="1" t="s">
        <v>20</v>
      </c>
      <c r="I605" s="2">
        <v>45744</v>
      </c>
      <c r="J605">
        <v>40905</v>
      </c>
      <c r="K605" s="2">
        <v>45858</v>
      </c>
      <c r="L605">
        <v>31176</v>
      </c>
      <c r="M605">
        <v>72081</v>
      </c>
      <c r="N605">
        <v>0</v>
      </c>
    </row>
    <row r="606" spans="1:14" x14ac:dyDescent="0.3">
      <c r="A606" s="1" t="s">
        <v>651</v>
      </c>
      <c r="B606" s="1" t="s">
        <v>59</v>
      </c>
      <c r="C606">
        <v>54</v>
      </c>
      <c r="D606" s="1" t="s">
        <v>30</v>
      </c>
      <c r="E606" s="1" t="s">
        <v>17</v>
      </c>
      <c r="F606" s="1" t="s">
        <v>25</v>
      </c>
      <c r="G606" s="1" t="s">
        <v>19</v>
      </c>
      <c r="H606" s="1" t="s">
        <v>20</v>
      </c>
      <c r="I606" s="2">
        <v>45761</v>
      </c>
      <c r="J606">
        <v>4228</v>
      </c>
      <c r="K606" s="2">
        <v>45865</v>
      </c>
      <c r="L606">
        <v>8836</v>
      </c>
      <c r="M606">
        <v>13064</v>
      </c>
      <c r="N606">
        <v>0</v>
      </c>
    </row>
    <row r="607" spans="1:14" x14ac:dyDescent="0.3">
      <c r="A607" s="1" t="s">
        <v>652</v>
      </c>
      <c r="B607" s="1" t="s">
        <v>59</v>
      </c>
      <c r="C607">
        <v>26</v>
      </c>
      <c r="D607" s="1" t="s">
        <v>16</v>
      </c>
      <c r="E607" s="1" t="s">
        <v>17</v>
      </c>
      <c r="F607" s="1" t="s">
        <v>25</v>
      </c>
      <c r="G607" s="1" t="s">
        <v>19</v>
      </c>
      <c r="H607" s="1" t="s">
        <v>20</v>
      </c>
      <c r="I607" s="2">
        <v>44807</v>
      </c>
      <c r="J607">
        <v>32272</v>
      </c>
      <c r="K607" s="2">
        <v>45837</v>
      </c>
      <c r="L607">
        <v>15336</v>
      </c>
      <c r="M607">
        <v>47608</v>
      </c>
      <c r="N607">
        <v>0</v>
      </c>
    </row>
    <row r="608" spans="1:14" x14ac:dyDescent="0.3">
      <c r="A608" s="1" t="s">
        <v>653</v>
      </c>
      <c r="B608" s="1" t="s">
        <v>40</v>
      </c>
      <c r="C608">
        <v>41</v>
      </c>
      <c r="D608" s="1" t="s">
        <v>23</v>
      </c>
      <c r="E608" s="1" t="s">
        <v>24</v>
      </c>
      <c r="F608" s="1" t="s">
        <v>18</v>
      </c>
      <c r="G608" s="1" t="s">
        <v>19</v>
      </c>
      <c r="H608" s="1" t="s">
        <v>20</v>
      </c>
      <c r="I608" s="2">
        <v>45086</v>
      </c>
      <c r="J608">
        <v>23455</v>
      </c>
      <c r="K608" s="2">
        <v>45831</v>
      </c>
      <c r="L608">
        <v>13424</v>
      </c>
      <c r="M608">
        <v>36879</v>
      </c>
      <c r="N608">
        <v>0</v>
      </c>
    </row>
    <row r="609" spans="1:14" x14ac:dyDescent="0.3">
      <c r="A609" s="1" t="s">
        <v>654</v>
      </c>
      <c r="B609" s="1" t="s">
        <v>52</v>
      </c>
      <c r="C609">
        <v>52</v>
      </c>
      <c r="D609" s="1" t="s">
        <v>16</v>
      </c>
      <c r="E609" s="1" t="s">
        <v>38</v>
      </c>
      <c r="F609" s="1" t="s">
        <v>25</v>
      </c>
      <c r="G609" s="1" t="s">
        <v>19</v>
      </c>
      <c r="H609" s="1" t="s">
        <v>20</v>
      </c>
      <c r="I609" s="2">
        <v>45793</v>
      </c>
      <c r="J609">
        <v>1879</v>
      </c>
      <c r="K609" s="2">
        <v>45863</v>
      </c>
      <c r="L609">
        <v>-6520</v>
      </c>
      <c r="M609">
        <v>-4641</v>
      </c>
      <c r="N609">
        <v>0</v>
      </c>
    </row>
    <row r="610" spans="1:14" x14ac:dyDescent="0.3">
      <c r="A610" s="1" t="s">
        <v>655</v>
      </c>
      <c r="B610" s="1" t="s">
        <v>61</v>
      </c>
      <c r="C610">
        <v>66</v>
      </c>
      <c r="D610" s="1" t="s">
        <v>23</v>
      </c>
      <c r="E610" s="1" t="s">
        <v>17</v>
      </c>
      <c r="F610" s="1" t="s">
        <v>25</v>
      </c>
      <c r="G610" s="1" t="s">
        <v>19</v>
      </c>
      <c r="H610" s="1" t="s">
        <v>20</v>
      </c>
      <c r="I610" s="2">
        <v>45706</v>
      </c>
      <c r="J610">
        <v>3422</v>
      </c>
      <c r="K610" s="2">
        <v>45861</v>
      </c>
      <c r="L610">
        <v>19680</v>
      </c>
      <c r="M610">
        <v>23102</v>
      </c>
      <c r="N610">
        <v>0</v>
      </c>
    </row>
    <row r="611" spans="1:14" x14ac:dyDescent="0.3">
      <c r="A611" s="1" t="s">
        <v>656</v>
      </c>
      <c r="B611" s="1" t="s">
        <v>61</v>
      </c>
      <c r="C611">
        <v>52</v>
      </c>
      <c r="D611" s="1" t="s">
        <v>16</v>
      </c>
      <c r="E611" s="1" t="s">
        <v>38</v>
      </c>
      <c r="F611" s="1" t="s">
        <v>18</v>
      </c>
      <c r="G611" s="1" t="s">
        <v>19</v>
      </c>
      <c r="H611" s="1" t="s">
        <v>20</v>
      </c>
      <c r="I611" s="2">
        <v>45519</v>
      </c>
      <c r="J611">
        <v>152920</v>
      </c>
      <c r="K611" s="2">
        <v>45841</v>
      </c>
      <c r="L611">
        <v>565</v>
      </c>
      <c r="M611">
        <v>153485</v>
      </c>
      <c r="N611">
        <v>0</v>
      </c>
    </row>
    <row r="612" spans="1:14" x14ac:dyDescent="0.3">
      <c r="A612" s="1" t="s">
        <v>657</v>
      </c>
      <c r="B612" s="1" t="s">
        <v>87</v>
      </c>
      <c r="C612">
        <v>65</v>
      </c>
      <c r="D612" s="1" t="s">
        <v>16</v>
      </c>
      <c r="E612" s="1" t="s">
        <v>24</v>
      </c>
      <c r="F612" s="1" t="s">
        <v>18</v>
      </c>
      <c r="G612" s="1" t="s">
        <v>19</v>
      </c>
      <c r="H612" s="1" t="s">
        <v>20</v>
      </c>
      <c r="I612" s="2">
        <v>44878</v>
      </c>
      <c r="J612">
        <v>5284</v>
      </c>
      <c r="K612" s="2">
        <v>45818</v>
      </c>
      <c r="L612">
        <v>61</v>
      </c>
      <c r="M612">
        <v>5345</v>
      </c>
      <c r="N612">
        <v>0</v>
      </c>
    </row>
    <row r="613" spans="1:14" x14ac:dyDescent="0.3">
      <c r="A613" s="1" t="s">
        <v>658</v>
      </c>
      <c r="B613" s="1" t="s">
        <v>71</v>
      </c>
      <c r="C613">
        <v>53</v>
      </c>
      <c r="D613" s="1" t="s">
        <v>23</v>
      </c>
      <c r="E613" s="1" t="s">
        <v>17</v>
      </c>
      <c r="F613" s="1" t="s">
        <v>25</v>
      </c>
      <c r="G613" s="1" t="s">
        <v>19</v>
      </c>
      <c r="H613" s="1" t="s">
        <v>20</v>
      </c>
      <c r="I613" s="2">
        <v>45141</v>
      </c>
      <c r="J613">
        <v>20161</v>
      </c>
      <c r="K613" s="2">
        <v>45854</v>
      </c>
      <c r="L613">
        <v>-2337</v>
      </c>
      <c r="M613">
        <v>17824</v>
      </c>
      <c r="N613">
        <v>0</v>
      </c>
    </row>
    <row r="614" spans="1:14" x14ac:dyDescent="0.3">
      <c r="A614" s="1" t="s">
        <v>659</v>
      </c>
      <c r="B614" s="1" t="s">
        <v>37</v>
      </c>
      <c r="C614">
        <v>35</v>
      </c>
      <c r="D614" s="1" t="s">
        <v>30</v>
      </c>
      <c r="E614" s="1" t="s">
        <v>38</v>
      </c>
      <c r="F614" s="1" t="s">
        <v>25</v>
      </c>
      <c r="G614" s="1" t="s">
        <v>19</v>
      </c>
      <c r="H614" s="1" t="s">
        <v>20</v>
      </c>
      <c r="I614" s="2">
        <v>45523</v>
      </c>
      <c r="J614">
        <v>11041</v>
      </c>
      <c r="K614" s="2">
        <v>45862</v>
      </c>
      <c r="L614">
        <v>-5678</v>
      </c>
      <c r="M614">
        <v>5363</v>
      </c>
      <c r="N614">
        <v>0</v>
      </c>
    </row>
    <row r="615" spans="1:14" x14ac:dyDescent="0.3">
      <c r="A615" s="1" t="s">
        <v>660</v>
      </c>
      <c r="B615" s="1" t="s">
        <v>15</v>
      </c>
      <c r="C615">
        <v>66</v>
      </c>
      <c r="D615" s="1" t="s">
        <v>16</v>
      </c>
      <c r="E615" s="1" t="s">
        <v>35</v>
      </c>
      <c r="F615" s="1" t="s">
        <v>25</v>
      </c>
      <c r="G615" s="1" t="s">
        <v>41</v>
      </c>
      <c r="H615" s="1" t="s">
        <v>20</v>
      </c>
      <c r="I615" s="2">
        <v>44653</v>
      </c>
      <c r="J615">
        <v>16054</v>
      </c>
      <c r="K615" s="2">
        <v>45843</v>
      </c>
      <c r="L615">
        <v>5597</v>
      </c>
      <c r="M615">
        <v>21651</v>
      </c>
      <c r="N615">
        <v>0</v>
      </c>
    </row>
    <row r="616" spans="1:14" x14ac:dyDescent="0.3">
      <c r="A616" s="1" t="s">
        <v>661</v>
      </c>
      <c r="B616" s="1" t="s">
        <v>64</v>
      </c>
      <c r="C616">
        <v>56</v>
      </c>
      <c r="D616" s="1" t="s">
        <v>16</v>
      </c>
      <c r="E616" s="1" t="s">
        <v>17</v>
      </c>
      <c r="F616" s="1" t="s">
        <v>18</v>
      </c>
      <c r="G616" s="1" t="s">
        <v>19</v>
      </c>
      <c r="H616" s="1" t="s">
        <v>20</v>
      </c>
      <c r="I616" s="2">
        <v>45245</v>
      </c>
      <c r="J616">
        <v>11796</v>
      </c>
      <c r="K616" s="2">
        <v>45850</v>
      </c>
      <c r="L616">
        <v>17136</v>
      </c>
      <c r="M616">
        <v>28932</v>
      </c>
      <c r="N616">
        <v>0</v>
      </c>
    </row>
    <row r="617" spans="1:14" x14ac:dyDescent="0.3">
      <c r="A617" s="1" t="s">
        <v>662</v>
      </c>
      <c r="B617" s="1" t="s">
        <v>32</v>
      </c>
      <c r="C617">
        <v>49</v>
      </c>
      <c r="D617" s="1" t="s">
        <v>23</v>
      </c>
      <c r="E617" s="1" t="s">
        <v>24</v>
      </c>
      <c r="F617" s="1" t="s">
        <v>18</v>
      </c>
      <c r="G617" s="1" t="s">
        <v>19</v>
      </c>
      <c r="H617" s="1" t="s">
        <v>20</v>
      </c>
      <c r="I617" s="2">
        <v>45582</v>
      </c>
      <c r="J617">
        <v>35073</v>
      </c>
      <c r="K617" s="2">
        <v>45860</v>
      </c>
      <c r="L617">
        <v>-5303</v>
      </c>
      <c r="M617">
        <v>29770</v>
      </c>
      <c r="N617">
        <v>0</v>
      </c>
    </row>
    <row r="618" spans="1:14" x14ac:dyDescent="0.3">
      <c r="A618" s="1" t="s">
        <v>663</v>
      </c>
      <c r="B618" s="1" t="s">
        <v>52</v>
      </c>
      <c r="C618">
        <v>41</v>
      </c>
      <c r="D618" s="1" t="s">
        <v>23</v>
      </c>
      <c r="E618" s="1" t="s">
        <v>24</v>
      </c>
      <c r="F618" s="1" t="s">
        <v>18</v>
      </c>
      <c r="G618" s="1" t="s">
        <v>19</v>
      </c>
      <c r="H618" s="1" t="s">
        <v>20</v>
      </c>
      <c r="I618" s="2">
        <v>45380</v>
      </c>
      <c r="J618">
        <v>34166</v>
      </c>
      <c r="K618" s="2">
        <v>45851</v>
      </c>
      <c r="L618">
        <v>-6699</v>
      </c>
      <c r="M618">
        <v>27467</v>
      </c>
      <c r="N618">
        <v>0</v>
      </c>
    </row>
    <row r="619" spans="1:14" x14ac:dyDescent="0.3">
      <c r="A619" s="1" t="s">
        <v>664</v>
      </c>
      <c r="B619" s="1" t="s">
        <v>59</v>
      </c>
      <c r="C619">
        <v>40</v>
      </c>
      <c r="D619" s="1" t="s">
        <v>23</v>
      </c>
      <c r="E619" s="1" t="s">
        <v>38</v>
      </c>
      <c r="F619" s="1" t="s">
        <v>25</v>
      </c>
      <c r="G619" s="1" t="s">
        <v>19</v>
      </c>
      <c r="H619" s="1" t="s">
        <v>20</v>
      </c>
      <c r="I619" s="2">
        <v>44999</v>
      </c>
      <c r="J619">
        <v>15032</v>
      </c>
      <c r="K619" s="2">
        <v>45850</v>
      </c>
      <c r="L619">
        <v>14359</v>
      </c>
      <c r="M619">
        <v>29391</v>
      </c>
      <c r="N619">
        <v>0</v>
      </c>
    </row>
    <row r="620" spans="1:14" x14ac:dyDescent="0.3">
      <c r="A620" s="1" t="s">
        <v>665</v>
      </c>
      <c r="B620" s="1" t="s">
        <v>40</v>
      </c>
      <c r="C620">
        <v>49</v>
      </c>
      <c r="D620" s="1" t="s">
        <v>16</v>
      </c>
      <c r="E620" s="1" t="s">
        <v>35</v>
      </c>
      <c r="F620" s="1" t="s">
        <v>25</v>
      </c>
      <c r="G620" s="1" t="s">
        <v>19</v>
      </c>
      <c r="H620" s="1" t="s">
        <v>49</v>
      </c>
      <c r="I620" s="2">
        <v>45175</v>
      </c>
      <c r="J620">
        <v>5407</v>
      </c>
      <c r="K620" s="2">
        <v>45864</v>
      </c>
      <c r="L620">
        <v>30703</v>
      </c>
      <c r="M620">
        <v>36110</v>
      </c>
      <c r="N620">
        <v>0</v>
      </c>
    </row>
    <row r="621" spans="1:14" x14ac:dyDescent="0.3">
      <c r="A621" s="1" t="s">
        <v>666</v>
      </c>
      <c r="B621" s="1" t="s">
        <v>37</v>
      </c>
      <c r="C621">
        <v>54</v>
      </c>
      <c r="D621" s="1" t="s">
        <v>23</v>
      </c>
      <c r="E621" s="1" t="s">
        <v>24</v>
      </c>
      <c r="F621" s="1" t="s">
        <v>18</v>
      </c>
      <c r="G621" s="1" t="s">
        <v>19</v>
      </c>
      <c r="H621" s="1" t="s">
        <v>20</v>
      </c>
      <c r="I621" s="2">
        <v>45851</v>
      </c>
      <c r="J621">
        <v>7564</v>
      </c>
      <c r="K621" s="2">
        <v>45869</v>
      </c>
      <c r="L621">
        <v>18665</v>
      </c>
      <c r="M621">
        <v>26229</v>
      </c>
      <c r="N621">
        <v>0</v>
      </c>
    </row>
    <row r="622" spans="1:14" x14ac:dyDescent="0.3">
      <c r="A622" s="1" t="s">
        <v>667</v>
      </c>
      <c r="B622" s="1" t="s">
        <v>52</v>
      </c>
      <c r="C622">
        <v>29</v>
      </c>
      <c r="D622" s="1" t="s">
        <v>16</v>
      </c>
      <c r="E622" s="1" t="s">
        <v>38</v>
      </c>
      <c r="F622" s="1" t="s">
        <v>25</v>
      </c>
      <c r="G622" s="1" t="s">
        <v>19</v>
      </c>
      <c r="H622" s="1" t="s">
        <v>20</v>
      </c>
      <c r="I622" s="2">
        <v>45204</v>
      </c>
      <c r="J622">
        <v>2763</v>
      </c>
      <c r="K622" s="2">
        <v>45864</v>
      </c>
      <c r="L622">
        <v>21957</v>
      </c>
      <c r="M622">
        <v>24720</v>
      </c>
      <c r="N622">
        <v>0</v>
      </c>
    </row>
    <row r="623" spans="1:14" x14ac:dyDescent="0.3">
      <c r="A623" s="1" t="s">
        <v>668</v>
      </c>
      <c r="B623" s="1" t="s">
        <v>34</v>
      </c>
      <c r="C623">
        <v>66</v>
      </c>
      <c r="D623" s="1" t="s">
        <v>16</v>
      </c>
      <c r="E623" s="1" t="s">
        <v>24</v>
      </c>
      <c r="F623" s="1" t="s">
        <v>18</v>
      </c>
      <c r="G623" s="1" t="s">
        <v>19</v>
      </c>
      <c r="H623" s="1" t="s">
        <v>20</v>
      </c>
      <c r="I623" s="2">
        <v>45511</v>
      </c>
      <c r="J623">
        <v>9562</v>
      </c>
      <c r="K623" s="2">
        <v>45863</v>
      </c>
      <c r="L623">
        <v>9214</v>
      </c>
      <c r="M623">
        <v>18776</v>
      </c>
      <c r="N623">
        <v>0</v>
      </c>
    </row>
    <row r="624" spans="1:14" x14ac:dyDescent="0.3">
      <c r="A624" s="1" t="s">
        <v>669</v>
      </c>
      <c r="B624" s="1" t="s">
        <v>40</v>
      </c>
      <c r="C624">
        <v>30</v>
      </c>
      <c r="D624" s="1" t="s">
        <v>23</v>
      </c>
      <c r="E624" s="1" t="s">
        <v>24</v>
      </c>
      <c r="F624" s="1" t="s">
        <v>25</v>
      </c>
      <c r="G624" s="1" t="s">
        <v>41</v>
      </c>
      <c r="H624" s="1" t="s">
        <v>20</v>
      </c>
      <c r="I624" s="2">
        <v>45412</v>
      </c>
      <c r="J624">
        <v>2284</v>
      </c>
      <c r="K624" s="2">
        <v>45857</v>
      </c>
      <c r="L624">
        <v>9930</v>
      </c>
      <c r="M624">
        <v>12214</v>
      </c>
      <c r="N624">
        <v>0</v>
      </c>
    </row>
    <row r="625" spans="1:14" x14ac:dyDescent="0.3">
      <c r="A625" s="1" t="s">
        <v>670</v>
      </c>
      <c r="B625" s="1" t="s">
        <v>61</v>
      </c>
      <c r="C625">
        <v>40</v>
      </c>
      <c r="D625" s="1" t="s">
        <v>16</v>
      </c>
      <c r="E625" s="1" t="s">
        <v>24</v>
      </c>
      <c r="F625" s="1" t="s">
        <v>18</v>
      </c>
      <c r="G625" s="1" t="s">
        <v>19</v>
      </c>
      <c r="H625" s="1" t="s">
        <v>20</v>
      </c>
      <c r="I625" s="2">
        <v>45370</v>
      </c>
      <c r="J625">
        <v>16628</v>
      </c>
      <c r="K625" s="2">
        <v>45837</v>
      </c>
      <c r="L625">
        <v>-5316</v>
      </c>
      <c r="M625">
        <v>11312</v>
      </c>
      <c r="N625">
        <v>0</v>
      </c>
    </row>
    <row r="626" spans="1:14" x14ac:dyDescent="0.3">
      <c r="A626" s="1" t="s">
        <v>671</v>
      </c>
      <c r="B626" s="1" t="s">
        <v>75</v>
      </c>
      <c r="C626">
        <v>42</v>
      </c>
      <c r="D626" s="1" t="s">
        <v>23</v>
      </c>
      <c r="E626" s="1" t="s">
        <v>17</v>
      </c>
      <c r="F626" s="1" t="s">
        <v>18</v>
      </c>
      <c r="G626" s="1" t="s">
        <v>19</v>
      </c>
      <c r="H626" s="1" t="s">
        <v>20</v>
      </c>
      <c r="I626" s="2">
        <v>45395</v>
      </c>
      <c r="J626">
        <v>17962</v>
      </c>
      <c r="K626" s="2">
        <v>45834</v>
      </c>
      <c r="L626">
        <v>16001</v>
      </c>
      <c r="M626">
        <v>33963</v>
      </c>
      <c r="N626">
        <v>0</v>
      </c>
    </row>
    <row r="627" spans="1:14" x14ac:dyDescent="0.3">
      <c r="A627" s="1" t="s">
        <v>672</v>
      </c>
      <c r="B627" s="1" t="s">
        <v>61</v>
      </c>
      <c r="C627">
        <v>52</v>
      </c>
      <c r="D627" s="1" t="s">
        <v>30</v>
      </c>
      <c r="E627" s="1" t="s">
        <v>24</v>
      </c>
      <c r="F627" s="1" t="s">
        <v>18</v>
      </c>
      <c r="G627" s="1" t="s">
        <v>19</v>
      </c>
      <c r="H627" s="1" t="s">
        <v>20</v>
      </c>
      <c r="I627" s="2">
        <v>44957</v>
      </c>
      <c r="J627">
        <v>36507</v>
      </c>
      <c r="K627" s="2">
        <v>45837</v>
      </c>
      <c r="L627">
        <v>7663</v>
      </c>
      <c r="M627">
        <v>44170</v>
      </c>
      <c r="N627">
        <v>0</v>
      </c>
    </row>
    <row r="628" spans="1:14" x14ac:dyDescent="0.3">
      <c r="A628" s="1" t="s">
        <v>673</v>
      </c>
      <c r="B628" s="1" t="s">
        <v>22</v>
      </c>
      <c r="C628">
        <v>58</v>
      </c>
      <c r="D628" s="1" t="s">
        <v>16</v>
      </c>
      <c r="E628" s="1" t="s">
        <v>24</v>
      </c>
      <c r="F628" s="1" t="s">
        <v>18</v>
      </c>
      <c r="G628" s="1" t="s">
        <v>19</v>
      </c>
      <c r="H628" s="1" t="s">
        <v>20</v>
      </c>
      <c r="I628" s="2">
        <v>44990</v>
      </c>
      <c r="J628">
        <v>3944</v>
      </c>
      <c r="K628" s="2">
        <v>45865</v>
      </c>
      <c r="L628">
        <v>5779</v>
      </c>
      <c r="M628">
        <v>9723</v>
      </c>
      <c r="N628">
        <v>0</v>
      </c>
    </row>
    <row r="629" spans="1:14" x14ac:dyDescent="0.3">
      <c r="A629" s="1" t="s">
        <v>674</v>
      </c>
      <c r="B629" s="1" t="s">
        <v>59</v>
      </c>
      <c r="C629">
        <v>47</v>
      </c>
      <c r="D629" s="1" t="s">
        <v>23</v>
      </c>
      <c r="E629" s="1" t="s">
        <v>17</v>
      </c>
      <c r="F629" s="1" t="s">
        <v>18</v>
      </c>
      <c r="G629" s="1" t="s">
        <v>19</v>
      </c>
      <c r="H629" s="1" t="s">
        <v>20</v>
      </c>
      <c r="I629" s="2">
        <v>44979</v>
      </c>
      <c r="J629">
        <v>4221</v>
      </c>
      <c r="K629" s="2">
        <v>45847</v>
      </c>
      <c r="L629">
        <v>7081</v>
      </c>
      <c r="M629">
        <v>11302</v>
      </c>
      <c r="N629">
        <v>0</v>
      </c>
    </row>
    <row r="630" spans="1:14" x14ac:dyDescent="0.3">
      <c r="A630" s="1" t="s">
        <v>675</v>
      </c>
      <c r="B630" s="1" t="s">
        <v>40</v>
      </c>
      <c r="C630">
        <v>34</v>
      </c>
      <c r="D630" s="1" t="s">
        <v>23</v>
      </c>
      <c r="E630" s="1" t="s">
        <v>35</v>
      </c>
      <c r="F630" s="1" t="s">
        <v>18</v>
      </c>
      <c r="G630" s="1" t="s">
        <v>19</v>
      </c>
      <c r="H630" s="1" t="s">
        <v>20</v>
      </c>
      <c r="I630" s="2">
        <v>44252</v>
      </c>
      <c r="J630">
        <v>61372</v>
      </c>
      <c r="K630" s="2">
        <v>45737</v>
      </c>
      <c r="L630">
        <v>-2728</v>
      </c>
      <c r="M630">
        <v>58644</v>
      </c>
      <c r="N630">
        <v>0</v>
      </c>
    </row>
    <row r="631" spans="1:14" x14ac:dyDescent="0.3">
      <c r="A631" s="1" t="s">
        <v>676</v>
      </c>
      <c r="B631" s="1" t="s">
        <v>15</v>
      </c>
      <c r="C631">
        <v>66</v>
      </c>
      <c r="D631" s="1" t="s">
        <v>23</v>
      </c>
      <c r="E631" s="1" t="s">
        <v>17</v>
      </c>
      <c r="F631" s="1" t="s">
        <v>18</v>
      </c>
      <c r="G631" s="1" t="s">
        <v>41</v>
      </c>
      <c r="H631" s="1" t="s">
        <v>20</v>
      </c>
      <c r="I631" s="2">
        <v>44600</v>
      </c>
      <c r="J631">
        <v>3399</v>
      </c>
      <c r="K631" s="2">
        <v>45867</v>
      </c>
      <c r="L631">
        <v>33132</v>
      </c>
      <c r="M631">
        <v>36531</v>
      </c>
      <c r="N631">
        <v>0</v>
      </c>
    </row>
    <row r="632" spans="1:14" x14ac:dyDescent="0.3">
      <c r="A632" s="1" t="s">
        <v>677</v>
      </c>
      <c r="B632" s="1" t="s">
        <v>52</v>
      </c>
      <c r="C632">
        <v>37</v>
      </c>
      <c r="D632" s="1" t="s">
        <v>16</v>
      </c>
      <c r="E632" s="1" t="s">
        <v>17</v>
      </c>
      <c r="F632" s="1" t="s">
        <v>25</v>
      </c>
      <c r="G632" s="1" t="s">
        <v>19</v>
      </c>
      <c r="H632" s="1" t="s">
        <v>20</v>
      </c>
      <c r="I632" s="2">
        <v>44455</v>
      </c>
      <c r="J632">
        <v>103903</v>
      </c>
      <c r="K632" s="2">
        <v>45799</v>
      </c>
      <c r="L632">
        <v>-8310</v>
      </c>
      <c r="M632">
        <v>95593</v>
      </c>
      <c r="N632">
        <v>0</v>
      </c>
    </row>
    <row r="633" spans="1:14" x14ac:dyDescent="0.3">
      <c r="A633" s="1" t="s">
        <v>678</v>
      </c>
      <c r="B633" s="1" t="s">
        <v>64</v>
      </c>
      <c r="C633">
        <v>65</v>
      </c>
      <c r="D633" s="1" t="s">
        <v>16</v>
      </c>
      <c r="E633" s="1" t="s">
        <v>24</v>
      </c>
      <c r="F633" s="1" t="s">
        <v>18</v>
      </c>
      <c r="G633" s="1" t="s">
        <v>19</v>
      </c>
      <c r="H633" s="1" t="s">
        <v>20</v>
      </c>
      <c r="I633" s="2">
        <v>45680</v>
      </c>
      <c r="J633">
        <v>5303</v>
      </c>
      <c r="K633" s="2">
        <v>45865</v>
      </c>
      <c r="L633">
        <v>9280</v>
      </c>
      <c r="M633">
        <v>14583</v>
      </c>
      <c r="N633">
        <v>0</v>
      </c>
    </row>
    <row r="634" spans="1:14" x14ac:dyDescent="0.3">
      <c r="A634" s="1" t="s">
        <v>679</v>
      </c>
      <c r="B634" s="1" t="s">
        <v>71</v>
      </c>
      <c r="C634">
        <v>42</v>
      </c>
      <c r="D634" s="1" t="s">
        <v>16</v>
      </c>
      <c r="E634" s="1" t="s">
        <v>38</v>
      </c>
      <c r="F634" s="1" t="s">
        <v>18</v>
      </c>
      <c r="G634" s="1" t="s">
        <v>19</v>
      </c>
      <c r="H634" s="1" t="s">
        <v>20</v>
      </c>
      <c r="I634" s="2">
        <v>44657</v>
      </c>
      <c r="J634">
        <v>5341</v>
      </c>
      <c r="K634" s="2">
        <v>45858</v>
      </c>
      <c r="L634">
        <v>19146</v>
      </c>
      <c r="M634">
        <v>24487</v>
      </c>
      <c r="N634">
        <v>0</v>
      </c>
    </row>
    <row r="635" spans="1:14" x14ac:dyDescent="0.3">
      <c r="A635" s="1" t="s">
        <v>680</v>
      </c>
      <c r="B635" s="1" t="s">
        <v>34</v>
      </c>
      <c r="C635">
        <v>39</v>
      </c>
      <c r="D635" s="1" t="s">
        <v>23</v>
      </c>
      <c r="E635" s="1" t="s">
        <v>17</v>
      </c>
      <c r="F635" s="1" t="s">
        <v>18</v>
      </c>
      <c r="G635" s="1" t="s">
        <v>19</v>
      </c>
      <c r="H635" s="1" t="s">
        <v>20</v>
      </c>
      <c r="I635" s="2">
        <v>44428</v>
      </c>
      <c r="J635">
        <v>31033</v>
      </c>
      <c r="K635" s="2">
        <v>45766</v>
      </c>
      <c r="L635">
        <v>9218</v>
      </c>
      <c r="M635">
        <v>40251</v>
      </c>
      <c r="N635">
        <v>0</v>
      </c>
    </row>
    <row r="636" spans="1:14" x14ac:dyDescent="0.3">
      <c r="A636" s="1" t="s">
        <v>681</v>
      </c>
      <c r="B636" s="1" t="s">
        <v>75</v>
      </c>
      <c r="C636">
        <v>30</v>
      </c>
      <c r="D636" s="1" t="s">
        <v>23</v>
      </c>
      <c r="E636" s="1" t="s">
        <v>24</v>
      </c>
      <c r="F636" s="1" t="s">
        <v>25</v>
      </c>
      <c r="G636" s="1" t="s">
        <v>19</v>
      </c>
      <c r="H636" s="1" t="s">
        <v>20</v>
      </c>
      <c r="I636" s="2">
        <v>44397</v>
      </c>
      <c r="J636">
        <v>23142</v>
      </c>
      <c r="K636" s="2">
        <v>45838</v>
      </c>
      <c r="L636">
        <v>1468</v>
      </c>
      <c r="M636">
        <v>24610</v>
      </c>
      <c r="N636">
        <v>0</v>
      </c>
    </row>
    <row r="637" spans="1:14" x14ac:dyDescent="0.3">
      <c r="A637" s="1" t="s">
        <v>682</v>
      </c>
      <c r="B637" s="1" t="s">
        <v>56</v>
      </c>
      <c r="C637">
        <v>36</v>
      </c>
      <c r="D637" s="1" t="s">
        <v>23</v>
      </c>
      <c r="E637" s="1" t="s">
        <v>35</v>
      </c>
      <c r="F637" s="1" t="s">
        <v>18</v>
      </c>
      <c r="G637" s="1" t="s">
        <v>19</v>
      </c>
      <c r="H637" s="1" t="s">
        <v>20</v>
      </c>
      <c r="I637" s="2">
        <v>45368</v>
      </c>
      <c r="J637">
        <v>68978</v>
      </c>
      <c r="K637" s="2">
        <v>45825</v>
      </c>
      <c r="L637">
        <v>17600</v>
      </c>
      <c r="M637">
        <v>86578</v>
      </c>
      <c r="N637">
        <v>0</v>
      </c>
    </row>
    <row r="638" spans="1:14" x14ac:dyDescent="0.3">
      <c r="A638" s="1" t="s">
        <v>683</v>
      </c>
      <c r="B638" s="1" t="s">
        <v>79</v>
      </c>
      <c r="C638">
        <v>66</v>
      </c>
      <c r="D638" s="1" t="s">
        <v>16</v>
      </c>
      <c r="E638" s="1" t="s">
        <v>24</v>
      </c>
      <c r="F638" s="1" t="s">
        <v>25</v>
      </c>
      <c r="G638" s="1" t="s">
        <v>19</v>
      </c>
      <c r="H638" s="1" t="s">
        <v>20</v>
      </c>
      <c r="I638" s="2">
        <v>44207</v>
      </c>
      <c r="J638">
        <v>2016</v>
      </c>
      <c r="K638" s="2">
        <v>45867</v>
      </c>
      <c r="L638">
        <v>9801</v>
      </c>
      <c r="M638">
        <v>11817</v>
      </c>
      <c r="N638">
        <v>0</v>
      </c>
    </row>
    <row r="639" spans="1:14" x14ac:dyDescent="0.3">
      <c r="A639" s="1" t="s">
        <v>684</v>
      </c>
      <c r="B639" s="1" t="s">
        <v>61</v>
      </c>
      <c r="C639">
        <v>53</v>
      </c>
      <c r="D639" s="1" t="s">
        <v>16</v>
      </c>
      <c r="E639" s="1" t="s">
        <v>24</v>
      </c>
      <c r="F639" s="1" t="s">
        <v>25</v>
      </c>
      <c r="G639" s="1" t="s">
        <v>19</v>
      </c>
      <c r="H639" s="1" t="s">
        <v>49</v>
      </c>
      <c r="I639" s="2">
        <v>44985</v>
      </c>
      <c r="J639">
        <v>22780</v>
      </c>
      <c r="K639" s="2">
        <v>45857</v>
      </c>
      <c r="L639">
        <v>8545</v>
      </c>
      <c r="M639">
        <v>31325</v>
      </c>
      <c r="N639">
        <v>0</v>
      </c>
    </row>
    <row r="640" spans="1:14" x14ac:dyDescent="0.3">
      <c r="A640" s="1" t="s">
        <v>685</v>
      </c>
      <c r="B640" s="1" t="s">
        <v>29</v>
      </c>
      <c r="C640">
        <v>29</v>
      </c>
      <c r="D640" s="1" t="s">
        <v>23</v>
      </c>
      <c r="E640" s="1" t="s">
        <v>38</v>
      </c>
      <c r="F640" s="1" t="s">
        <v>18</v>
      </c>
      <c r="G640" s="1" t="s">
        <v>19</v>
      </c>
      <c r="H640" s="1" t="s">
        <v>20</v>
      </c>
      <c r="I640" s="2">
        <v>44395</v>
      </c>
      <c r="J640">
        <v>12759</v>
      </c>
      <c r="K640" s="2">
        <v>45797</v>
      </c>
      <c r="L640">
        <v>8490</v>
      </c>
      <c r="M640">
        <v>21249</v>
      </c>
      <c r="N640">
        <v>0</v>
      </c>
    </row>
    <row r="641" spans="1:14" x14ac:dyDescent="0.3">
      <c r="A641" s="1" t="s">
        <v>686</v>
      </c>
      <c r="B641" s="1" t="s">
        <v>61</v>
      </c>
      <c r="C641">
        <v>58</v>
      </c>
      <c r="D641" s="1" t="s">
        <v>23</v>
      </c>
      <c r="E641" s="1" t="s">
        <v>17</v>
      </c>
      <c r="F641" s="1" t="s">
        <v>18</v>
      </c>
      <c r="G641" s="1" t="s">
        <v>19</v>
      </c>
      <c r="H641" s="1" t="s">
        <v>20</v>
      </c>
      <c r="I641" s="2">
        <v>45618</v>
      </c>
      <c r="J641">
        <v>4552</v>
      </c>
      <c r="K641" s="2">
        <v>45860</v>
      </c>
      <c r="L641">
        <v>6046</v>
      </c>
      <c r="M641">
        <v>10598</v>
      </c>
      <c r="N641">
        <v>0</v>
      </c>
    </row>
    <row r="642" spans="1:14" x14ac:dyDescent="0.3">
      <c r="A642" s="1" t="s">
        <v>687</v>
      </c>
      <c r="B642" s="1" t="s">
        <v>22</v>
      </c>
      <c r="C642">
        <v>36</v>
      </c>
      <c r="D642" s="1" t="s">
        <v>16</v>
      </c>
      <c r="E642" s="1" t="s">
        <v>24</v>
      </c>
      <c r="F642" s="1" t="s">
        <v>18</v>
      </c>
      <c r="G642" s="1" t="s">
        <v>19</v>
      </c>
      <c r="H642" s="1" t="s">
        <v>20</v>
      </c>
      <c r="I642" s="2">
        <v>45800</v>
      </c>
      <c r="J642">
        <v>87682</v>
      </c>
      <c r="K642" s="2">
        <v>45868</v>
      </c>
      <c r="L642">
        <v>10472</v>
      </c>
      <c r="M642">
        <v>98154</v>
      </c>
      <c r="N642">
        <v>0</v>
      </c>
    </row>
    <row r="643" spans="1:14" x14ac:dyDescent="0.3">
      <c r="A643" s="1" t="s">
        <v>688</v>
      </c>
      <c r="B643" s="1" t="s">
        <v>40</v>
      </c>
      <c r="C643">
        <v>29</v>
      </c>
      <c r="D643" s="1" t="s">
        <v>16</v>
      </c>
      <c r="E643" s="1" t="s">
        <v>24</v>
      </c>
      <c r="F643" s="1" t="s">
        <v>18</v>
      </c>
      <c r="G643" s="1" t="s">
        <v>19</v>
      </c>
      <c r="H643" s="1" t="s">
        <v>20</v>
      </c>
      <c r="I643" s="2">
        <v>45800</v>
      </c>
      <c r="J643">
        <v>16905</v>
      </c>
      <c r="K643" s="2">
        <v>45869</v>
      </c>
      <c r="L643">
        <v>28687</v>
      </c>
      <c r="M643">
        <v>45592</v>
      </c>
      <c r="N643">
        <v>0</v>
      </c>
    </row>
    <row r="644" spans="1:14" x14ac:dyDescent="0.3">
      <c r="A644" s="1" t="s">
        <v>689</v>
      </c>
      <c r="B644" s="1" t="s">
        <v>27</v>
      </c>
      <c r="C644">
        <v>26</v>
      </c>
      <c r="D644" s="1" t="s">
        <v>16</v>
      </c>
      <c r="E644" s="1" t="s">
        <v>24</v>
      </c>
      <c r="F644" s="1" t="s">
        <v>25</v>
      </c>
      <c r="G644" s="1" t="s">
        <v>41</v>
      </c>
      <c r="H644" s="1" t="s">
        <v>20</v>
      </c>
      <c r="I644" s="2">
        <v>44936</v>
      </c>
      <c r="J644">
        <v>12546</v>
      </c>
      <c r="K644" s="2">
        <v>45832</v>
      </c>
      <c r="L644">
        <v>20112</v>
      </c>
      <c r="M644">
        <v>32658</v>
      </c>
      <c r="N644">
        <v>0</v>
      </c>
    </row>
    <row r="645" spans="1:14" x14ac:dyDescent="0.3">
      <c r="A645" s="1" t="s">
        <v>690</v>
      </c>
      <c r="B645" s="1" t="s">
        <v>48</v>
      </c>
      <c r="C645">
        <v>24</v>
      </c>
      <c r="D645" s="1" t="s">
        <v>16</v>
      </c>
      <c r="E645" s="1" t="s">
        <v>24</v>
      </c>
      <c r="F645" s="1" t="s">
        <v>25</v>
      </c>
      <c r="G645" s="1" t="s">
        <v>19</v>
      </c>
      <c r="H645" s="1" t="s">
        <v>20</v>
      </c>
      <c r="I645" s="2">
        <v>45275</v>
      </c>
      <c r="J645">
        <v>21036</v>
      </c>
      <c r="K645" s="2">
        <v>45831</v>
      </c>
      <c r="L645">
        <v>24215</v>
      </c>
      <c r="M645">
        <v>45251</v>
      </c>
      <c r="N645">
        <v>0</v>
      </c>
    </row>
    <row r="646" spans="1:14" x14ac:dyDescent="0.3">
      <c r="A646" s="1" t="s">
        <v>691</v>
      </c>
      <c r="B646" s="1" t="s">
        <v>69</v>
      </c>
      <c r="C646">
        <v>45</v>
      </c>
      <c r="D646" s="1" t="s">
        <v>23</v>
      </c>
      <c r="E646" s="1" t="s">
        <v>17</v>
      </c>
      <c r="F646" s="1" t="s">
        <v>18</v>
      </c>
      <c r="G646" s="1" t="s">
        <v>19</v>
      </c>
      <c r="H646" s="1" t="s">
        <v>20</v>
      </c>
      <c r="I646" s="2">
        <v>45200</v>
      </c>
      <c r="J646">
        <v>2372</v>
      </c>
      <c r="K646" s="2">
        <v>45834</v>
      </c>
      <c r="L646">
        <v>-26136</v>
      </c>
      <c r="M646">
        <v>-23764</v>
      </c>
      <c r="N646">
        <v>0</v>
      </c>
    </row>
    <row r="647" spans="1:14" x14ac:dyDescent="0.3">
      <c r="A647" s="1" t="s">
        <v>692</v>
      </c>
      <c r="B647" s="1" t="s">
        <v>43</v>
      </c>
      <c r="C647">
        <v>31</v>
      </c>
      <c r="D647" s="1" t="s">
        <v>23</v>
      </c>
      <c r="E647" s="1" t="s">
        <v>24</v>
      </c>
      <c r="F647" s="1" t="s">
        <v>18</v>
      </c>
      <c r="G647" s="1" t="s">
        <v>19</v>
      </c>
      <c r="H647" s="1" t="s">
        <v>20</v>
      </c>
      <c r="I647" s="2">
        <v>44782</v>
      </c>
      <c r="J647">
        <v>3833</v>
      </c>
      <c r="K647" s="2">
        <v>45825</v>
      </c>
      <c r="L647">
        <v>23213</v>
      </c>
      <c r="M647">
        <v>27046</v>
      </c>
      <c r="N647">
        <v>0</v>
      </c>
    </row>
    <row r="648" spans="1:14" x14ac:dyDescent="0.3">
      <c r="A648" s="1" t="s">
        <v>693</v>
      </c>
      <c r="B648" s="1" t="s">
        <v>27</v>
      </c>
      <c r="C648">
        <v>48</v>
      </c>
      <c r="D648" s="1" t="s">
        <v>16</v>
      </c>
      <c r="E648" s="1" t="s">
        <v>17</v>
      </c>
      <c r="F648" s="1" t="s">
        <v>25</v>
      </c>
      <c r="G648" s="1" t="s">
        <v>19</v>
      </c>
      <c r="H648" s="1" t="s">
        <v>49</v>
      </c>
      <c r="I648" s="2">
        <v>44939</v>
      </c>
      <c r="J648">
        <v>9579</v>
      </c>
      <c r="K648" s="2">
        <v>45856</v>
      </c>
      <c r="L648">
        <v>4340</v>
      </c>
      <c r="M648">
        <v>13919</v>
      </c>
      <c r="N648">
        <v>0</v>
      </c>
    </row>
    <row r="649" spans="1:14" x14ac:dyDescent="0.3">
      <c r="A649" s="1" t="s">
        <v>694</v>
      </c>
      <c r="B649" s="1" t="s">
        <v>22</v>
      </c>
      <c r="C649">
        <v>69</v>
      </c>
      <c r="D649" s="1" t="s">
        <v>16</v>
      </c>
      <c r="E649" s="1" t="s">
        <v>38</v>
      </c>
      <c r="F649" s="1" t="s">
        <v>25</v>
      </c>
      <c r="G649" s="1" t="s">
        <v>19</v>
      </c>
      <c r="H649" s="1" t="s">
        <v>20</v>
      </c>
      <c r="I649" s="2">
        <v>44304</v>
      </c>
      <c r="J649">
        <v>18332</v>
      </c>
      <c r="K649" s="2">
        <v>45823</v>
      </c>
      <c r="L649">
        <v>6023</v>
      </c>
      <c r="M649">
        <v>24355</v>
      </c>
      <c r="N649">
        <v>0</v>
      </c>
    </row>
    <row r="650" spans="1:14" x14ac:dyDescent="0.3">
      <c r="A650" s="1" t="s">
        <v>695</v>
      </c>
      <c r="B650" s="1" t="s">
        <v>64</v>
      </c>
      <c r="C650">
        <v>36</v>
      </c>
      <c r="D650" s="1" t="s">
        <v>23</v>
      </c>
      <c r="E650" s="1" t="s">
        <v>24</v>
      </c>
      <c r="F650" s="1" t="s">
        <v>18</v>
      </c>
      <c r="G650" s="1" t="s">
        <v>19</v>
      </c>
      <c r="H650" s="1" t="s">
        <v>20</v>
      </c>
      <c r="I650" s="2">
        <v>45528</v>
      </c>
      <c r="J650">
        <v>47793</v>
      </c>
      <c r="K650" s="2">
        <v>45831</v>
      </c>
      <c r="L650">
        <v>-7369</v>
      </c>
      <c r="M650">
        <v>40424</v>
      </c>
      <c r="N650">
        <v>0</v>
      </c>
    </row>
    <row r="651" spans="1:14" x14ac:dyDescent="0.3">
      <c r="A651" s="1" t="s">
        <v>696</v>
      </c>
      <c r="B651" s="1" t="s">
        <v>32</v>
      </c>
      <c r="C651">
        <v>64</v>
      </c>
      <c r="D651" s="1" t="s">
        <v>16</v>
      </c>
      <c r="E651" s="1" t="s">
        <v>24</v>
      </c>
      <c r="F651" s="1" t="s">
        <v>18</v>
      </c>
      <c r="G651" s="1" t="s">
        <v>19</v>
      </c>
      <c r="H651" s="1" t="s">
        <v>20</v>
      </c>
      <c r="I651" s="2">
        <v>44599</v>
      </c>
      <c r="J651">
        <v>5514</v>
      </c>
      <c r="K651" s="2">
        <v>45858</v>
      </c>
      <c r="L651">
        <v>5216</v>
      </c>
      <c r="M651">
        <v>10730</v>
      </c>
      <c r="N651">
        <v>0</v>
      </c>
    </row>
    <row r="652" spans="1:14" x14ac:dyDescent="0.3">
      <c r="A652" s="1" t="s">
        <v>697</v>
      </c>
      <c r="B652" s="1" t="s">
        <v>29</v>
      </c>
      <c r="C652">
        <v>33</v>
      </c>
      <c r="D652" s="1" t="s">
        <v>16</v>
      </c>
      <c r="E652" s="1" t="s">
        <v>38</v>
      </c>
      <c r="F652" s="1" t="s">
        <v>18</v>
      </c>
      <c r="G652" s="1" t="s">
        <v>41</v>
      </c>
      <c r="H652" s="1" t="s">
        <v>49</v>
      </c>
      <c r="I652" s="2">
        <v>44967</v>
      </c>
      <c r="J652">
        <v>4388</v>
      </c>
      <c r="K652" s="2">
        <v>45801</v>
      </c>
      <c r="L652">
        <v>9091</v>
      </c>
      <c r="M652">
        <v>13479</v>
      </c>
      <c r="N652">
        <v>0</v>
      </c>
    </row>
    <row r="653" spans="1:14" x14ac:dyDescent="0.3">
      <c r="A653" s="1" t="s">
        <v>698</v>
      </c>
      <c r="B653" s="1" t="s">
        <v>27</v>
      </c>
      <c r="C653">
        <v>22</v>
      </c>
      <c r="D653" s="1" t="s">
        <v>16</v>
      </c>
      <c r="E653" s="1" t="s">
        <v>38</v>
      </c>
      <c r="F653" s="1" t="s">
        <v>25</v>
      </c>
      <c r="G653" s="1" t="s">
        <v>41</v>
      </c>
      <c r="H653" s="1" t="s">
        <v>20</v>
      </c>
      <c r="I653" s="2">
        <v>45001</v>
      </c>
      <c r="J653">
        <v>22058</v>
      </c>
      <c r="K653" s="2">
        <v>45860</v>
      </c>
      <c r="L653">
        <v>12989</v>
      </c>
      <c r="M653">
        <v>35047</v>
      </c>
      <c r="N653">
        <v>0</v>
      </c>
    </row>
    <row r="654" spans="1:14" x14ac:dyDescent="0.3">
      <c r="A654" s="1" t="s">
        <v>699</v>
      </c>
      <c r="B654" s="1" t="s">
        <v>52</v>
      </c>
      <c r="C654">
        <v>52</v>
      </c>
      <c r="D654" s="1" t="s">
        <v>16</v>
      </c>
      <c r="E654" s="1" t="s">
        <v>17</v>
      </c>
      <c r="F654" s="1" t="s">
        <v>18</v>
      </c>
      <c r="G654" s="1" t="s">
        <v>19</v>
      </c>
      <c r="H654" s="1" t="s">
        <v>20</v>
      </c>
      <c r="I654" s="2">
        <v>45135</v>
      </c>
      <c r="J654">
        <v>11662</v>
      </c>
      <c r="K654" s="2">
        <v>45864</v>
      </c>
      <c r="L654">
        <v>-22065</v>
      </c>
      <c r="M654">
        <v>-10403</v>
      </c>
      <c r="N654">
        <v>0</v>
      </c>
    </row>
    <row r="655" spans="1:14" x14ac:dyDescent="0.3">
      <c r="A655" s="1" t="s">
        <v>700</v>
      </c>
      <c r="B655" s="1" t="s">
        <v>27</v>
      </c>
      <c r="C655">
        <v>29</v>
      </c>
      <c r="D655" s="1" t="s">
        <v>23</v>
      </c>
      <c r="E655" s="1" t="s">
        <v>35</v>
      </c>
      <c r="F655" s="1" t="s">
        <v>18</v>
      </c>
      <c r="G655" s="1" t="s">
        <v>19</v>
      </c>
      <c r="H655" s="1" t="s">
        <v>20</v>
      </c>
      <c r="I655" s="2">
        <v>45565</v>
      </c>
      <c r="J655">
        <v>1956</v>
      </c>
      <c r="K655" s="2">
        <v>45869</v>
      </c>
      <c r="L655">
        <v>14852</v>
      </c>
      <c r="M655">
        <v>16808</v>
      </c>
      <c r="N655">
        <v>0</v>
      </c>
    </row>
    <row r="656" spans="1:14" x14ac:dyDescent="0.3">
      <c r="A656" s="1" t="s">
        <v>701</v>
      </c>
      <c r="B656" s="1" t="s">
        <v>48</v>
      </c>
      <c r="C656">
        <v>42</v>
      </c>
      <c r="D656" s="1" t="s">
        <v>16</v>
      </c>
      <c r="E656" s="1" t="s">
        <v>17</v>
      </c>
      <c r="F656" s="1" t="s">
        <v>25</v>
      </c>
      <c r="G656" s="1" t="s">
        <v>19</v>
      </c>
      <c r="H656" s="1" t="s">
        <v>20</v>
      </c>
      <c r="I656" s="2">
        <v>45354</v>
      </c>
      <c r="J656">
        <v>5333</v>
      </c>
      <c r="K656" s="2">
        <v>45856</v>
      </c>
      <c r="L656">
        <v>7818</v>
      </c>
      <c r="M656">
        <v>13151</v>
      </c>
      <c r="N656">
        <v>0</v>
      </c>
    </row>
    <row r="657" spans="1:14" x14ac:dyDescent="0.3">
      <c r="A657" s="1" t="s">
        <v>702</v>
      </c>
      <c r="B657" s="1" t="s">
        <v>34</v>
      </c>
      <c r="C657">
        <v>69</v>
      </c>
      <c r="D657" s="1" t="s">
        <v>16</v>
      </c>
      <c r="E657" s="1" t="s">
        <v>17</v>
      </c>
      <c r="F657" s="1" t="s">
        <v>25</v>
      </c>
      <c r="G657" s="1" t="s">
        <v>19</v>
      </c>
      <c r="H657" s="1" t="s">
        <v>20</v>
      </c>
      <c r="I657" s="2">
        <v>45306</v>
      </c>
      <c r="J657">
        <v>11139</v>
      </c>
      <c r="K657" s="2">
        <v>45856</v>
      </c>
      <c r="L657">
        <v>-6105</v>
      </c>
      <c r="M657">
        <v>5034</v>
      </c>
      <c r="N657">
        <v>0</v>
      </c>
    </row>
    <row r="658" spans="1:14" x14ac:dyDescent="0.3">
      <c r="A658" s="1" t="s">
        <v>703</v>
      </c>
      <c r="B658" s="1" t="s">
        <v>29</v>
      </c>
      <c r="C658">
        <v>38</v>
      </c>
      <c r="D658" s="1" t="s">
        <v>16</v>
      </c>
      <c r="E658" s="1" t="s">
        <v>38</v>
      </c>
      <c r="F658" s="1" t="s">
        <v>25</v>
      </c>
      <c r="G658" s="1" t="s">
        <v>19</v>
      </c>
      <c r="H658" s="1" t="s">
        <v>20</v>
      </c>
      <c r="I658" s="2">
        <v>45078</v>
      </c>
      <c r="J658">
        <v>11451</v>
      </c>
      <c r="K658" s="2">
        <v>45868</v>
      </c>
      <c r="L658">
        <v>54048</v>
      </c>
      <c r="M658">
        <v>65499</v>
      </c>
      <c r="N658">
        <v>0</v>
      </c>
    </row>
    <row r="659" spans="1:14" x14ac:dyDescent="0.3">
      <c r="A659" s="1" t="s">
        <v>704</v>
      </c>
      <c r="B659" s="1" t="s">
        <v>48</v>
      </c>
      <c r="C659">
        <v>53</v>
      </c>
      <c r="D659" s="1" t="s">
        <v>16</v>
      </c>
      <c r="E659" s="1" t="s">
        <v>24</v>
      </c>
      <c r="F659" s="1" t="s">
        <v>18</v>
      </c>
      <c r="G659" s="1" t="s">
        <v>19</v>
      </c>
      <c r="H659" s="1" t="s">
        <v>20</v>
      </c>
      <c r="I659" s="2">
        <v>44357</v>
      </c>
      <c r="J659">
        <v>14616</v>
      </c>
      <c r="K659" s="2">
        <v>45863</v>
      </c>
      <c r="L659">
        <v>9790</v>
      </c>
      <c r="M659">
        <v>24406</v>
      </c>
      <c r="N659">
        <v>0</v>
      </c>
    </row>
    <row r="660" spans="1:14" x14ac:dyDescent="0.3">
      <c r="A660" s="1" t="s">
        <v>705</v>
      </c>
      <c r="B660" s="1" t="s">
        <v>69</v>
      </c>
      <c r="C660">
        <v>40</v>
      </c>
      <c r="D660" s="1" t="s">
        <v>16</v>
      </c>
      <c r="E660" s="1" t="s">
        <v>24</v>
      </c>
      <c r="F660" s="1" t="s">
        <v>18</v>
      </c>
      <c r="G660" s="1" t="s">
        <v>19</v>
      </c>
      <c r="H660" s="1" t="s">
        <v>20</v>
      </c>
      <c r="I660" s="2">
        <v>44869</v>
      </c>
      <c r="J660">
        <v>3640</v>
      </c>
      <c r="K660" s="2">
        <v>45723</v>
      </c>
      <c r="L660">
        <v>9345</v>
      </c>
      <c r="M660">
        <v>12985</v>
      </c>
      <c r="N660">
        <v>0</v>
      </c>
    </row>
    <row r="661" spans="1:14" x14ac:dyDescent="0.3">
      <c r="A661" s="1" t="s">
        <v>706</v>
      </c>
      <c r="B661" s="1" t="s">
        <v>48</v>
      </c>
      <c r="C661">
        <v>33</v>
      </c>
      <c r="D661" s="1" t="s">
        <v>23</v>
      </c>
      <c r="E661" s="1" t="s">
        <v>17</v>
      </c>
      <c r="F661" s="1" t="s">
        <v>25</v>
      </c>
      <c r="G661" s="1" t="s">
        <v>19</v>
      </c>
      <c r="H661" s="1" t="s">
        <v>20</v>
      </c>
      <c r="I661" s="2">
        <v>45798</v>
      </c>
      <c r="J661">
        <v>11719</v>
      </c>
      <c r="K661" s="2">
        <v>45869</v>
      </c>
      <c r="L661">
        <v>27660</v>
      </c>
      <c r="M661">
        <v>39379</v>
      </c>
      <c r="N661">
        <v>0</v>
      </c>
    </row>
    <row r="662" spans="1:14" x14ac:dyDescent="0.3">
      <c r="A662" s="1" t="s">
        <v>707</v>
      </c>
      <c r="B662" s="1" t="s">
        <v>75</v>
      </c>
      <c r="C662">
        <v>56</v>
      </c>
      <c r="D662" s="1" t="s">
        <v>16</v>
      </c>
      <c r="E662" s="1" t="s">
        <v>24</v>
      </c>
      <c r="F662" s="1" t="s">
        <v>18</v>
      </c>
      <c r="G662" s="1" t="s">
        <v>19</v>
      </c>
      <c r="H662" s="1" t="s">
        <v>49</v>
      </c>
      <c r="I662" s="2">
        <v>45862</v>
      </c>
      <c r="J662">
        <v>34444</v>
      </c>
      <c r="K662" s="2">
        <v>45869</v>
      </c>
      <c r="L662">
        <v>28530</v>
      </c>
      <c r="M662">
        <v>62974</v>
      </c>
      <c r="N662">
        <v>0</v>
      </c>
    </row>
    <row r="663" spans="1:14" x14ac:dyDescent="0.3">
      <c r="A663" s="1" t="s">
        <v>708</v>
      </c>
      <c r="B663" s="1" t="s">
        <v>79</v>
      </c>
      <c r="C663">
        <v>62</v>
      </c>
      <c r="D663" s="1" t="s">
        <v>16</v>
      </c>
      <c r="E663" s="1" t="s">
        <v>24</v>
      </c>
      <c r="F663" s="1" t="s">
        <v>18</v>
      </c>
      <c r="G663" s="1" t="s">
        <v>19</v>
      </c>
      <c r="H663" s="1" t="s">
        <v>20</v>
      </c>
      <c r="I663" s="2">
        <v>45419</v>
      </c>
      <c r="J663">
        <v>744</v>
      </c>
      <c r="K663" s="2">
        <v>45847</v>
      </c>
      <c r="L663">
        <v>1621</v>
      </c>
      <c r="M663">
        <v>2365</v>
      </c>
      <c r="N663">
        <v>0</v>
      </c>
    </row>
    <row r="664" spans="1:14" x14ac:dyDescent="0.3">
      <c r="A664" s="1" t="s">
        <v>709</v>
      </c>
      <c r="B664" s="1" t="s">
        <v>75</v>
      </c>
      <c r="C664">
        <v>59</v>
      </c>
      <c r="D664" s="1" t="s">
        <v>16</v>
      </c>
      <c r="E664" s="1" t="s">
        <v>35</v>
      </c>
      <c r="F664" s="1" t="s">
        <v>18</v>
      </c>
      <c r="G664" s="1" t="s">
        <v>19</v>
      </c>
      <c r="H664" s="1" t="s">
        <v>20</v>
      </c>
      <c r="I664" s="2">
        <v>44577</v>
      </c>
      <c r="J664">
        <v>10073</v>
      </c>
      <c r="K664" s="2">
        <v>45843</v>
      </c>
      <c r="L664">
        <v>8687</v>
      </c>
      <c r="M664">
        <v>18760</v>
      </c>
      <c r="N664">
        <v>0</v>
      </c>
    </row>
    <row r="665" spans="1:14" x14ac:dyDescent="0.3">
      <c r="A665" s="1" t="s">
        <v>710</v>
      </c>
      <c r="B665" s="1" t="s">
        <v>75</v>
      </c>
      <c r="C665">
        <v>56</v>
      </c>
      <c r="D665" s="1" t="s">
        <v>16</v>
      </c>
      <c r="E665" s="1" t="s">
        <v>17</v>
      </c>
      <c r="F665" s="1" t="s">
        <v>18</v>
      </c>
      <c r="G665" s="1" t="s">
        <v>19</v>
      </c>
      <c r="H665" s="1" t="s">
        <v>20</v>
      </c>
      <c r="I665" s="2">
        <v>44367</v>
      </c>
      <c r="J665">
        <v>2535</v>
      </c>
      <c r="K665" s="2">
        <v>45853</v>
      </c>
      <c r="L665">
        <v>-5408</v>
      </c>
      <c r="M665">
        <v>-2873</v>
      </c>
      <c r="N665">
        <v>0</v>
      </c>
    </row>
    <row r="666" spans="1:14" x14ac:dyDescent="0.3">
      <c r="A666" s="1" t="s">
        <v>711</v>
      </c>
      <c r="B666" s="1" t="s">
        <v>22</v>
      </c>
      <c r="C666">
        <v>31</v>
      </c>
      <c r="D666" s="1" t="s">
        <v>16</v>
      </c>
      <c r="E666" s="1" t="s">
        <v>38</v>
      </c>
      <c r="F666" s="1" t="s">
        <v>18</v>
      </c>
      <c r="G666" s="1" t="s">
        <v>19</v>
      </c>
      <c r="H666" s="1" t="s">
        <v>20</v>
      </c>
      <c r="I666" s="2">
        <v>44890</v>
      </c>
      <c r="J666">
        <v>12936</v>
      </c>
      <c r="K666" s="2">
        <v>45763</v>
      </c>
      <c r="L666">
        <v>13118</v>
      </c>
      <c r="M666">
        <v>26054</v>
      </c>
      <c r="N666">
        <v>0</v>
      </c>
    </row>
    <row r="667" spans="1:14" x14ac:dyDescent="0.3">
      <c r="A667" s="1" t="s">
        <v>712</v>
      </c>
      <c r="B667" s="1" t="s">
        <v>37</v>
      </c>
      <c r="C667">
        <v>48</v>
      </c>
      <c r="D667" s="1" t="s">
        <v>16</v>
      </c>
      <c r="E667" s="1" t="s">
        <v>24</v>
      </c>
      <c r="F667" s="1" t="s">
        <v>25</v>
      </c>
      <c r="G667" s="1" t="s">
        <v>19</v>
      </c>
      <c r="H667" s="1" t="s">
        <v>20</v>
      </c>
      <c r="I667" s="2">
        <v>45630</v>
      </c>
      <c r="J667">
        <v>2967</v>
      </c>
      <c r="K667" s="2">
        <v>45865</v>
      </c>
      <c r="L667">
        <v>4146</v>
      </c>
      <c r="M667">
        <v>7113</v>
      </c>
      <c r="N667">
        <v>0</v>
      </c>
    </row>
    <row r="668" spans="1:14" x14ac:dyDescent="0.3">
      <c r="A668" s="1" t="s">
        <v>713</v>
      </c>
      <c r="B668" s="1" t="s">
        <v>40</v>
      </c>
      <c r="C668">
        <v>22</v>
      </c>
      <c r="D668" s="1" t="s">
        <v>16</v>
      </c>
      <c r="E668" s="1" t="s">
        <v>38</v>
      </c>
      <c r="F668" s="1" t="s">
        <v>25</v>
      </c>
      <c r="G668" s="1" t="s">
        <v>19</v>
      </c>
      <c r="H668" s="1" t="s">
        <v>20</v>
      </c>
      <c r="I668" s="2">
        <v>45404</v>
      </c>
      <c r="J668">
        <v>15277</v>
      </c>
      <c r="K668" s="2">
        <v>45867</v>
      </c>
      <c r="L668">
        <v>17704</v>
      </c>
      <c r="M668">
        <v>32981</v>
      </c>
      <c r="N668">
        <v>0</v>
      </c>
    </row>
    <row r="669" spans="1:14" x14ac:dyDescent="0.3">
      <c r="A669" s="1" t="s">
        <v>714</v>
      </c>
      <c r="B669" s="1" t="s">
        <v>59</v>
      </c>
      <c r="C669">
        <v>52</v>
      </c>
      <c r="D669" s="1" t="s">
        <v>23</v>
      </c>
      <c r="E669" s="1" t="s">
        <v>38</v>
      </c>
      <c r="F669" s="1" t="s">
        <v>25</v>
      </c>
      <c r="G669" s="1" t="s">
        <v>19</v>
      </c>
      <c r="H669" s="1" t="s">
        <v>20</v>
      </c>
      <c r="I669" s="2">
        <v>45675</v>
      </c>
      <c r="J669">
        <v>67957</v>
      </c>
      <c r="K669" s="2">
        <v>45827</v>
      </c>
      <c r="L669">
        <v>17138</v>
      </c>
      <c r="M669">
        <v>85095</v>
      </c>
      <c r="N669">
        <v>0</v>
      </c>
    </row>
    <row r="670" spans="1:14" x14ac:dyDescent="0.3">
      <c r="A670" s="1" t="s">
        <v>715</v>
      </c>
      <c r="B670" s="1" t="s">
        <v>61</v>
      </c>
      <c r="C670">
        <v>40</v>
      </c>
      <c r="D670" s="1" t="s">
        <v>23</v>
      </c>
      <c r="E670" s="1" t="s">
        <v>38</v>
      </c>
      <c r="F670" s="1" t="s">
        <v>18</v>
      </c>
      <c r="G670" s="1" t="s">
        <v>19</v>
      </c>
      <c r="H670" s="1" t="s">
        <v>20</v>
      </c>
      <c r="I670" s="2">
        <v>45227</v>
      </c>
      <c r="J670">
        <v>5017</v>
      </c>
      <c r="K670" s="2">
        <v>45848</v>
      </c>
      <c r="L670">
        <v>-13880</v>
      </c>
      <c r="M670">
        <v>-8863</v>
      </c>
      <c r="N670">
        <v>0</v>
      </c>
    </row>
    <row r="671" spans="1:14" x14ac:dyDescent="0.3">
      <c r="A671" s="1" t="s">
        <v>716</v>
      </c>
      <c r="B671" s="1" t="s">
        <v>75</v>
      </c>
      <c r="C671">
        <v>46</v>
      </c>
      <c r="D671" s="1" t="s">
        <v>16</v>
      </c>
      <c r="E671" s="1" t="s">
        <v>24</v>
      </c>
      <c r="F671" s="1" t="s">
        <v>18</v>
      </c>
      <c r="G671" s="1" t="s">
        <v>19</v>
      </c>
      <c r="H671" s="1" t="s">
        <v>20</v>
      </c>
      <c r="I671" s="2">
        <v>44415</v>
      </c>
      <c r="J671">
        <v>5800</v>
      </c>
      <c r="K671" s="2">
        <v>45814</v>
      </c>
      <c r="L671">
        <v>19535</v>
      </c>
      <c r="M671">
        <v>25335</v>
      </c>
      <c r="N671">
        <v>0</v>
      </c>
    </row>
    <row r="672" spans="1:14" x14ac:dyDescent="0.3">
      <c r="A672" s="1" t="s">
        <v>717</v>
      </c>
      <c r="B672" s="1" t="s">
        <v>87</v>
      </c>
      <c r="C672">
        <v>60</v>
      </c>
      <c r="D672" s="1" t="s">
        <v>16</v>
      </c>
      <c r="E672" s="1" t="s">
        <v>17</v>
      </c>
      <c r="F672" s="1" t="s">
        <v>18</v>
      </c>
      <c r="G672" s="1" t="s">
        <v>19</v>
      </c>
      <c r="H672" s="1" t="s">
        <v>20</v>
      </c>
      <c r="I672" s="2">
        <v>44389</v>
      </c>
      <c r="J672">
        <v>8351</v>
      </c>
      <c r="K672" s="2">
        <v>45869</v>
      </c>
      <c r="L672">
        <v>12132</v>
      </c>
      <c r="M672">
        <v>20483</v>
      </c>
      <c r="N672">
        <v>0</v>
      </c>
    </row>
    <row r="673" spans="1:14" x14ac:dyDescent="0.3">
      <c r="A673" s="1" t="s">
        <v>718</v>
      </c>
      <c r="B673" s="1" t="s">
        <v>22</v>
      </c>
      <c r="C673">
        <v>28</v>
      </c>
      <c r="D673" s="1" t="s">
        <v>23</v>
      </c>
      <c r="E673" s="1" t="s">
        <v>17</v>
      </c>
      <c r="F673" s="1" t="s">
        <v>25</v>
      </c>
      <c r="G673" s="1" t="s">
        <v>19</v>
      </c>
      <c r="H673" s="1" t="s">
        <v>20</v>
      </c>
      <c r="I673" s="2">
        <v>44277</v>
      </c>
      <c r="J673">
        <v>18374</v>
      </c>
      <c r="K673" s="2">
        <v>45795</v>
      </c>
      <c r="L673">
        <v>22303</v>
      </c>
      <c r="M673">
        <v>40677</v>
      </c>
      <c r="N673">
        <v>0</v>
      </c>
    </row>
    <row r="674" spans="1:14" x14ac:dyDescent="0.3">
      <c r="A674" s="1" t="s">
        <v>719</v>
      </c>
      <c r="B674" s="1" t="s">
        <v>40</v>
      </c>
      <c r="C674">
        <v>35</v>
      </c>
      <c r="D674" s="1" t="s">
        <v>23</v>
      </c>
      <c r="E674" s="1" t="s">
        <v>38</v>
      </c>
      <c r="F674" s="1" t="s">
        <v>18</v>
      </c>
      <c r="G674" s="1" t="s">
        <v>19</v>
      </c>
      <c r="H674" s="1" t="s">
        <v>20</v>
      </c>
      <c r="I674" s="2">
        <v>45145</v>
      </c>
      <c r="J674">
        <v>4822</v>
      </c>
      <c r="K674" s="2">
        <v>45840</v>
      </c>
      <c r="L674">
        <v>-203</v>
      </c>
      <c r="M674">
        <v>4619</v>
      </c>
      <c r="N674">
        <v>0</v>
      </c>
    </row>
    <row r="675" spans="1:14" x14ac:dyDescent="0.3">
      <c r="A675" s="1" t="s">
        <v>720</v>
      </c>
      <c r="B675" s="1" t="s">
        <v>79</v>
      </c>
      <c r="C675">
        <v>64</v>
      </c>
      <c r="D675" s="1" t="s">
        <v>16</v>
      </c>
      <c r="E675" s="1" t="s">
        <v>38</v>
      </c>
      <c r="F675" s="1" t="s">
        <v>25</v>
      </c>
      <c r="G675" s="1" t="s">
        <v>19</v>
      </c>
      <c r="H675" s="1" t="s">
        <v>20</v>
      </c>
      <c r="I675" s="2">
        <v>44603</v>
      </c>
      <c r="J675">
        <v>9134</v>
      </c>
      <c r="K675" s="2">
        <v>45838</v>
      </c>
      <c r="L675">
        <v>18283</v>
      </c>
      <c r="M675">
        <v>27417</v>
      </c>
      <c r="N675">
        <v>0</v>
      </c>
    </row>
    <row r="676" spans="1:14" x14ac:dyDescent="0.3">
      <c r="A676" s="1" t="s">
        <v>721</v>
      </c>
      <c r="B676" s="1" t="s">
        <v>75</v>
      </c>
      <c r="C676">
        <v>29</v>
      </c>
      <c r="D676" s="1" t="s">
        <v>23</v>
      </c>
      <c r="E676" s="1" t="s">
        <v>24</v>
      </c>
      <c r="F676" s="1" t="s">
        <v>25</v>
      </c>
      <c r="G676" s="1" t="s">
        <v>19</v>
      </c>
      <c r="H676" s="1" t="s">
        <v>20</v>
      </c>
      <c r="I676" s="2">
        <v>45425</v>
      </c>
      <c r="J676">
        <v>6840</v>
      </c>
      <c r="K676" s="2">
        <v>45850</v>
      </c>
      <c r="L676">
        <v>-1311</v>
      </c>
      <c r="M676">
        <v>5529</v>
      </c>
      <c r="N676">
        <v>0</v>
      </c>
    </row>
    <row r="677" spans="1:14" x14ac:dyDescent="0.3">
      <c r="A677" s="1" t="s">
        <v>722</v>
      </c>
      <c r="B677" s="1" t="s">
        <v>64</v>
      </c>
      <c r="C677">
        <v>26</v>
      </c>
      <c r="D677" s="1" t="s">
        <v>23</v>
      </c>
      <c r="E677" s="1" t="s">
        <v>17</v>
      </c>
      <c r="F677" s="1" t="s">
        <v>18</v>
      </c>
      <c r="G677" s="1" t="s">
        <v>19</v>
      </c>
      <c r="H677" s="1" t="s">
        <v>20</v>
      </c>
      <c r="I677" s="2">
        <v>45345</v>
      </c>
      <c r="J677">
        <v>8379</v>
      </c>
      <c r="K677" s="2">
        <v>45821</v>
      </c>
      <c r="L677">
        <v>15084</v>
      </c>
      <c r="M677">
        <v>23463</v>
      </c>
      <c r="N677">
        <v>0</v>
      </c>
    </row>
    <row r="678" spans="1:14" x14ac:dyDescent="0.3">
      <c r="A678" s="1" t="s">
        <v>723</v>
      </c>
      <c r="B678" s="1" t="s">
        <v>52</v>
      </c>
      <c r="C678">
        <v>27</v>
      </c>
      <c r="D678" s="1" t="s">
        <v>23</v>
      </c>
      <c r="E678" s="1" t="s">
        <v>24</v>
      </c>
      <c r="F678" s="1" t="s">
        <v>18</v>
      </c>
      <c r="G678" s="1" t="s">
        <v>41</v>
      </c>
      <c r="H678" s="1" t="s">
        <v>20</v>
      </c>
      <c r="I678" s="2">
        <v>44729</v>
      </c>
      <c r="J678">
        <v>18591</v>
      </c>
      <c r="K678" s="2">
        <v>45854</v>
      </c>
      <c r="L678">
        <v>11599</v>
      </c>
      <c r="M678">
        <v>30190</v>
      </c>
      <c r="N678">
        <v>0</v>
      </c>
    </row>
    <row r="679" spans="1:14" x14ac:dyDescent="0.3">
      <c r="A679" s="1" t="s">
        <v>724</v>
      </c>
      <c r="B679" s="1" t="s">
        <v>22</v>
      </c>
      <c r="C679">
        <v>61</v>
      </c>
      <c r="D679" s="1" t="s">
        <v>23</v>
      </c>
      <c r="E679" s="1" t="s">
        <v>24</v>
      </c>
      <c r="F679" s="1" t="s">
        <v>25</v>
      </c>
      <c r="G679" s="1" t="s">
        <v>19</v>
      </c>
      <c r="H679" s="1" t="s">
        <v>20</v>
      </c>
      <c r="I679" s="2">
        <v>44492</v>
      </c>
      <c r="J679">
        <v>23180</v>
      </c>
      <c r="K679" s="2">
        <v>45776</v>
      </c>
      <c r="L679">
        <v>-3157</v>
      </c>
      <c r="M679">
        <v>20023</v>
      </c>
      <c r="N679">
        <v>0</v>
      </c>
    </row>
    <row r="680" spans="1:14" x14ac:dyDescent="0.3">
      <c r="A680" s="1" t="s">
        <v>725</v>
      </c>
      <c r="B680" s="1" t="s">
        <v>75</v>
      </c>
      <c r="C680">
        <v>34</v>
      </c>
      <c r="D680" s="1" t="s">
        <v>23</v>
      </c>
      <c r="E680" s="1" t="s">
        <v>24</v>
      </c>
      <c r="F680" s="1" t="s">
        <v>25</v>
      </c>
      <c r="G680" s="1" t="s">
        <v>19</v>
      </c>
      <c r="H680" s="1" t="s">
        <v>20</v>
      </c>
      <c r="I680" s="2">
        <v>44368</v>
      </c>
      <c r="J680">
        <v>3051</v>
      </c>
      <c r="K680" s="2">
        <v>45866</v>
      </c>
      <c r="L680">
        <v>17421</v>
      </c>
      <c r="M680">
        <v>20472</v>
      </c>
      <c r="N680">
        <v>0</v>
      </c>
    </row>
    <row r="681" spans="1:14" x14ac:dyDescent="0.3">
      <c r="A681" s="1" t="s">
        <v>726</v>
      </c>
      <c r="B681" s="1" t="s">
        <v>29</v>
      </c>
      <c r="C681">
        <v>55</v>
      </c>
      <c r="D681" s="1" t="s">
        <v>23</v>
      </c>
      <c r="E681" s="1" t="s">
        <v>38</v>
      </c>
      <c r="F681" s="1" t="s">
        <v>18</v>
      </c>
      <c r="G681" s="1" t="s">
        <v>19</v>
      </c>
      <c r="H681" s="1" t="s">
        <v>20</v>
      </c>
      <c r="I681" s="2">
        <v>45430</v>
      </c>
      <c r="J681">
        <v>18518</v>
      </c>
      <c r="K681" s="2">
        <v>45861</v>
      </c>
      <c r="L681">
        <v>6718</v>
      </c>
      <c r="M681">
        <v>25236</v>
      </c>
      <c r="N681">
        <v>0</v>
      </c>
    </row>
    <row r="682" spans="1:14" x14ac:dyDescent="0.3">
      <c r="A682" s="1" t="s">
        <v>727</v>
      </c>
      <c r="B682" s="1" t="s">
        <v>40</v>
      </c>
      <c r="C682">
        <v>24</v>
      </c>
      <c r="D682" s="1" t="s">
        <v>23</v>
      </c>
      <c r="E682" s="1" t="s">
        <v>35</v>
      </c>
      <c r="F682" s="1" t="s">
        <v>18</v>
      </c>
      <c r="G682" s="1" t="s">
        <v>19</v>
      </c>
      <c r="H682" s="1" t="s">
        <v>20</v>
      </c>
      <c r="I682" s="2">
        <v>44950</v>
      </c>
      <c r="J682">
        <v>300000</v>
      </c>
      <c r="K682" s="2">
        <v>45833</v>
      </c>
      <c r="L682">
        <v>11115</v>
      </c>
      <c r="M682">
        <v>311115</v>
      </c>
      <c r="N682">
        <v>0</v>
      </c>
    </row>
    <row r="683" spans="1:14" x14ac:dyDescent="0.3">
      <c r="A683" s="1" t="s">
        <v>728</v>
      </c>
      <c r="B683" s="1" t="s">
        <v>29</v>
      </c>
      <c r="C683">
        <v>63</v>
      </c>
      <c r="D683" s="1" t="s">
        <v>16</v>
      </c>
      <c r="E683" s="1" t="s">
        <v>17</v>
      </c>
      <c r="F683" s="1" t="s">
        <v>25</v>
      </c>
      <c r="G683" s="1" t="s">
        <v>19</v>
      </c>
      <c r="H683" s="1" t="s">
        <v>20</v>
      </c>
      <c r="I683" s="2">
        <v>44738</v>
      </c>
      <c r="J683">
        <v>62582</v>
      </c>
      <c r="K683" s="2">
        <v>45825</v>
      </c>
      <c r="L683">
        <v>10938</v>
      </c>
      <c r="M683">
        <v>73520</v>
      </c>
      <c r="N683">
        <v>0</v>
      </c>
    </row>
    <row r="684" spans="1:14" x14ac:dyDescent="0.3">
      <c r="A684" s="1" t="s">
        <v>729</v>
      </c>
      <c r="B684" s="1" t="s">
        <v>29</v>
      </c>
      <c r="C684">
        <v>30</v>
      </c>
      <c r="D684" s="1" t="s">
        <v>16</v>
      </c>
      <c r="E684" s="1" t="s">
        <v>24</v>
      </c>
      <c r="F684" s="1" t="s">
        <v>18</v>
      </c>
      <c r="G684" s="1" t="s">
        <v>19</v>
      </c>
      <c r="H684" s="1" t="s">
        <v>20</v>
      </c>
      <c r="I684" s="2">
        <v>45630</v>
      </c>
      <c r="J684">
        <v>7031</v>
      </c>
      <c r="K684" s="2">
        <v>45847</v>
      </c>
      <c r="L684">
        <v>17994</v>
      </c>
      <c r="M684">
        <v>25025</v>
      </c>
      <c r="N684">
        <v>0</v>
      </c>
    </row>
    <row r="685" spans="1:14" x14ac:dyDescent="0.3">
      <c r="A685" s="1" t="s">
        <v>730</v>
      </c>
      <c r="B685" s="1" t="s">
        <v>61</v>
      </c>
      <c r="C685">
        <v>57</v>
      </c>
      <c r="D685" s="1" t="s">
        <v>16</v>
      </c>
      <c r="E685" s="1" t="s">
        <v>24</v>
      </c>
      <c r="F685" s="1" t="s">
        <v>18</v>
      </c>
      <c r="G685" s="1" t="s">
        <v>19</v>
      </c>
      <c r="H685" s="1" t="s">
        <v>20</v>
      </c>
      <c r="I685" s="2">
        <v>45190</v>
      </c>
      <c r="J685">
        <v>15243</v>
      </c>
      <c r="K685" s="2">
        <v>45789</v>
      </c>
      <c r="L685">
        <v>7064</v>
      </c>
      <c r="M685">
        <v>22307</v>
      </c>
      <c r="N685">
        <v>0</v>
      </c>
    </row>
    <row r="686" spans="1:14" x14ac:dyDescent="0.3">
      <c r="A686" s="1" t="s">
        <v>731</v>
      </c>
      <c r="B686" s="1" t="s">
        <v>79</v>
      </c>
      <c r="C686">
        <v>59</v>
      </c>
      <c r="D686" s="1" t="s">
        <v>23</v>
      </c>
      <c r="E686" s="1" t="s">
        <v>24</v>
      </c>
      <c r="F686" s="1" t="s">
        <v>18</v>
      </c>
      <c r="G686" s="1" t="s">
        <v>19</v>
      </c>
      <c r="H686" s="1" t="s">
        <v>20</v>
      </c>
      <c r="I686" s="2">
        <v>45063</v>
      </c>
      <c r="J686">
        <v>12919</v>
      </c>
      <c r="K686" s="2">
        <v>45865</v>
      </c>
      <c r="L686">
        <v>5358</v>
      </c>
      <c r="M686">
        <v>18277</v>
      </c>
      <c r="N686">
        <v>0</v>
      </c>
    </row>
    <row r="687" spans="1:14" x14ac:dyDescent="0.3">
      <c r="A687" s="1" t="s">
        <v>732</v>
      </c>
      <c r="B687" s="1" t="s">
        <v>15</v>
      </c>
      <c r="C687">
        <v>26</v>
      </c>
      <c r="D687" s="1" t="s">
        <v>23</v>
      </c>
      <c r="E687" s="1" t="s">
        <v>17</v>
      </c>
      <c r="F687" s="1" t="s">
        <v>18</v>
      </c>
      <c r="G687" s="1" t="s">
        <v>19</v>
      </c>
      <c r="H687" s="1" t="s">
        <v>20</v>
      </c>
      <c r="I687" s="2">
        <v>45440</v>
      </c>
      <c r="J687">
        <v>21151</v>
      </c>
      <c r="K687" s="2">
        <v>45868</v>
      </c>
      <c r="L687">
        <v>9923</v>
      </c>
      <c r="M687">
        <v>31074</v>
      </c>
      <c r="N687">
        <v>0</v>
      </c>
    </row>
    <row r="688" spans="1:14" x14ac:dyDescent="0.3">
      <c r="A688" s="1" t="s">
        <v>733</v>
      </c>
      <c r="B688" s="1" t="s">
        <v>75</v>
      </c>
      <c r="C688">
        <v>67</v>
      </c>
      <c r="D688" s="1" t="s">
        <v>16</v>
      </c>
      <c r="E688" s="1" t="s">
        <v>17</v>
      </c>
      <c r="F688" s="1" t="s">
        <v>18</v>
      </c>
      <c r="G688" s="1" t="s">
        <v>19</v>
      </c>
      <c r="H688" s="1" t="s">
        <v>49</v>
      </c>
      <c r="I688" s="2">
        <v>45561</v>
      </c>
      <c r="J688">
        <v>8759</v>
      </c>
      <c r="K688" s="2">
        <v>45859</v>
      </c>
      <c r="L688">
        <v>7423</v>
      </c>
      <c r="M688">
        <v>16182</v>
      </c>
      <c r="N688">
        <v>0</v>
      </c>
    </row>
    <row r="689" spans="1:14" x14ac:dyDescent="0.3">
      <c r="A689" s="1" t="s">
        <v>734</v>
      </c>
      <c r="B689" s="1" t="s">
        <v>69</v>
      </c>
      <c r="C689">
        <v>44</v>
      </c>
      <c r="D689" s="1" t="s">
        <v>23</v>
      </c>
      <c r="E689" s="1" t="s">
        <v>38</v>
      </c>
      <c r="F689" s="1" t="s">
        <v>18</v>
      </c>
      <c r="G689" s="1" t="s">
        <v>41</v>
      </c>
      <c r="H689" s="1" t="s">
        <v>20</v>
      </c>
      <c r="I689" s="2">
        <v>45344</v>
      </c>
      <c r="J689">
        <v>10207</v>
      </c>
      <c r="K689" s="2">
        <v>45832</v>
      </c>
      <c r="L689">
        <v>-4880</v>
      </c>
      <c r="M689">
        <v>5327</v>
      </c>
      <c r="N689">
        <v>0</v>
      </c>
    </row>
    <row r="690" spans="1:14" x14ac:dyDescent="0.3">
      <c r="A690" s="1" t="s">
        <v>735</v>
      </c>
      <c r="B690" s="1" t="s">
        <v>34</v>
      </c>
      <c r="C690">
        <v>19</v>
      </c>
      <c r="D690" s="1" t="s">
        <v>16</v>
      </c>
      <c r="E690" s="1" t="s">
        <v>24</v>
      </c>
      <c r="F690" s="1" t="s">
        <v>18</v>
      </c>
      <c r="G690" s="1" t="s">
        <v>19</v>
      </c>
      <c r="H690" s="1" t="s">
        <v>49</v>
      </c>
      <c r="I690" s="2">
        <v>44933</v>
      </c>
      <c r="J690">
        <v>6433</v>
      </c>
      <c r="K690" s="2">
        <v>45858</v>
      </c>
      <c r="L690">
        <v>5336</v>
      </c>
      <c r="M690">
        <v>11769</v>
      </c>
      <c r="N690">
        <v>0</v>
      </c>
    </row>
    <row r="691" spans="1:14" x14ac:dyDescent="0.3">
      <c r="A691" s="1" t="s">
        <v>736</v>
      </c>
      <c r="B691" s="1" t="s">
        <v>27</v>
      </c>
      <c r="C691">
        <v>22</v>
      </c>
      <c r="D691" s="1" t="s">
        <v>16</v>
      </c>
      <c r="E691" s="1" t="s">
        <v>24</v>
      </c>
      <c r="F691" s="1" t="s">
        <v>18</v>
      </c>
      <c r="G691" s="1" t="s">
        <v>19</v>
      </c>
      <c r="H691" s="1" t="s">
        <v>20</v>
      </c>
      <c r="I691" s="2">
        <v>44831</v>
      </c>
      <c r="J691">
        <v>39952</v>
      </c>
      <c r="K691" s="2">
        <v>45792</v>
      </c>
      <c r="L691">
        <v>17647</v>
      </c>
      <c r="M691">
        <v>57599</v>
      </c>
      <c r="N691">
        <v>0</v>
      </c>
    </row>
    <row r="692" spans="1:14" x14ac:dyDescent="0.3">
      <c r="A692" s="1" t="s">
        <v>737</v>
      </c>
      <c r="B692" s="1" t="s">
        <v>69</v>
      </c>
      <c r="C692">
        <v>46</v>
      </c>
      <c r="D692" s="1" t="s">
        <v>16</v>
      </c>
      <c r="E692" s="1" t="s">
        <v>35</v>
      </c>
      <c r="F692" s="1" t="s">
        <v>25</v>
      </c>
      <c r="G692" s="1" t="s">
        <v>19</v>
      </c>
      <c r="H692" s="1" t="s">
        <v>20</v>
      </c>
      <c r="I692" s="2">
        <v>45487</v>
      </c>
      <c r="J692">
        <v>18233</v>
      </c>
      <c r="K692" s="2">
        <v>45868</v>
      </c>
      <c r="L692">
        <v>-9514</v>
      </c>
      <c r="M692">
        <v>8719</v>
      </c>
      <c r="N692">
        <v>0</v>
      </c>
    </row>
    <row r="693" spans="1:14" x14ac:dyDescent="0.3">
      <c r="A693" s="1" t="s">
        <v>738</v>
      </c>
      <c r="B693" s="1" t="s">
        <v>71</v>
      </c>
      <c r="C693">
        <v>54</v>
      </c>
      <c r="D693" s="1" t="s">
        <v>23</v>
      </c>
      <c r="E693" s="1" t="s">
        <v>38</v>
      </c>
      <c r="F693" s="1" t="s">
        <v>25</v>
      </c>
      <c r="G693" s="1" t="s">
        <v>19</v>
      </c>
      <c r="H693" s="1" t="s">
        <v>20</v>
      </c>
      <c r="I693" s="2">
        <v>45063</v>
      </c>
      <c r="J693">
        <v>18372</v>
      </c>
      <c r="K693" s="2">
        <v>45794</v>
      </c>
      <c r="L693">
        <v>5982</v>
      </c>
      <c r="M693">
        <v>24354</v>
      </c>
      <c r="N693">
        <v>0</v>
      </c>
    </row>
    <row r="694" spans="1:14" x14ac:dyDescent="0.3">
      <c r="A694" s="1" t="s">
        <v>739</v>
      </c>
      <c r="B694" s="1" t="s">
        <v>43</v>
      </c>
      <c r="C694">
        <v>55</v>
      </c>
      <c r="D694" s="1" t="s">
        <v>23</v>
      </c>
      <c r="E694" s="1" t="s">
        <v>17</v>
      </c>
      <c r="F694" s="1" t="s">
        <v>25</v>
      </c>
      <c r="G694" s="1" t="s">
        <v>41</v>
      </c>
      <c r="H694" s="1" t="s">
        <v>20</v>
      </c>
      <c r="I694" s="2">
        <v>45375</v>
      </c>
      <c r="J694">
        <v>45179</v>
      </c>
      <c r="K694" s="2">
        <v>45841</v>
      </c>
      <c r="L694">
        <v>-2607</v>
      </c>
      <c r="M694">
        <v>42572</v>
      </c>
      <c r="N694">
        <v>0</v>
      </c>
    </row>
    <row r="695" spans="1:14" x14ac:dyDescent="0.3">
      <c r="A695" s="1" t="s">
        <v>740</v>
      </c>
      <c r="B695" s="1" t="s">
        <v>43</v>
      </c>
      <c r="C695">
        <v>36</v>
      </c>
      <c r="D695" s="1" t="s">
        <v>16</v>
      </c>
      <c r="E695" s="1" t="s">
        <v>24</v>
      </c>
      <c r="F695" s="1" t="s">
        <v>25</v>
      </c>
      <c r="G695" s="1" t="s">
        <v>41</v>
      </c>
      <c r="H695" s="1" t="s">
        <v>20</v>
      </c>
      <c r="I695" s="2">
        <v>45686</v>
      </c>
      <c r="J695">
        <v>45852</v>
      </c>
      <c r="K695" s="2">
        <v>45866</v>
      </c>
      <c r="L695">
        <v>23666</v>
      </c>
      <c r="M695">
        <v>69518</v>
      </c>
      <c r="N695">
        <v>0</v>
      </c>
    </row>
    <row r="696" spans="1:14" x14ac:dyDescent="0.3">
      <c r="A696" s="1" t="s">
        <v>741</v>
      </c>
      <c r="B696" s="1" t="s">
        <v>56</v>
      </c>
      <c r="C696">
        <v>25</v>
      </c>
      <c r="D696" s="1" t="s">
        <v>23</v>
      </c>
      <c r="E696" s="1" t="s">
        <v>24</v>
      </c>
      <c r="F696" s="1" t="s">
        <v>18</v>
      </c>
      <c r="G696" s="1" t="s">
        <v>19</v>
      </c>
      <c r="H696" s="1" t="s">
        <v>20</v>
      </c>
      <c r="I696" s="2">
        <v>45729</v>
      </c>
      <c r="J696">
        <v>37968</v>
      </c>
      <c r="K696" s="2">
        <v>45856</v>
      </c>
      <c r="L696">
        <v>14787</v>
      </c>
      <c r="M696">
        <v>52755</v>
      </c>
      <c r="N696">
        <v>0</v>
      </c>
    </row>
    <row r="697" spans="1:14" x14ac:dyDescent="0.3">
      <c r="A697" s="1" t="s">
        <v>742</v>
      </c>
      <c r="B697" s="1" t="s">
        <v>79</v>
      </c>
      <c r="C697">
        <v>65</v>
      </c>
      <c r="D697" s="1" t="s">
        <v>16</v>
      </c>
      <c r="E697" s="1" t="s">
        <v>38</v>
      </c>
      <c r="F697" s="1" t="s">
        <v>18</v>
      </c>
      <c r="G697" s="1" t="s">
        <v>19</v>
      </c>
      <c r="H697" s="1" t="s">
        <v>20</v>
      </c>
      <c r="I697" s="2">
        <v>44661</v>
      </c>
      <c r="J697">
        <v>44496</v>
      </c>
      <c r="K697" s="2">
        <v>45803</v>
      </c>
      <c r="L697">
        <v>26279</v>
      </c>
      <c r="M697">
        <v>70775</v>
      </c>
      <c r="N697">
        <v>0</v>
      </c>
    </row>
    <row r="698" spans="1:14" x14ac:dyDescent="0.3">
      <c r="A698" s="1" t="s">
        <v>743</v>
      </c>
      <c r="B698" s="1" t="s">
        <v>40</v>
      </c>
      <c r="C698">
        <v>62</v>
      </c>
      <c r="D698" s="1" t="s">
        <v>16</v>
      </c>
      <c r="E698" s="1" t="s">
        <v>38</v>
      </c>
      <c r="F698" s="1" t="s">
        <v>25</v>
      </c>
      <c r="G698" s="1" t="s">
        <v>19</v>
      </c>
      <c r="H698" s="1" t="s">
        <v>20</v>
      </c>
      <c r="I698" s="2">
        <v>44511</v>
      </c>
      <c r="J698">
        <v>63746</v>
      </c>
      <c r="K698" s="2">
        <v>45711</v>
      </c>
      <c r="L698">
        <v>15913</v>
      </c>
      <c r="M698">
        <v>79659</v>
      </c>
      <c r="N698">
        <v>0</v>
      </c>
    </row>
    <row r="699" spans="1:14" x14ac:dyDescent="0.3">
      <c r="A699" s="1" t="s">
        <v>744</v>
      </c>
      <c r="B699" s="1" t="s">
        <v>34</v>
      </c>
      <c r="C699">
        <v>18</v>
      </c>
      <c r="D699" s="1" t="s">
        <v>30</v>
      </c>
      <c r="E699" s="1" t="s">
        <v>38</v>
      </c>
      <c r="F699" s="1" t="s">
        <v>18</v>
      </c>
      <c r="G699" s="1" t="s">
        <v>19</v>
      </c>
      <c r="H699" s="1" t="s">
        <v>20</v>
      </c>
      <c r="I699" s="2">
        <v>44634</v>
      </c>
      <c r="J699">
        <v>5082</v>
      </c>
      <c r="K699" s="2">
        <v>45800</v>
      </c>
      <c r="L699">
        <v>6694</v>
      </c>
      <c r="M699">
        <v>11776</v>
      </c>
      <c r="N699">
        <v>0</v>
      </c>
    </row>
    <row r="700" spans="1:14" x14ac:dyDescent="0.3">
      <c r="A700" s="1" t="s">
        <v>745</v>
      </c>
      <c r="B700" s="1" t="s">
        <v>32</v>
      </c>
      <c r="C700">
        <v>39</v>
      </c>
      <c r="D700" s="1" t="s">
        <v>23</v>
      </c>
      <c r="E700" s="1" t="s">
        <v>24</v>
      </c>
      <c r="F700" s="1" t="s">
        <v>18</v>
      </c>
      <c r="G700" s="1" t="s">
        <v>19</v>
      </c>
      <c r="H700" s="1" t="s">
        <v>20</v>
      </c>
      <c r="I700" s="2">
        <v>45454</v>
      </c>
      <c r="J700">
        <v>9910</v>
      </c>
      <c r="K700" s="2">
        <v>45823</v>
      </c>
      <c r="L700">
        <v>-16006</v>
      </c>
      <c r="M700">
        <v>-6096</v>
      </c>
      <c r="N700">
        <v>0</v>
      </c>
    </row>
    <row r="701" spans="1:14" x14ac:dyDescent="0.3">
      <c r="A701" s="1" t="s">
        <v>746</v>
      </c>
      <c r="B701" s="1" t="s">
        <v>34</v>
      </c>
      <c r="C701">
        <v>69</v>
      </c>
      <c r="D701" s="1" t="s">
        <v>16</v>
      </c>
      <c r="E701" s="1" t="s">
        <v>38</v>
      </c>
      <c r="F701" s="1" t="s">
        <v>25</v>
      </c>
      <c r="G701" s="1" t="s">
        <v>41</v>
      </c>
      <c r="H701" s="1" t="s">
        <v>20</v>
      </c>
      <c r="I701" s="2">
        <v>44816</v>
      </c>
      <c r="J701">
        <v>27145</v>
      </c>
      <c r="K701" s="2">
        <v>45814</v>
      </c>
      <c r="L701">
        <v>2136</v>
      </c>
      <c r="M701">
        <v>29281</v>
      </c>
      <c r="N701">
        <v>0</v>
      </c>
    </row>
    <row r="702" spans="1:14" x14ac:dyDescent="0.3">
      <c r="A702" s="1" t="s">
        <v>747</v>
      </c>
      <c r="B702" s="1" t="s">
        <v>64</v>
      </c>
      <c r="C702">
        <v>34</v>
      </c>
      <c r="D702" s="1" t="s">
        <v>16</v>
      </c>
      <c r="E702" s="1" t="s">
        <v>17</v>
      </c>
      <c r="F702" s="1" t="s">
        <v>18</v>
      </c>
      <c r="G702" s="1" t="s">
        <v>41</v>
      </c>
      <c r="H702" s="1" t="s">
        <v>20</v>
      </c>
      <c r="I702" s="2">
        <v>44487</v>
      </c>
      <c r="J702">
        <v>5511</v>
      </c>
      <c r="K702" s="2">
        <v>45866</v>
      </c>
      <c r="L702">
        <v>7136</v>
      </c>
      <c r="M702">
        <v>12647</v>
      </c>
      <c r="N702">
        <v>0</v>
      </c>
    </row>
    <row r="703" spans="1:14" x14ac:dyDescent="0.3">
      <c r="A703" s="1" t="s">
        <v>748</v>
      </c>
      <c r="B703" s="1" t="s">
        <v>64</v>
      </c>
      <c r="C703">
        <v>24</v>
      </c>
      <c r="D703" s="1" t="s">
        <v>23</v>
      </c>
      <c r="E703" s="1" t="s">
        <v>17</v>
      </c>
      <c r="F703" s="1" t="s">
        <v>18</v>
      </c>
      <c r="G703" s="1" t="s">
        <v>41</v>
      </c>
      <c r="H703" s="1" t="s">
        <v>20</v>
      </c>
      <c r="I703" s="2">
        <v>44361</v>
      </c>
      <c r="J703">
        <v>9290</v>
      </c>
      <c r="K703" s="2">
        <v>45864</v>
      </c>
      <c r="L703">
        <v>4396</v>
      </c>
      <c r="M703">
        <v>13686</v>
      </c>
      <c r="N703">
        <v>0</v>
      </c>
    </row>
    <row r="704" spans="1:14" x14ac:dyDescent="0.3">
      <c r="A704" s="1" t="s">
        <v>749</v>
      </c>
      <c r="B704" s="1" t="s">
        <v>43</v>
      </c>
      <c r="C704">
        <v>42</v>
      </c>
      <c r="D704" s="1" t="s">
        <v>23</v>
      </c>
      <c r="E704" s="1" t="s">
        <v>24</v>
      </c>
      <c r="F704" s="1" t="s">
        <v>25</v>
      </c>
      <c r="G704" s="1" t="s">
        <v>19</v>
      </c>
      <c r="H704" s="1" t="s">
        <v>20</v>
      </c>
      <c r="I704" s="2">
        <v>44744</v>
      </c>
      <c r="J704">
        <v>16227</v>
      </c>
      <c r="K704" s="2">
        <v>45757</v>
      </c>
      <c r="L704">
        <v>20382</v>
      </c>
      <c r="M704">
        <v>36609</v>
      </c>
      <c r="N704">
        <v>0</v>
      </c>
    </row>
    <row r="705" spans="1:14" x14ac:dyDescent="0.3">
      <c r="A705" s="1" t="s">
        <v>750</v>
      </c>
      <c r="B705" s="1" t="s">
        <v>56</v>
      </c>
      <c r="C705">
        <v>62</v>
      </c>
      <c r="D705" s="1" t="s">
        <v>16</v>
      </c>
      <c r="E705" s="1" t="s">
        <v>17</v>
      </c>
      <c r="F705" s="1" t="s">
        <v>25</v>
      </c>
      <c r="G705" s="1" t="s">
        <v>19</v>
      </c>
      <c r="H705" s="1" t="s">
        <v>20</v>
      </c>
      <c r="I705" s="2">
        <v>44424</v>
      </c>
      <c r="J705">
        <v>10613</v>
      </c>
      <c r="K705" s="2">
        <v>45865</v>
      </c>
      <c r="L705">
        <v>22853</v>
      </c>
      <c r="M705">
        <v>33466</v>
      </c>
      <c r="N705">
        <v>0</v>
      </c>
    </row>
    <row r="706" spans="1:14" x14ac:dyDescent="0.3">
      <c r="A706" s="1" t="s">
        <v>751</v>
      </c>
      <c r="B706" s="1" t="s">
        <v>27</v>
      </c>
      <c r="C706">
        <v>21</v>
      </c>
      <c r="D706" s="1" t="s">
        <v>23</v>
      </c>
      <c r="E706" s="1" t="s">
        <v>17</v>
      </c>
      <c r="F706" s="1" t="s">
        <v>18</v>
      </c>
      <c r="G706" s="1" t="s">
        <v>19</v>
      </c>
      <c r="H706" s="1" t="s">
        <v>20</v>
      </c>
      <c r="I706" s="2">
        <v>44458</v>
      </c>
      <c r="J706">
        <v>14271</v>
      </c>
      <c r="K706" s="2">
        <v>45864</v>
      </c>
      <c r="L706">
        <v>9022</v>
      </c>
      <c r="M706">
        <v>23293</v>
      </c>
      <c r="N706">
        <v>0</v>
      </c>
    </row>
    <row r="707" spans="1:14" x14ac:dyDescent="0.3">
      <c r="A707" s="1" t="s">
        <v>752</v>
      </c>
      <c r="B707" s="1" t="s">
        <v>56</v>
      </c>
      <c r="C707">
        <v>53</v>
      </c>
      <c r="D707" s="1" t="s">
        <v>23</v>
      </c>
      <c r="E707" s="1" t="s">
        <v>38</v>
      </c>
      <c r="F707" s="1" t="s">
        <v>25</v>
      </c>
      <c r="G707" s="1" t="s">
        <v>19</v>
      </c>
      <c r="H707" s="1" t="s">
        <v>20</v>
      </c>
      <c r="I707" s="2">
        <v>45341</v>
      </c>
      <c r="J707">
        <v>4250</v>
      </c>
      <c r="K707" s="2">
        <v>45865</v>
      </c>
      <c r="L707">
        <v>-6225</v>
      </c>
      <c r="M707">
        <v>-1975</v>
      </c>
      <c r="N707">
        <v>0</v>
      </c>
    </row>
    <row r="708" spans="1:14" x14ac:dyDescent="0.3">
      <c r="A708" s="1" t="s">
        <v>753</v>
      </c>
      <c r="B708" s="1" t="s">
        <v>69</v>
      </c>
      <c r="C708">
        <v>23</v>
      </c>
      <c r="D708" s="1" t="s">
        <v>23</v>
      </c>
      <c r="E708" s="1" t="s">
        <v>35</v>
      </c>
      <c r="F708" s="1" t="s">
        <v>25</v>
      </c>
      <c r="G708" s="1" t="s">
        <v>19</v>
      </c>
      <c r="H708" s="1" t="s">
        <v>20</v>
      </c>
      <c r="I708" s="2">
        <v>44230</v>
      </c>
      <c r="J708">
        <v>12865</v>
      </c>
      <c r="K708" s="2">
        <v>45867</v>
      </c>
      <c r="L708">
        <v>19374</v>
      </c>
      <c r="M708">
        <v>32239</v>
      </c>
      <c r="N708">
        <v>0</v>
      </c>
    </row>
    <row r="709" spans="1:14" x14ac:dyDescent="0.3">
      <c r="A709" s="1" t="s">
        <v>754</v>
      </c>
      <c r="B709" s="1" t="s">
        <v>59</v>
      </c>
      <c r="C709">
        <v>48</v>
      </c>
      <c r="D709" s="1" t="s">
        <v>16</v>
      </c>
      <c r="E709" s="1" t="s">
        <v>24</v>
      </c>
      <c r="F709" s="1" t="s">
        <v>25</v>
      </c>
      <c r="G709" s="1" t="s">
        <v>19</v>
      </c>
      <c r="H709" s="1" t="s">
        <v>20</v>
      </c>
      <c r="I709" s="2">
        <v>44393</v>
      </c>
      <c r="J709">
        <v>15276</v>
      </c>
      <c r="K709" s="2">
        <v>45801</v>
      </c>
      <c r="L709">
        <v>628</v>
      </c>
      <c r="M709">
        <v>15904</v>
      </c>
      <c r="N709">
        <v>0</v>
      </c>
    </row>
    <row r="710" spans="1:14" x14ac:dyDescent="0.3">
      <c r="A710" s="1" t="s">
        <v>755</v>
      </c>
      <c r="B710" s="1" t="s">
        <v>27</v>
      </c>
      <c r="C710">
        <v>36</v>
      </c>
      <c r="D710" s="1" t="s">
        <v>16</v>
      </c>
      <c r="E710" s="1" t="s">
        <v>24</v>
      </c>
      <c r="F710" s="1" t="s">
        <v>18</v>
      </c>
      <c r="G710" s="1" t="s">
        <v>19</v>
      </c>
      <c r="H710" s="1" t="s">
        <v>20</v>
      </c>
      <c r="I710" s="2">
        <v>45609</v>
      </c>
      <c r="J710">
        <v>67172</v>
      </c>
      <c r="K710" s="2">
        <v>45865</v>
      </c>
      <c r="L710">
        <v>11100</v>
      </c>
      <c r="M710">
        <v>78272</v>
      </c>
      <c r="N710">
        <v>0</v>
      </c>
    </row>
    <row r="711" spans="1:14" x14ac:dyDescent="0.3">
      <c r="A711" s="1" t="s">
        <v>756</v>
      </c>
      <c r="B711" s="1" t="s">
        <v>34</v>
      </c>
      <c r="C711">
        <v>61</v>
      </c>
      <c r="D711" s="1" t="s">
        <v>16</v>
      </c>
      <c r="E711" s="1" t="s">
        <v>24</v>
      </c>
      <c r="F711" s="1" t="s">
        <v>18</v>
      </c>
      <c r="G711" s="1" t="s">
        <v>19</v>
      </c>
      <c r="H711" s="1" t="s">
        <v>20</v>
      </c>
      <c r="I711" s="2">
        <v>45610</v>
      </c>
      <c r="J711">
        <v>10213</v>
      </c>
      <c r="K711" s="2">
        <v>45848</v>
      </c>
      <c r="L711">
        <v>21353</v>
      </c>
      <c r="M711">
        <v>31566</v>
      </c>
      <c r="N711">
        <v>0</v>
      </c>
    </row>
    <row r="712" spans="1:14" x14ac:dyDescent="0.3">
      <c r="A712" s="1" t="s">
        <v>757</v>
      </c>
      <c r="B712" s="1" t="s">
        <v>64</v>
      </c>
      <c r="C712">
        <v>56</v>
      </c>
      <c r="D712" s="1" t="s">
        <v>23</v>
      </c>
      <c r="E712" s="1" t="s">
        <v>24</v>
      </c>
      <c r="F712" s="1" t="s">
        <v>25</v>
      </c>
      <c r="G712" s="1" t="s">
        <v>41</v>
      </c>
      <c r="H712" s="1" t="s">
        <v>20</v>
      </c>
      <c r="I712" s="2">
        <v>44747</v>
      </c>
      <c r="J712">
        <v>6973</v>
      </c>
      <c r="K712" s="2">
        <v>45845</v>
      </c>
      <c r="L712">
        <v>-11766</v>
      </c>
      <c r="M712">
        <v>-4793</v>
      </c>
      <c r="N712">
        <v>0</v>
      </c>
    </row>
    <row r="713" spans="1:14" x14ac:dyDescent="0.3">
      <c r="A713" s="1" t="s">
        <v>758</v>
      </c>
      <c r="B713" s="1" t="s">
        <v>34</v>
      </c>
      <c r="C713">
        <v>44</v>
      </c>
      <c r="D713" s="1" t="s">
        <v>23</v>
      </c>
      <c r="E713" s="1" t="s">
        <v>17</v>
      </c>
      <c r="F713" s="1" t="s">
        <v>25</v>
      </c>
      <c r="G713" s="1" t="s">
        <v>41</v>
      </c>
      <c r="H713" s="1" t="s">
        <v>20</v>
      </c>
      <c r="I713" s="2">
        <v>44344</v>
      </c>
      <c r="J713">
        <v>27254</v>
      </c>
      <c r="K713" s="2">
        <v>45332</v>
      </c>
      <c r="L713">
        <v>-1608</v>
      </c>
      <c r="M713">
        <v>25646</v>
      </c>
      <c r="N713">
        <v>1</v>
      </c>
    </row>
    <row r="714" spans="1:14" x14ac:dyDescent="0.3">
      <c r="A714" s="1" t="s">
        <v>759</v>
      </c>
      <c r="B714" s="1" t="s">
        <v>69</v>
      </c>
      <c r="C714">
        <v>27</v>
      </c>
      <c r="D714" s="1" t="s">
        <v>16</v>
      </c>
      <c r="E714" s="1" t="s">
        <v>35</v>
      </c>
      <c r="F714" s="1" t="s">
        <v>25</v>
      </c>
      <c r="G714" s="1" t="s">
        <v>41</v>
      </c>
      <c r="H714" s="1" t="s">
        <v>20</v>
      </c>
      <c r="I714" s="2">
        <v>45376</v>
      </c>
      <c r="J714">
        <v>558</v>
      </c>
      <c r="K714" s="2">
        <v>45844</v>
      </c>
      <c r="L714">
        <v>22459</v>
      </c>
      <c r="M714">
        <v>23017</v>
      </c>
      <c r="N714">
        <v>0</v>
      </c>
    </row>
    <row r="715" spans="1:14" x14ac:dyDescent="0.3">
      <c r="A715" s="1" t="s">
        <v>760</v>
      </c>
      <c r="B715" s="1" t="s">
        <v>87</v>
      </c>
      <c r="C715">
        <v>43</v>
      </c>
      <c r="D715" s="1" t="s">
        <v>16</v>
      </c>
      <c r="E715" s="1" t="s">
        <v>17</v>
      </c>
      <c r="F715" s="1" t="s">
        <v>18</v>
      </c>
      <c r="G715" s="1" t="s">
        <v>19</v>
      </c>
      <c r="H715" s="1" t="s">
        <v>20</v>
      </c>
      <c r="I715" s="2">
        <v>44799</v>
      </c>
      <c r="J715">
        <v>9727</v>
      </c>
      <c r="K715" s="2">
        <v>45756</v>
      </c>
      <c r="L715">
        <v>-2355</v>
      </c>
      <c r="M715">
        <v>7372</v>
      </c>
      <c r="N715">
        <v>0</v>
      </c>
    </row>
    <row r="716" spans="1:14" x14ac:dyDescent="0.3">
      <c r="A716" s="1" t="s">
        <v>761</v>
      </c>
      <c r="B716" s="1" t="s">
        <v>61</v>
      </c>
      <c r="C716">
        <v>36</v>
      </c>
      <c r="D716" s="1" t="s">
        <v>23</v>
      </c>
      <c r="E716" s="1" t="s">
        <v>24</v>
      </c>
      <c r="F716" s="1" t="s">
        <v>18</v>
      </c>
      <c r="G716" s="1" t="s">
        <v>19</v>
      </c>
      <c r="H716" s="1" t="s">
        <v>49</v>
      </c>
      <c r="I716" s="2">
        <v>44273</v>
      </c>
      <c r="J716">
        <v>7993</v>
      </c>
      <c r="K716" s="2">
        <v>45861</v>
      </c>
      <c r="L716">
        <v>19636</v>
      </c>
      <c r="M716">
        <v>27629</v>
      </c>
      <c r="N716">
        <v>0</v>
      </c>
    </row>
    <row r="717" spans="1:14" x14ac:dyDescent="0.3">
      <c r="A717" s="1" t="s">
        <v>762</v>
      </c>
      <c r="B717" s="1" t="s">
        <v>40</v>
      </c>
      <c r="C717">
        <v>56</v>
      </c>
      <c r="D717" s="1" t="s">
        <v>16</v>
      </c>
      <c r="E717" s="1" t="s">
        <v>17</v>
      </c>
      <c r="F717" s="1" t="s">
        <v>25</v>
      </c>
      <c r="G717" s="1" t="s">
        <v>19</v>
      </c>
      <c r="H717" s="1" t="s">
        <v>20</v>
      </c>
      <c r="I717" s="2">
        <v>44461</v>
      </c>
      <c r="J717">
        <v>17343</v>
      </c>
      <c r="K717" s="2">
        <v>45648</v>
      </c>
      <c r="L717">
        <v>9739</v>
      </c>
      <c r="M717">
        <v>27082</v>
      </c>
      <c r="N717">
        <v>1</v>
      </c>
    </row>
    <row r="718" spans="1:14" x14ac:dyDescent="0.3">
      <c r="A718" s="1" t="s">
        <v>763</v>
      </c>
      <c r="B718" s="1" t="s">
        <v>79</v>
      </c>
      <c r="C718">
        <v>20</v>
      </c>
      <c r="D718" s="1" t="s">
        <v>30</v>
      </c>
      <c r="E718" s="1" t="s">
        <v>38</v>
      </c>
      <c r="F718" s="1" t="s">
        <v>18</v>
      </c>
      <c r="G718" s="1" t="s">
        <v>19</v>
      </c>
      <c r="H718" s="1" t="s">
        <v>20</v>
      </c>
      <c r="I718" s="2">
        <v>44426</v>
      </c>
      <c r="J718">
        <v>46454</v>
      </c>
      <c r="K718" s="2">
        <v>45609</v>
      </c>
      <c r="L718">
        <v>6688</v>
      </c>
      <c r="M718">
        <v>53142</v>
      </c>
      <c r="N718">
        <v>1</v>
      </c>
    </row>
    <row r="719" spans="1:14" x14ac:dyDescent="0.3">
      <c r="A719" s="1" t="s">
        <v>764</v>
      </c>
      <c r="B719" s="1" t="s">
        <v>61</v>
      </c>
      <c r="C719">
        <v>62</v>
      </c>
      <c r="D719" s="1" t="s">
        <v>16</v>
      </c>
      <c r="E719" s="1" t="s">
        <v>38</v>
      </c>
      <c r="F719" s="1" t="s">
        <v>18</v>
      </c>
      <c r="G719" s="1" t="s">
        <v>41</v>
      </c>
      <c r="H719" s="1" t="s">
        <v>20</v>
      </c>
      <c r="I719" s="2">
        <v>45182</v>
      </c>
      <c r="J719">
        <v>63025</v>
      </c>
      <c r="K719" s="2">
        <v>45836</v>
      </c>
      <c r="L719">
        <v>18522</v>
      </c>
      <c r="M719">
        <v>81547</v>
      </c>
      <c r="N719">
        <v>0</v>
      </c>
    </row>
    <row r="720" spans="1:14" x14ac:dyDescent="0.3">
      <c r="A720" s="1" t="s">
        <v>765</v>
      </c>
      <c r="B720" s="1" t="s">
        <v>40</v>
      </c>
      <c r="C720">
        <v>30</v>
      </c>
      <c r="D720" s="1" t="s">
        <v>16</v>
      </c>
      <c r="E720" s="1" t="s">
        <v>35</v>
      </c>
      <c r="F720" s="1" t="s">
        <v>18</v>
      </c>
      <c r="G720" s="1" t="s">
        <v>41</v>
      </c>
      <c r="H720" s="1" t="s">
        <v>20</v>
      </c>
      <c r="I720" s="2">
        <v>45699</v>
      </c>
      <c r="J720">
        <v>17102</v>
      </c>
      <c r="K720" s="2">
        <v>45862</v>
      </c>
      <c r="L720">
        <v>13101</v>
      </c>
      <c r="M720">
        <v>30203</v>
      </c>
      <c r="N720">
        <v>0</v>
      </c>
    </row>
    <row r="721" spans="1:14" x14ac:dyDescent="0.3">
      <c r="A721" s="1" t="s">
        <v>766</v>
      </c>
      <c r="B721" s="1" t="s">
        <v>29</v>
      </c>
      <c r="C721">
        <v>67</v>
      </c>
      <c r="D721" s="1" t="s">
        <v>30</v>
      </c>
      <c r="E721" s="1" t="s">
        <v>38</v>
      </c>
      <c r="F721" s="1" t="s">
        <v>18</v>
      </c>
      <c r="G721" s="1" t="s">
        <v>19</v>
      </c>
      <c r="H721" s="1" t="s">
        <v>20</v>
      </c>
      <c r="I721" s="2">
        <v>45523</v>
      </c>
      <c r="J721">
        <v>2831</v>
      </c>
      <c r="K721" s="2">
        <v>45864</v>
      </c>
      <c r="L721">
        <v>1708</v>
      </c>
      <c r="M721">
        <v>4539</v>
      </c>
      <c r="N721">
        <v>0</v>
      </c>
    </row>
    <row r="722" spans="1:14" x14ac:dyDescent="0.3">
      <c r="A722" s="1" t="s">
        <v>767</v>
      </c>
      <c r="B722" s="1" t="s">
        <v>32</v>
      </c>
      <c r="C722">
        <v>45</v>
      </c>
      <c r="D722" s="1" t="s">
        <v>23</v>
      </c>
      <c r="E722" s="1" t="s">
        <v>24</v>
      </c>
      <c r="F722" s="1" t="s">
        <v>25</v>
      </c>
      <c r="G722" s="1" t="s">
        <v>19</v>
      </c>
      <c r="H722" s="1" t="s">
        <v>20</v>
      </c>
      <c r="I722" s="2">
        <v>45111</v>
      </c>
      <c r="J722">
        <v>7989</v>
      </c>
      <c r="K722" s="2">
        <v>45830</v>
      </c>
      <c r="L722">
        <v>16095</v>
      </c>
      <c r="M722">
        <v>24084</v>
      </c>
      <c r="N722">
        <v>0</v>
      </c>
    </row>
    <row r="723" spans="1:14" x14ac:dyDescent="0.3">
      <c r="A723" s="1" t="s">
        <v>768</v>
      </c>
      <c r="B723" s="1" t="s">
        <v>43</v>
      </c>
      <c r="C723">
        <v>37</v>
      </c>
      <c r="D723" s="1" t="s">
        <v>16</v>
      </c>
      <c r="E723" s="1" t="s">
        <v>17</v>
      </c>
      <c r="F723" s="1" t="s">
        <v>25</v>
      </c>
      <c r="G723" s="1" t="s">
        <v>19</v>
      </c>
      <c r="H723" s="1" t="s">
        <v>20</v>
      </c>
      <c r="I723" s="2">
        <v>44903</v>
      </c>
      <c r="J723">
        <v>8915</v>
      </c>
      <c r="K723" s="2">
        <v>45848</v>
      </c>
      <c r="L723">
        <v>14107</v>
      </c>
      <c r="M723">
        <v>23022</v>
      </c>
      <c r="N723">
        <v>0</v>
      </c>
    </row>
    <row r="724" spans="1:14" x14ac:dyDescent="0.3">
      <c r="A724" s="1" t="s">
        <v>769</v>
      </c>
      <c r="B724" s="1" t="s">
        <v>79</v>
      </c>
      <c r="C724">
        <v>45</v>
      </c>
      <c r="D724" s="1" t="s">
        <v>30</v>
      </c>
      <c r="E724" s="1" t="s">
        <v>38</v>
      </c>
      <c r="F724" s="1" t="s">
        <v>18</v>
      </c>
      <c r="G724" s="1" t="s">
        <v>19</v>
      </c>
      <c r="H724" s="1" t="s">
        <v>20</v>
      </c>
      <c r="I724" s="2">
        <v>45232</v>
      </c>
      <c r="J724">
        <v>19288</v>
      </c>
      <c r="K724" s="2">
        <v>45861</v>
      </c>
      <c r="L724">
        <v>14886</v>
      </c>
      <c r="M724">
        <v>34174</v>
      </c>
      <c r="N724">
        <v>0</v>
      </c>
    </row>
    <row r="725" spans="1:14" x14ac:dyDescent="0.3">
      <c r="A725" s="1" t="s">
        <v>770</v>
      </c>
      <c r="B725" s="1" t="s">
        <v>43</v>
      </c>
      <c r="C725">
        <v>25</v>
      </c>
      <c r="D725" s="1" t="s">
        <v>23</v>
      </c>
      <c r="E725" s="1" t="s">
        <v>24</v>
      </c>
      <c r="F725" s="1" t="s">
        <v>18</v>
      </c>
      <c r="G725" s="1" t="s">
        <v>41</v>
      </c>
      <c r="H725" s="1" t="s">
        <v>20</v>
      </c>
      <c r="I725" s="2">
        <v>44939</v>
      </c>
      <c r="J725">
        <v>14133</v>
      </c>
      <c r="K725" s="2">
        <v>45859</v>
      </c>
      <c r="L725">
        <v>4559</v>
      </c>
      <c r="M725">
        <v>18692</v>
      </c>
      <c r="N725">
        <v>0</v>
      </c>
    </row>
    <row r="726" spans="1:14" x14ac:dyDescent="0.3">
      <c r="A726" s="1" t="s">
        <v>771</v>
      </c>
      <c r="B726" s="1" t="s">
        <v>37</v>
      </c>
      <c r="C726">
        <v>58</v>
      </c>
      <c r="D726" s="1" t="s">
        <v>16</v>
      </c>
      <c r="E726" s="1" t="s">
        <v>24</v>
      </c>
      <c r="F726" s="1" t="s">
        <v>25</v>
      </c>
      <c r="G726" s="1" t="s">
        <v>19</v>
      </c>
      <c r="H726" s="1" t="s">
        <v>20</v>
      </c>
      <c r="I726" s="2">
        <v>44608</v>
      </c>
      <c r="J726">
        <v>6712</v>
      </c>
      <c r="K726" s="2">
        <v>45863</v>
      </c>
      <c r="L726">
        <v>13557</v>
      </c>
      <c r="M726">
        <v>20269</v>
      </c>
      <c r="N726">
        <v>0</v>
      </c>
    </row>
    <row r="727" spans="1:14" x14ac:dyDescent="0.3">
      <c r="A727" s="1" t="s">
        <v>772</v>
      </c>
      <c r="B727" s="1" t="s">
        <v>48</v>
      </c>
      <c r="C727">
        <v>56</v>
      </c>
      <c r="D727" s="1" t="s">
        <v>16</v>
      </c>
      <c r="E727" s="1" t="s">
        <v>17</v>
      </c>
      <c r="F727" s="1" t="s">
        <v>18</v>
      </c>
      <c r="G727" s="1" t="s">
        <v>19</v>
      </c>
      <c r="H727" s="1" t="s">
        <v>20</v>
      </c>
      <c r="I727" s="2">
        <v>45333</v>
      </c>
      <c r="J727">
        <v>3821</v>
      </c>
      <c r="K727" s="2">
        <v>45839</v>
      </c>
      <c r="L727">
        <v>30751</v>
      </c>
      <c r="M727">
        <v>34572</v>
      </c>
      <c r="N727">
        <v>0</v>
      </c>
    </row>
    <row r="728" spans="1:14" x14ac:dyDescent="0.3">
      <c r="A728" s="1" t="s">
        <v>773</v>
      </c>
      <c r="B728" s="1" t="s">
        <v>79</v>
      </c>
      <c r="C728">
        <v>18</v>
      </c>
      <c r="D728" s="1" t="s">
        <v>16</v>
      </c>
      <c r="E728" s="1" t="s">
        <v>17</v>
      </c>
      <c r="F728" s="1" t="s">
        <v>18</v>
      </c>
      <c r="G728" s="1" t="s">
        <v>19</v>
      </c>
      <c r="H728" s="1" t="s">
        <v>20</v>
      </c>
      <c r="I728" s="2">
        <v>45657</v>
      </c>
      <c r="J728">
        <v>5605</v>
      </c>
      <c r="K728" s="2">
        <v>45868</v>
      </c>
      <c r="L728">
        <v>1617</v>
      </c>
      <c r="M728">
        <v>7222</v>
      </c>
      <c r="N728">
        <v>0</v>
      </c>
    </row>
    <row r="729" spans="1:14" x14ac:dyDescent="0.3">
      <c r="A729" s="1" t="s">
        <v>774</v>
      </c>
      <c r="B729" s="1" t="s">
        <v>52</v>
      </c>
      <c r="C729">
        <v>20</v>
      </c>
      <c r="D729" s="1" t="s">
        <v>16</v>
      </c>
      <c r="E729" s="1" t="s">
        <v>24</v>
      </c>
      <c r="F729" s="1" t="s">
        <v>25</v>
      </c>
      <c r="G729" s="1" t="s">
        <v>19</v>
      </c>
      <c r="H729" s="1" t="s">
        <v>20</v>
      </c>
      <c r="I729" s="2">
        <v>44820</v>
      </c>
      <c r="J729">
        <v>5403</v>
      </c>
      <c r="K729" s="2">
        <v>45858</v>
      </c>
      <c r="L729">
        <v>9939</v>
      </c>
      <c r="M729">
        <v>15342</v>
      </c>
      <c r="N729">
        <v>0</v>
      </c>
    </row>
    <row r="730" spans="1:14" x14ac:dyDescent="0.3">
      <c r="A730" s="1" t="s">
        <v>775</v>
      </c>
      <c r="B730" s="1" t="s">
        <v>79</v>
      </c>
      <c r="C730">
        <v>30</v>
      </c>
      <c r="D730" s="1" t="s">
        <v>16</v>
      </c>
      <c r="E730" s="1" t="s">
        <v>24</v>
      </c>
      <c r="F730" s="1" t="s">
        <v>18</v>
      </c>
      <c r="G730" s="1" t="s">
        <v>19</v>
      </c>
      <c r="H730" s="1" t="s">
        <v>20</v>
      </c>
      <c r="I730" s="2">
        <v>45604</v>
      </c>
      <c r="J730">
        <v>67614</v>
      </c>
      <c r="K730" s="2">
        <v>45811</v>
      </c>
      <c r="L730">
        <v>-4400</v>
      </c>
      <c r="M730">
        <v>63214</v>
      </c>
      <c r="N730">
        <v>0</v>
      </c>
    </row>
    <row r="731" spans="1:14" x14ac:dyDescent="0.3">
      <c r="A731" s="1" t="s">
        <v>776</v>
      </c>
      <c r="B731" s="1" t="s">
        <v>61</v>
      </c>
      <c r="C731">
        <v>45</v>
      </c>
      <c r="D731" s="1" t="s">
        <v>16</v>
      </c>
      <c r="E731" s="1" t="s">
        <v>38</v>
      </c>
      <c r="F731" s="1" t="s">
        <v>25</v>
      </c>
      <c r="G731" s="1" t="s">
        <v>41</v>
      </c>
      <c r="H731" s="1" t="s">
        <v>20</v>
      </c>
      <c r="I731" s="2">
        <v>44918</v>
      </c>
      <c r="J731">
        <v>6188</v>
      </c>
      <c r="K731" s="2">
        <v>45869</v>
      </c>
      <c r="L731">
        <v>-5200</v>
      </c>
      <c r="M731">
        <v>988</v>
      </c>
      <c r="N731">
        <v>0</v>
      </c>
    </row>
    <row r="732" spans="1:14" x14ac:dyDescent="0.3">
      <c r="A732" s="1" t="s">
        <v>777</v>
      </c>
      <c r="B732" s="1" t="s">
        <v>22</v>
      </c>
      <c r="C732">
        <v>66</v>
      </c>
      <c r="D732" s="1" t="s">
        <v>23</v>
      </c>
      <c r="E732" s="1" t="s">
        <v>17</v>
      </c>
      <c r="F732" s="1" t="s">
        <v>18</v>
      </c>
      <c r="G732" s="1" t="s">
        <v>19</v>
      </c>
      <c r="H732" s="1" t="s">
        <v>20</v>
      </c>
      <c r="I732" s="2">
        <v>44868</v>
      </c>
      <c r="J732">
        <v>14188</v>
      </c>
      <c r="K732" s="2">
        <v>45817</v>
      </c>
      <c r="L732">
        <v>3451</v>
      </c>
      <c r="M732">
        <v>17639</v>
      </c>
      <c r="N732">
        <v>0</v>
      </c>
    </row>
    <row r="733" spans="1:14" x14ac:dyDescent="0.3">
      <c r="A733" s="1" t="s">
        <v>778</v>
      </c>
      <c r="B733" s="1" t="s">
        <v>52</v>
      </c>
      <c r="C733">
        <v>42</v>
      </c>
      <c r="D733" s="1" t="s">
        <v>16</v>
      </c>
      <c r="E733" s="1" t="s">
        <v>24</v>
      </c>
      <c r="F733" s="1" t="s">
        <v>18</v>
      </c>
      <c r="G733" s="1" t="s">
        <v>19</v>
      </c>
      <c r="H733" s="1" t="s">
        <v>20</v>
      </c>
      <c r="I733" s="2">
        <v>44244</v>
      </c>
      <c r="J733">
        <v>35187</v>
      </c>
      <c r="K733" s="2">
        <v>45859</v>
      </c>
      <c r="L733">
        <v>-7020</v>
      </c>
      <c r="M733">
        <v>28167</v>
      </c>
      <c r="N733">
        <v>0</v>
      </c>
    </row>
    <row r="734" spans="1:14" x14ac:dyDescent="0.3">
      <c r="A734" s="1" t="s">
        <v>779</v>
      </c>
      <c r="B734" s="1" t="s">
        <v>40</v>
      </c>
      <c r="C734">
        <v>50</v>
      </c>
      <c r="D734" s="1" t="s">
        <v>23</v>
      </c>
      <c r="E734" s="1" t="s">
        <v>17</v>
      </c>
      <c r="F734" s="1" t="s">
        <v>18</v>
      </c>
      <c r="G734" s="1" t="s">
        <v>19</v>
      </c>
      <c r="H734" s="1" t="s">
        <v>20</v>
      </c>
      <c r="I734" s="2">
        <v>45360</v>
      </c>
      <c r="J734">
        <v>16235</v>
      </c>
      <c r="K734" s="2">
        <v>45858</v>
      </c>
      <c r="L734">
        <v>12462</v>
      </c>
      <c r="M734">
        <v>28697</v>
      </c>
      <c r="N734">
        <v>0</v>
      </c>
    </row>
    <row r="735" spans="1:14" x14ac:dyDescent="0.3">
      <c r="A735" s="1" t="s">
        <v>780</v>
      </c>
      <c r="B735" s="1" t="s">
        <v>71</v>
      </c>
      <c r="C735">
        <v>55</v>
      </c>
      <c r="D735" s="1" t="s">
        <v>23</v>
      </c>
      <c r="E735" s="1" t="s">
        <v>17</v>
      </c>
      <c r="F735" s="1" t="s">
        <v>25</v>
      </c>
      <c r="G735" s="1" t="s">
        <v>19</v>
      </c>
      <c r="H735" s="1" t="s">
        <v>20</v>
      </c>
      <c r="I735" s="2">
        <v>45547</v>
      </c>
      <c r="J735">
        <v>4510</v>
      </c>
      <c r="K735" s="2">
        <v>45866</v>
      </c>
      <c r="L735">
        <v>3944</v>
      </c>
      <c r="M735">
        <v>8454</v>
      </c>
      <c r="N735">
        <v>0</v>
      </c>
    </row>
    <row r="736" spans="1:14" x14ac:dyDescent="0.3">
      <c r="A736" s="1" t="s">
        <v>781</v>
      </c>
      <c r="B736" s="1" t="s">
        <v>69</v>
      </c>
      <c r="C736">
        <v>23</v>
      </c>
      <c r="D736" s="1" t="s">
        <v>16</v>
      </c>
      <c r="E736" s="1" t="s">
        <v>24</v>
      </c>
      <c r="F736" s="1" t="s">
        <v>18</v>
      </c>
      <c r="G736" s="1" t="s">
        <v>19</v>
      </c>
      <c r="H736" s="1" t="s">
        <v>20</v>
      </c>
      <c r="I736" s="2">
        <v>45307</v>
      </c>
      <c r="J736">
        <v>35778</v>
      </c>
      <c r="K736" s="2">
        <v>45836</v>
      </c>
      <c r="L736">
        <v>-1113</v>
      </c>
      <c r="M736">
        <v>34665</v>
      </c>
      <c r="N736">
        <v>0</v>
      </c>
    </row>
    <row r="737" spans="1:14" x14ac:dyDescent="0.3">
      <c r="A737" s="1" t="s">
        <v>782</v>
      </c>
      <c r="B737" s="1" t="s">
        <v>64</v>
      </c>
      <c r="C737">
        <v>61</v>
      </c>
      <c r="D737" s="1" t="s">
        <v>16</v>
      </c>
      <c r="E737" s="1" t="s">
        <v>17</v>
      </c>
      <c r="F737" s="1" t="s">
        <v>18</v>
      </c>
      <c r="G737" s="1" t="s">
        <v>19</v>
      </c>
      <c r="H737" s="1" t="s">
        <v>20</v>
      </c>
      <c r="I737" s="2">
        <v>44450</v>
      </c>
      <c r="J737">
        <v>19038</v>
      </c>
      <c r="K737" s="2">
        <v>45863</v>
      </c>
      <c r="L737">
        <v>10684</v>
      </c>
      <c r="M737">
        <v>29722</v>
      </c>
      <c r="N737">
        <v>0</v>
      </c>
    </row>
    <row r="738" spans="1:14" x14ac:dyDescent="0.3">
      <c r="A738" s="1" t="s">
        <v>783</v>
      </c>
      <c r="B738" s="1" t="s">
        <v>87</v>
      </c>
      <c r="C738">
        <v>62</v>
      </c>
      <c r="D738" s="1" t="s">
        <v>23</v>
      </c>
      <c r="E738" s="1" t="s">
        <v>17</v>
      </c>
      <c r="F738" s="1" t="s">
        <v>25</v>
      </c>
      <c r="G738" s="1" t="s">
        <v>19</v>
      </c>
      <c r="H738" s="1" t="s">
        <v>20</v>
      </c>
      <c r="I738" s="2">
        <v>44369</v>
      </c>
      <c r="J738">
        <v>1502</v>
      </c>
      <c r="K738" s="2">
        <v>45868</v>
      </c>
      <c r="L738">
        <v>4502</v>
      </c>
      <c r="M738">
        <v>6004</v>
      </c>
      <c r="N738">
        <v>0</v>
      </c>
    </row>
    <row r="739" spans="1:14" x14ac:dyDescent="0.3">
      <c r="A739" s="1" t="s">
        <v>784</v>
      </c>
      <c r="B739" s="1" t="s">
        <v>52</v>
      </c>
      <c r="C739">
        <v>49</v>
      </c>
      <c r="D739" s="1" t="s">
        <v>16</v>
      </c>
      <c r="E739" s="1" t="s">
        <v>24</v>
      </c>
      <c r="F739" s="1" t="s">
        <v>18</v>
      </c>
      <c r="G739" s="1" t="s">
        <v>19</v>
      </c>
      <c r="H739" s="1" t="s">
        <v>20</v>
      </c>
      <c r="I739" s="2">
        <v>45155</v>
      </c>
      <c r="J739">
        <v>46431</v>
      </c>
      <c r="K739" s="2">
        <v>45834</v>
      </c>
      <c r="L739">
        <v>5949</v>
      </c>
      <c r="M739">
        <v>52380</v>
      </c>
      <c r="N739">
        <v>0</v>
      </c>
    </row>
    <row r="740" spans="1:14" x14ac:dyDescent="0.3">
      <c r="A740" s="1" t="s">
        <v>785</v>
      </c>
      <c r="B740" s="1" t="s">
        <v>56</v>
      </c>
      <c r="C740">
        <v>62</v>
      </c>
      <c r="D740" s="1" t="s">
        <v>16</v>
      </c>
      <c r="E740" s="1" t="s">
        <v>24</v>
      </c>
      <c r="F740" s="1" t="s">
        <v>18</v>
      </c>
      <c r="G740" s="1" t="s">
        <v>19</v>
      </c>
      <c r="H740" s="1" t="s">
        <v>49</v>
      </c>
      <c r="I740" s="2">
        <v>44868</v>
      </c>
      <c r="J740">
        <v>31996</v>
      </c>
      <c r="K740" s="2">
        <v>45828</v>
      </c>
      <c r="L740">
        <v>16597</v>
      </c>
      <c r="M740">
        <v>48593</v>
      </c>
      <c r="N740">
        <v>0</v>
      </c>
    </row>
    <row r="741" spans="1:14" x14ac:dyDescent="0.3">
      <c r="A741" s="1" t="s">
        <v>786</v>
      </c>
      <c r="B741" s="1" t="s">
        <v>43</v>
      </c>
      <c r="C741">
        <v>64</v>
      </c>
      <c r="D741" s="1" t="s">
        <v>16</v>
      </c>
      <c r="E741" s="1" t="s">
        <v>17</v>
      </c>
      <c r="F741" s="1" t="s">
        <v>18</v>
      </c>
      <c r="G741" s="1" t="s">
        <v>19</v>
      </c>
      <c r="H741" s="1" t="s">
        <v>20</v>
      </c>
      <c r="I741" s="2">
        <v>44914</v>
      </c>
      <c r="J741">
        <v>18742</v>
      </c>
      <c r="K741" s="2">
        <v>45844</v>
      </c>
      <c r="L741">
        <v>-1202</v>
      </c>
      <c r="M741">
        <v>17540</v>
      </c>
      <c r="N741">
        <v>0</v>
      </c>
    </row>
    <row r="742" spans="1:14" x14ac:dyDescent="0.3">
      <c r="A742" s="1" t="s">
        <v>787</v>
      </c>
      <c r="B742" s="1" t="s">
        <v>40</v>
      </c>
      <c r="C742">
        <v>38</v>
      </c>
      <c r="D742" s="1" t="s">
        <v>23</v>
      </c>
      <c r="E742" s="1" t="s">
        <v>17</v>
      </c>
      <c r="F742" s="1" t="s">
        <v>25</v>
      </c>
      <c r="G742" s="1" t="s">
        <v>19</v>
      </c>
      <c r="H742" s="1" t="s">
        <v>20</v>
      </c>
      <c r="I742" s="2">
        <v>45816</v>
      </c>
      <c r="J742">
        <v>68512</v>
      </c>
      <c r="K742" s="2">
        <v>45868</v>
      </c>
      <c r="L742">
        <v>23497</v>
      </c>
      <c r="M742">
        <v>92009</v>
      </c>
      <c r="N742">
        <v>0</v>
      </c>
    </row>
    <row r="743" spans="1:14" x14ac:dyDescent="0.3">
      <c r="A743" s="1" t="s">
        <v>788</v>
      </c>
      <c r="B743" s="1" t="s">
        <v>75</v>
      </c>
      <c r="C743">
        <v>33</v>
      </c>
      <c r="D743" s="1" t="s">
        <v>16</v>
      </c>
      <c r="E743" s="1" t="s">
        <v>17</v>
      </c>
      <c r="F743" s="1" t="s">
        <v>18</v>
      </c>
      <c r="G743" s="1" t="s">
        <v>19</v>
      </c>
      <c r="H743" s="1" t="s">
        <v>20</v>
      </c>
      <c r="I743" s="2">
        <v>45408</v>
      </c>
      <c r="J743">
        <v>31272</v>
      </c>
      <c r="K743" s="2">
        <v>45869</v>
      </c>
      <c r="L743">
        <v>7070</v>
      </c>
      <c r="M743">
        <v>38342</v>
      </c>
      <c r="N743">
        <v>0</v>
      </c>
    </row>
    <row r="744" spans="1:14" x14ac:dyDescent="0.3">
      <c r="A744" s="1" t="s">
        <v>789</v>
      </c>
      <c r="B744" s="1" t="s">
        <v>64</v>
      </c>
      <c r="C744">
        <v>38</v>
      </c>
      <c r="D744" s="1" t="s">
        <v>16</v>
      </c>
      <c r="E744" s="1" t="s">
        <v>17</v>
      </c>
      <c r="F744" s="1" t="s">
        <v>18</v>
      </c>
      <c r="G744" s="1" t="s">
        <v>19</v>
      </c>
      <c r="H744" s="1" t="s">
        <v>20</v>
      </c>
      <c r="I744" s="2">
        <v>44885</v>
      </c>
      <c r="J744">
        <v>41272</v>
      </c>
      <c r="K744" s="2">
        <v>45866</v>
      </c>
      <c r="L744">
        <v>-7735</v>
      </c>
      <c r="M744">
        <v>33537</v>
      </c>
      <c r="N744">
        <v>0</v>
      </c>
    </row>
    <row r="745" spans="1:14" x14ac:dyDescent="0.3">
      <c r="A745" s="1" t="s">
        <v>790</v>
      </c>
      <c r="B745" s="1" t="s">
        <v>61</v>
      </c>
      <c r="C745">
        <v>28</v>
      </c>
      <c r="D745" s="1" t="s">
        <v>16</v>
      </c>
      <c r="E745" s="1" t="s">
        <v>24</v>
      </c>
      <c r="F745" s="1" t="s">
        <v>18</v>
      </c>
      <c r="G745" s="1" t="s">
        <v>19</v>
      </c>
      <c r="H745" s="1" t="s">
        <v>20</v>
      </c>
      <c r="I745" s="2">
        <v>44228</v>
      </c>
      <c r="J745">
        <v>37662</v>
      </c>
      <c r="K745" s="2">
        <v>45863</v>
      </c>
      <c r="L745">
        <v>20630</v>
      </c>
      <c r="M745">
        <v>58292</v>
      </c>
      <c r="N745">
        <v>0</v>
      </c>
    </row>
    <row r="746" spans="1:14" x14ac:dyDescent="0.3">
      <c r="A746" s="1" t="s">
        <v>791</v>
      </c>
      <c r="B746" s="1" t="s">
        <v>75</v>
      </c>
      <c r="C746">
        <v>54</v>
      </c>
      <c r="D746" s="1" t="s">
        <v>23</v>
      </c>
      <c r="E746" s="1" t="s">
        <v>24</v>
      </c>
      <c r="F746" s="1" t="s">
        <v>18</v>
      </c>
      <c r="G746" s="1" t="s">
        <v>19</v>
      </c>
      <c r="H746" s="1" t="s">
        <v>20</v>
      </c>
      <c r="I746" s="2">
        <v>44254</v>
      </c>
      <c r="J746">
        <v>28482</v>
      </c>
      <c r="K746" s="2">
        <v>45865</v>
      </c>
      <c r="L746">
        <v>19902</v>
      </c>
      <c r="M746">
        <v>48384</v>
      </c>
      <c r="N746">
        <v>0</v>
      </c>
    </row>
    <row r="747" spans="1:14" x14ac:dyDescent="0.3">
      <c r="A747" s="1" t="s">
        <v>792</v>
      </c>
      <c r="B747" s="1" t="s">
        <v>61</v>
      </c>
      <c r="C747">
        <v>53</v>
      </c>
      <c r="D747" s="1" t="s">
        <v>23</v>
      </c>
      <c r="E747" s="1" t="s">
        <v>24</v>
      </c>
      <c r="F747" s="1" t="s">
        <v>25</v>
      </c>
      <c r="G747" s="1" t="s">
        <v>19</v>
      </c>
      <c r="H747" s="1" t="s">
        <v>20</v>
      </c>
      <c r="I747" s="2">
        <v>45342</v>
      </c>
      <c r="J747">
        <v>2229</v>
      </c>
      <c r="K747" s="2">
        <v>45868</v>
      </c>
      <c r="L747">
        <v>14381</v>
      </c>
      <c r="M747">
        <v>16610</v>
      </c>
      <c r="N747">
        <v>0</v>
      </c>
    </row>
    <row r="748" spans="1:14" x14ac:dyDescent="0.3">
      <c r="A748" s="1" t="s">
        <v>793</v>
      </c>
      <c r="B748" s="1" t="s">
        <v>22</v>
      </c>
      <c r="C748">
        <v>52</v>
      </c>
      <c r="D748" s="1" t="s">
        <v>23</v>
      </c>
      <c r="E748" s="1" t="s">
        <v>24</v>
      </c>
      <c r="F748" s="1" t="s">
        <v>25</v>
      </c>
      <c r="G748" s="1" t="s">
        <v>41</v>
      </c>
      <c r="H748" s="1" t="s">
        <v>20</v>
      </c>
      <c r="I748" s="2">
        <v>45598</v>
      </c>
      <c r="J748">
        <v>2511</v>
      </c>
      <c r="K748" s="2">
        <v>45837</v>
      </c>
      <c r="L748">
        <v>12497</v>
      </c>
      <c r="M748">
        <v>15008</v>
      </c>
      <c r="N748">
        <v>0</v>
      </c>
    </row>
    <row r="749" spans="1:14" x14ac:dyDescent="0.3">
      <c r="A749" s="1" t="s">
        <v>794</v>
      </c>
      <c r="B749" s="1" t="s">
        <v>56</v>
      </c>
      <c r="C749">
        <v>36</v>
      </c>
      <c r="D749" s="1" t="s">
        <v>23</v>
      </c>
      <c r="E749" s="1" t="s">
        <v>38</v>
      </c>
      <c r="F749" s="1" t="s">
        <v>25</v>
      </c>
      <c r="G749" s="1" t="s">
        <v>19</v>
      </c>
      <c r="H749" s="1" t="s">
        <v>20</v>
      </c>
      <c r="I749" s="2">
        <v>45380</v>
      </c>
      <c r="J749">
        <v>31283</v>
      </c>
      <c r="K749" s="2">
        <v>45848</v>
      </c>
      <c r="L749">
        <v>3506</v>
      </c>
      <c r="M749">
        <v>34789</v>
      </c>
      <c r="N749">
        <v>0</v>
      </c>
    </row>
    <row r="750" spans="1:14" x14ac:dyDescent="0.3">
      <c r="A750" s="1" t="s">
        <v>795</v>
      </c>
      <c r="B750" s="1" t="s">
        <v>59</v>
      </c>
      <c r="C750">
        <v>37</v>
      </c>
      <c r="D750" s="1" t="s">
        <v>23</v>
      </c>
      <c r="E750" s="1" t="s">
        <v>38</v>
      </c>
      <c r="F750" s="1" t="s">
        <v>25</v>
      </c>
      <c r="G750" s="1" t="s">
        <v>19</v>
      </c>
      <c r="H750" s="1" t="s">
        <v>20</v>
      </c>
      <c r="I750" s="2">
        <v>44876</v>
      </c>
      <c r="J750">
        <v>45782</v>
      </c>
      <c r="K750" s="2">
        <v>45869</v>
      </c>
      <c r="L750">
        <v>3770</v>
      </c>
      <c r="M750">
        <v>49552</v>
      </c>
      <c r="N750">
        <v>0</v>
      </c>
    </row>
    <row r="751" spans="1:14" x14ac:dyDescent="0.3">
      <c r="A751" s="1" t="s">
        <v>796</v>
      </c>
      <c r="B751" s="1" t="s">
        <v>15</v>
      </c>
      <c r="C751">
        <v>35</v>
      </c>
      <c r="D751" s="1" t="s">
        <v>16</v>
      </c>
      <c r="E751" s="1" t="s">
        <v>38</v>
      </c>
      <c r="F751" s="1" t="s">
        <v>25</v>
      </c>
      <c r="G751" s="1" t="s">
        <v>41</v>
      </c>
      <c r="H751" s="1" t="s">
        <v>20</v>
      </c>
      <c r="I751" s="2">
        <v>44249</v>
      </c>
      <c r="J751">
        <v>6600</v>
      </c>
      <c r="K751" s="2">
        <v>45857</v>
      </c>
      <c r="L751">
        <v>-144</v>
      </c>
      <c r="M751">
        <v>6456</v>
      </c>
      <c r="N751">
        <v>0</v>
      </c>
    </row>
    <row r="752" spans="1:14" x14ac:dyDescent="0.3">
      <c r="A752" s="1" t="s">
        <v>797</v>
      </c>
      <c r="B752" s="1" t="s">
        <v>56</v>
      </c>
      <c r="C752">
        <v>64</v>
      </c>
      <c r="D752" s="1" t="s">
        <v>16</v>
      </c>
      <c r="E752" s="1" t="s">
        <v>38</v>
      </c>
      <c r="F752" s="1" t="s">
        <v>18</v>
      </c>
      <c r="G752" s="1" t="s">
        <v>19</v>
      </c>
      <c r="H752" s="1" t="s">
        <v>20</v>
      </c>
      <c r="I752" s="2">
        <v>45815</v>
      </c>
      <c r="J752">
        <v>4386</v>
      </c>
      <c r="K752" s="2">
        <v>45869</v>
      </c>
      <c r="L752">
        <v>23111</v>
      </c>
      <c r="M752">
        <v>27497</v>
      </c>
      <c r="N752">
        <v>0</v>
      </c>
    </row>
    <row r="753" spans="1:14" x14ac:dyDescent="0.3">
      <c r="A753" s="1" t="s">
        <v>798</v>
      </c>
      <c r="B753" s="1" t="s">
        <v>59</v>
      </c>
      <c r="C753">
        <v>58</v>
      </c>
      <c r="D753" s="1" t="s">
        <v>23</v>
      </c>
      <c r="E753" s="1" t="s">
        <v>24</v>
      </c>
      <c r="F753" s="1" t="s">
        <v>25</v>
      </c>
      <c r="G753" s="1" t="s">
        <v>19</v>
      </c>
      <c r="H753" s="1" t="s">
        <v>20</v>
      </c>
      <c r="I753" s="2">
        <v>45847</v>
      </c>
      <c r="J753">
        <v>17373</v>
      </c>
      <c r="K753" s="2">
        <v>45869</v>
      </c>
      <c r="L753">
        <v>-1395</v>
      </c>
      <c r="M753">
        <v>15978</v>
      </c>
      <c r="N753">
        <v>0</v>
      </c>
    </row>
    <row r="754" spans="1:14" x14ac:dyDescent="0.3">
      <c r="A754" s="1" t="s">
        <v>799</v>
      </c>
      <c r="B754" s="1" t="s">
        <v>79</v>
      </c>
      <c r="C754">
        <v>66</v>
      </c>
      <c r="D754" s="1" t="s">
        <v>23</v>
      </c>
      <c r="E754" s="1" t="s">
        <v>38</v>
      </c>
      <c r="F754" s="1" t="s">
        <v>18</v>
      </c>
      <c r="G754" s="1" t="s">
        <v>19</v>
      </c>
      <c r="H754" s="1" t="s">
        <v>20</v>
      </c>
      <c r="I754" s="2">
        <v>45116</v>
      </c>
      <c r="J754">
        <v>3127</v>
      </c>
      <c r="K754" s="2">
        <v>45867</v>
      </c>
      <c r="L754">
        <v>18740</v>
      </c>
      <c r="M754">
        <v>21867</v>
      </c>
      <c r="N754">
        <v>0</v>
      </c>
    </row>
    <row r="755" spans="1:14" x14ac:dyDescent="0.3">
      <c r="A755" s="1" t="s">
        <v>800</v>
      </c>
      <c r="B755" s="1" t="s">
        <v>43</v>
      </c>
      <c r="C755">
        <v>31</v>
      </c>
      <c r="D755" s="1" t="s">
        <v>23</v>
      </c>
      <c r="E755" s="1" t="s">
        <v>24</v>
      </c>
      <c r="F755" s="1" t="s">
        <v>18</v>
      </c>
      <c r="G755" s="1" t="s">
        <v>19</v>
      </c>
      <c r="H755" s="1" t="s">
        <v>20</v>
      </c>
      <c r="I755" s="2">
        <v>44315</v>
      </c>
      <c r="J755">
        <v>11284</v>
      </c>
      <c r="K755" s="2">
        <v>45858</v>
      </c>
      <c r="L755">
        <v>-1917</v>
      </c>
      <c r="M755">
        <v>9367</v>
      </c>
      <c r="N755">
        <v>0</v>
      </c>
    </row>
    <row r="756" spans="1:14" x14ac:dyDescent="0.3">
      <c r="A756" s="1" t="s">
        <v>801</v>
      </c>
      <c r="B756" s="1" t="s">
        <v>75</v>
      </c>
      <c r="C756">
        <v>32</v>
      </c>
      <c r="D756" s="1" t="s">
        <v>23</v>
      </c>
      <c r="E756" s="1" t="s">
        <v>17</v>
      </c>
      <c r="F756" s="1" t="s">
        <v>25</v>
      </c>
      <c r="G756" s="1" t="s">
        <v>19</v>
      </c>
      <c r="H756" s="1" t="s">
        <v>20</v>
      </c>
      <c r="I756" s="2">
        <v>45102</v>
      </c>
      <c r="J756">
        <v>9366</v>
      </c>
      <c r="K756" s="2">
        <v>45850</v>
      </c>
      <c r="L756">
        <v>11872</v>
      </c>
      <c r="M756">
        <v>21238</v>
      </c>
      <c r="N756">
        <v>0</v>
      </c>
    </row>
    <row r="757" spans="1:14" x14ac:dyDescent="0.3">
      <c r="A757" s="1" t="s">
        <v>802</v>
      </c>
      <c r="B757" s="1" t="s">
        <v>87</v>
      </c>
      <c r="C757">
        <v>48</v>
      </c>
      <c r="D757" s="1" t="s">
        <v>23</v>
      </c>
      <c r="E757" s="1" t="s">
        <v>17</v>
      </c>
      <c r="F757" s="1" t="s">
        <v>18</v>
      </c>
      <c r="G757" s="1" t="s">
        <v>19</v>
      </c>
      <c r="H757" s="1" t="s">
        <v>20</v>
      </c>
      <c r="I757" s="2">
        <v>45689</v>
      </c>
      <c r="J757">
        <v>10674</v>
      </c>
      <c r="K757" s="2">
        <v>45866</v>
      </c>
      <c r="L757">
        <v>1685</v>
      </c>
      <c r="M757">
        <v>12359</v>
      </c>
      <c r="N757">
        <v>0</v>
      </c>
    </row>
    <row r="758" spans="1:14" x14ac:dyDescent="0.3">
      <c r="A758" s="1" t="s">
        <v>803</v>
      </c>
      <c r="B758" s="1" t="s">
        <v>43</v>
      </c>
      <c r="C758">
        <v>18</v>
      </c>
      <c r="D758" s="1" t="s">
        <v>23</v>
      </c>
      <c r="E758" s="1" t="s">
        <v>24</v>
      </c>
      <c r="F758" s="1" t="s">
        <v>25</v>
      </c>
      <c r="G758" s="1" t="s">
        <v>19</v>
      </c>
      <c r="H758" s="1" t="s">
        <v>20</v>
      </c>
      <c r="I758" s="2">
        <v>45334</v>
      </c>
      <c r="J758">
        <v>87942</v>
      </c>
      <c r="K758" s="2">
        <v>45867</v>
      </c>
      <c r="L758">
        <v>13435</v>
      </c>
      <c r="M758">
        <v>101377</v>
      </c>
      <c r="N758">
        <v>0</v>
      </c>
    </row>
    <row r="759" spans="1:14" x14ac:dyDescent="0.3">
      <c r="A759" s="1" t="s">
        <v>804</v>
      </c>
      <c r="B759" s="1" t="s">
        <v>43</v>
      </c>
      <c r="C759">
        <v>20</v>
      </c>
      <c r="D759" s="1" t="s">
        <v>16</v>
      </c>
      <c r="E759" s="1" t="s">
        <v>35</v>
      </c>
      <c r="F759" s="1" t="s">
        <v>18</v>
      </c>
      <c r="G759" s="1" t="s">
        <v>41</v>
      </c>
      <c r="H759" s="1" t="s">
        <v>20</v>
      </c>
      <c r="I759" s="2">
        <v>45401</v>
      </c>
      <c r="J759">
        <v>7087</v>
      </c>
      <c r="K759" s="2">
        <v>45861</v>
      </c>
      <c r="L759">
        <v>11158</v>
      </c>
      <c r="M759">
        <v>18245</v>
      </c>
      <c r="N759">
        <v>0</v>
      </c>
    </row>
    <row r="760" spans="1:14" x14ac:dyDescent="0.3">
      <c r="A760" s="1" t="s">
        <v>805</v>
      </c>
      <c r="B760" s="1" t="s">
        <v>37</v>
      </c>
      <c r="C760">
        <v>33</v>
      </c>
      <c r="D760" s="1" t="s">
        <v>30</v>
      </c>
      <c r="E760" s="1" t="s">
        <v>24</v>
      </c>
      <c r="F760" s="1" t="s">
        <v>25</v>
      </c>
      <c r="G760" s="1" t="s">
        <v>19</v>
      </c>
      <c r="H760" s="1" t="s">
        <v>20</v>
      </c>
      <c r="I760" s="2">
        <v>44339</v>
      </c>
      <c r="J760">
        <v>14093</v>
      </c>
      <c r="K760" s="2">
        <v>45772</v>
      </c>
      <c r="L760">
        <v>13253</v>
      </c>
      <c r="M760">
        <v>27346</v>
      </c>
      <c r="N760">
        <v>0</v>
      </c>
    </row>
    <row r="761" spans="1:14" x14ac:dyDescent="0.3">
      <c r="A761" s="1" t="s">
        <v>806</v>
      </c>
      <c r="B761" s="1" t="s">
        <v>61</v>
      </c>
      <c r="C761">
        <v>40</v>
      </c>
      <c r="D761" s="1" t="s">
        <v>23</v>
      </c>
      <c r="E761" s="1" t="s">
        <v>38</v>
      </c>
      <c r="F761" s="1" t="s">
        <v>18</v>
      </c>
      <c r="G761" s="1" t="s">
        <v>19</v>
      </c>
      <c r="H761" s="1" t="s">
        <v>20</v>
      </c>
      <c r="I761" s="2">
        <v>44375</v>
      </c>
      <c r="J761">
        <v>3597</v>
      </c>
      <c r="K761" s="2">
        <v>45794</v>
      </c>
      <c r="L761">
        <v>14613</v>
      </c>
      <c r="M761">
        <v>18210</v>
      </c>
      <c r="N761">
        <v>0</v>
      </c>
    </row>
    <row r="762" spans="1:14" x14ac:dyDescent="0.3">
      <c r="A762" s="1" t="s">
        <v>807</v>
      </c>
      <c r="B762" s="1" t="s">
        <v>15</v>
      </c>
      <c r="C762">
        <v>28</v>
      </c>
      <c r="D762" s="1" t="s">
        <v>23</v>
      </c>
      <c r="E762" s="1" t="s">
        <v>24</v>
      </c>
      <c r="F762" s="1" t="s">
        <v>25</v>
      </c>
      <c r="G762" s="1" t="s">
        <v>19</v>
      </c>
      <c r="H762" s="1" t="s">
        <v>20</v>
      </c>
      <c r="I762" s="2">
        <v>44410</v>
      </c>
      <c r="J762">
        <v>34213</v>
      </c>
      <c r="K762" s="2">
        <v>45819</v>
      </c>
      <c r="L762">
        <v>32926</v>
      </c>
      <c r="M762">
        <v>67139</v>
      </c>
      <c r="N762">
        <v>0</v>
      </c>
    </row>
    <row r="763" spans="1:14" x14ac:dyDescent="0.3">
      <c r="A763" s="1" t="s">
        <v>808</v>
      </c>
      <c r="B763" s="1" t="s">
        <v>48</v>
      </c>
      <c r="C763">
        <v>29</v>
      </c>
      <c r="D763" s="1" t="s">
        <v>16</v>
      </c>
      <c r="E763" s="1" t="s">
        <v>24</v>
      </c>
      <c r="F763" s="1" t="s">
        <v>25</v>
      </c>
      <c r="G763" s="1" t="s">
        <v>19</v>
      </c>
      <c r="H763" s="1" t="s">
        <v>20</v>
      </c>
      <c r="I763" s="2">
        <v>45710</v>
      </c>
      <c r="J763">
        <v>11164</v>
      </c>
      <c r="K763" s="2">
        <v>45867</v>
      </c>
      <c r="L763">
        <v>24961</v>
      </c>
      <c r="M763">
        <v>36125</v>
      </c>
      <c r="N763">
        <v>0</v>
      </c>
    </row>
    <row r="764" spans="1:14" x14ac:dyDescent="0.3">
      <c r="A764" s="1" t="s">
        <v>809</v>
      </c>
      <c r="B764" s="1" t="s">
        <v>37</v>
      </c>
      <c r="C764">
        <v>27</v>
      </c>
      <c r="D764" s="1" t="s">
        <v>23</v>
      </c>
      <c r="E764" s="1" t="s">
        <v>17</v>
      </c>
      <c r="F764" s="1" t="s">
        <v>18</v>
      </c>
      <c r="G764" s="1" t="s">
        <v>19</v>
      </c>
      <c r="H764" s="1" t="s">
        <v>20</v>
      </c>
      <c r="I764" s="2">
        <v>45076</v>
      </c>
      <c r="J764">
        <v>43404</v>
      </c>
      <c r="K764" s="2">
        <v>45866</v>
      </c>
      <c r="L764">
        <v>15726</v>
      </c>
      <c r="M764">
        <v>59130</v>
      </c>
      <c r="N764">
        <v>0</v>
      </c>
    </row>
    <row r="765" spans="1:14" x14ac:dyDescent="0.3">
      <c r="A765" s="1" t="s">
        <v>810</v>
      </c>
      <c r="B765" s="1" t="s">
        <v>71</v>
      </c>
      <c r="C765">
        <v>49</v>
      </c>
      <c r="D765" s="1" t="s">
        <v>23</v>
      </c>
      <c r="E765" s="1" t="s">
        <v>17</v>
      </c>
      <c r="F765" s="1" t="s">
        <v>18</v>
      </c>
      <c r="G765" s="1" t="s">
        <v>19</v>
      </c>
      <c r="H765" s="1" t="s">
        <v>20</v>
      </c>
      <c r="I765" s="2">
        <v>45521</v>
      </c>
      <c r="J765">
        <v>1145</v>
      </c>
      <c r="K765" s="2">
        <v>45862</v>
      </c>
      <c r="L765">
        <v>8937</v>
      </c>
      <c r="M765">
        <v>10082</v>
      </c>
      <c r="N765">
        <v>0</v>
      </c>
    </row>
    <row r="766" spans="1:14" x14ac:dyDescent="0.3">
      <c r="A766" s="1" t="s">
        <v>811</v>
      </c>
      <c r="B766" s="1" t="s">
        <v>69</v>
      </c>
      <c r="C766">
        <v>33</v>
      </c>
      <c r="D766" s="1" t="s">
        <v>16</v>
      </c>
      <c r="E766" s="1" t="s">
        <v>38</v>
      </c>
      <c r="F766" s="1" t="s">
        <v>18</v>
      </c>
      <c r="G766" s="1" t="s">
        <v>19</v>
      </c>
      <c r="H766" s="1" t="s">
        <v>20</v>
      </c>
      <c r="I766" s="2">
        <v>44389</v>
      </c>
      <c r="J766">
        <v>12605</v>
      </c>
      <c r="K766" s="2">
        <v>45764</v>
      </c>
      <c r="L766">
        <v>18934</v>
      </c>
      <c r="M766">
        <v>31539</v>
      </c>
      <c r="N766">
        <v>0</v>
      </c>
    </row>
    <row r="767" spans="1:14" x14ac:dyDescent="0.3">
      <c r="A767" s="1" t="s">
        <v>812</v>
      </c>
      <c r="B767" s="1" t="s">
        <v>34</v>
      </c>
      <c r="C767">
        <v>25</v>
      </c>
      <c r="D767" s="1" t="s">
        <v>23</v>
      </c>
      <c r="E767" s="1" t="s">
        <v>24</v>
      </c>
      <c r="F767" s="1" t="s">
        <v>18</v>
      </c>
      <c r="G767" s="1" t="s">
        <v>19</v>
      </c>
      <c r="H767" s="1" t="s">
        <v>20</v>
      </c>
      <c r="I767" s="2">
        <v>45748</v>
      </c>
      <c r="J767">
        <v>15247</v>
      </c>
      <c r="K767" s="2">
        <v>45868</v>
      </c>
      <c r="L767">
        <v>10028</v>
      </c>
      <c r="M767">
        <v>25275</v>
      </c>
      <c r="N767">
        <v>0</v>
      </c>
    </row>
    <row r="768" spans="1:14" x14ac:dyDescent="0.3">
      <c r="A768" s="1" t="s">
        <v>813</v>
      </c>
      <c r="B768" s="1" t="s">
        <v>59</v>
      </c>
      <c r="C768">
        <v>55</v>
      </c>
      <c r="D768" s="1" t="s">
        <v>16</v>
      </c>
      <c r="E768" s="1" t="s">
        <v>24</v>
      </c>
      <c r="F768" s="1" t="s">
        <v>25</v>
      </c>
      <c r="G768" s="1" t="s">
        <v>19</v>
      </c>
      <c r="H768" s="1" t="s">
        <v>20</v>
      </c>
      <c r="I768" s="2">
        <v>45570</v>
      </c>
      <c r="J768">
        <v>33240</v>
      </c>
      <c r="K768" s="2">
        <v>45849</v>
      </c>
      <c r="L768">
        <v>5088</v>
      </c>
      <c r="M768">
        <v>38328</v>
      </c>
      <c r="N768">
        <v>0</v>
      </c>
    </row>
    <row r="769" spans="1:14" x14ac:dyDescent="0.3">
      <c r="A769" s="1" t="s">
        <v>814</v>
      </c>
      <c r="B769" s="1" t="s">
        <v>15</v>
      </c>
      <c r="C769">
        <v>29</v>
      </c>
      <c r="D769" s="1" t="s">
        <v>16</v>
      </c>
      <c r="E769" s="1" t="s">
        <v>38</v>
      </c>
      <c r="F769" s="1" t="s">
        <v>25</v>
      </c>
      <c r="G769" s="1" t="s">
        <v>19</v>
      </c>
      <c r="H769" s="1" t="s">
        <v>20</v>
      </c>
      <c r="I769" s="2">
        <v>44573</v>
      </c>
      <c r="J769">
        <v>7030</v>
      </c>
      <c r="K769" s="2">
        <v>45855</v>
      </c>
      <c r="L769">
        <v>-706</v>
      </c>
      <c r="M769">
        <v>6324</v>
      </c>
      <c r="N769">
        <v>0</v>
      </c>
    </row>
    <row r="770" spans="1:14" x14ac:dyDescent="0.3">
      <c r="A770" s="1" t="s">
        <v>815</v>
      </c>
      <c r="B770" s="1" t="s">
        <v>71</v>
      </c>
      <c r="C770">
        <v>41</v>
      </c>
      <c r="D770" s="1" t="s">
        <v>23</v>
      </c>
      <c r="E770" s="1" t="s">
        <v>17</v>
      </c>
      <c r="F770" s="1" t="s">
        <v>18</v>
      </c>
      <c r="G770" s="1" t="s">
        <v>19</v>
      </c>
      <c r="H770" s="1" t="s">
        <v>20</v>
      </c>
      <c r="I770" s="2">
        <v>45659</v>
      </c>
      <c r="J770">
        <v>29343</v>
      </c>
      <c r="K770" s="2">
        <v>45862</v>
      </c>
      <c r="L770">
        <v>7725</v>
      </c>
      <c r="M770">
        <v>37068</v>
      </c>
      <c r="N770">
        <v>0</v>
      </c>
    </row>
    <row r="771" spans="1:14" x14ac:dyDescent="0.3">
      <c r="A771" s="1" t="s">
        <v>816</v>
      </c>
      <c r="B771" s="1" t="s">
        <v>69</v>
      </c>
      <c r="C771">
        <v>45</v>
      </c>
      <c r="D771" s="1" t="s">
        <v>23</v>
      </c>
      <c r="E771" s="1" t="s">
        <v>35</v>
      </c>
      <c r="F771" s="1" t="s">
        <v>25</v>
      </c>
      <c r="G771" s="1" t="s">
        <v>19</v>
      </c>
      <c r="H771" s="1" t="s">
        <v>20</v>
      </c>
      <c r="I771" s="2">
        <v>44637</v>
      </c>
      <c r="J771">
        <v>7884</v>
      </c>
      <c r="K771" s="2">
        <v>45862</v>
      </c>
      <c r="L771">
        <v>6863</v>
      </c>
      <c r="M771">
        <v>14747</v>
      </c>
      <c r="N771">
        <v>0</v>
      </c>
    </row>
    <row r="772" spans="1:14" x14ac:dyDescent="0.3">
      <c r="A772" s="1" t="s">
        <v>817</v>
      </c>
      <c r="B772" s="1" t="s">
        <v>61</v>
      </c>
      <c r="C772">
        <v>25</v>
      </c>
      <c r="D772" s="1" t="s">
        <v>16</v>
      </c>
      <c r="E772" s="1" t="s">
        <v>24</v>
      </c>
      <c r="F772" s="1" t="s">
        <v>25</v>
      </c>
      <c r="G772" s="1" t="s">
        <v>19</v>
      </c>
      <c r="H772" s="1" t="s">
        <v>20</v>
      </c>
      <c r="I772" s="2">
        <v>44540</v>
      </c>
      <c r="J772">
        <v>14673</v>
      </c>
      <c r="K772" s="2">
        <v>45828</v>
      </c>
      <c r="L772">
        <v>17473</v>
      </c>
      <c r="M772">
        <v>32146</v>
      </c>
      <c r="N772">
        <v>0</v>
      </c>
    </row>
    <row r="773" spans="1:14" x14ac:dyDescent="0.3">
      <c r="A773" s="1" t="s">
        <v>818</v>
      </c>
      <c r="B773" s="1" t="s">
        <v>71</v>
      </c>
      <c r="C773">
        <v>45</v>
      </c>
      <c r="D773" s="1" t="s">
        <v>23</v>
      </c>
      <c r="E773" s="1" t="s">
        <v>24</v>
      </c>
      <c r="F773" s="1" t="s">
        <v>18</v>
      </c>
      <c r="G773" s="1" t="s">
        <v>19</v>
      </c>
      <c r="H773" s="1" t="s">
        <v>20</v>
      </c>
      <c r="I773" s="2">
        <v>44639</v>
      </c>
      <c r="J773">
        <v>33589</v>
      </c>
      <c r="K773" s="2">
        <v>45815</v>
      </c>
      <c r="L773">
        <v>-13013</v>
      </c>
      <c r="M773">
        <v>20576</v>
      </c>
      <c r="N773">
        <v>0</v>
      </c>
    </row>
    <row r="774" spans="1:14" x14ac:dyDescent="0.3">
      <c r="A774" s="1" t="s">
        <v>819</v>
      </c>
      <c r="B774" s="1" t="s">
        <v>79</v>
      </c>
      <c r="C774">
        <v>53</v>
      </c>
      <c r="D774" s="1" t="s">
        <v>23</v>
      </c>
      <c r="E774" s="1" t="s">
        <v>24</v>
      </c>
      <c r="F774" s="1" t="s">
        <v>25</v>
      </c>
      <c r="G774" s="1" t="s">
        <v>19</v>
      </c>
      <c r="H774" s="1" t="s">
        <v>20</v>
      </c>
      <c r="I774" s="2">
        <v>45719</v>
      </c>
      <c r="J774">
        <v>5272</v>
      </c>
      <c r="K774" s="2">
        <v>45867</v>
      </c>
      <c r="L774">
        <v>14488</v>
      </c>
      <c r="M774">
        <v>19760</v>
      </c>
      <c r="N774">
        <v>0</v>
      </c>
    </row>
    <row r="775" spans="1:14" x14ac:dyDescent="0.3">
      <c r="A775" s="1" t="s">
        <v>820</v>
      </c>
      <c r="B775" s="1" t="s">
        <v>69</v>
      </c>
      <c r="C775">
        <v>43</v>
      </c>
      <c r="D775" s="1" t="s">
        <v>16</v>
      </c>
      <c r="E775" s="1" t="s">
        <v>17</v>
      </c>
      <c r="F775" s="1" t="s">
        <v>25</v>
      </c>
      <c r="G775" s="1" t="s">
        <v>19</v>
      </c>
      <c r="H775" s="1" t="s">
        <v>49</v>
      </c>
      <c r="I775" s="2">
        <v>45728</v>
      </c>
      <c r="J775">
        <v>28018</v>
      </c>
      <c r="K775" s="2">
        <v>45868</v>
      </c>
      <c r="L775">
        <v>2652</v>
      </c>
      <c r="M775">
        <v>30670</v>
      </c>
      <c r="N775">
        <v>0</v>
      </c>
    </row>
    <row r="776" spans="1:14" x14ac:dyDescent="0.3">
      <c r="A776" s="1" t="s">
        <v>821</v>
      </c>
      <c r="B776" s="1" t="s">
        <v>52</v>
      </c>
      <c r="C776">
        <v>25</v>
      </c>
      <c r="D776" s="1" t="s">
        <v>16</v>
      </c>
      <c r="E776" s="1" t="s">
        <v>17</v>
      </c>
      <c r="F776" s="1" t="s">
        <v>18</v>
      </c>
      <c r="G776" s="1" t="s">
        <v>19</v>
      </c>
      <c r="H776" s="1" t="s">
        <v>20</v>
      </c>
      <c r="I776" s="2">
        <v>44747</v>
      </c>
      <c r="J776">
        <v>18674</v>
      </c>
      <c r="K776" s="2">
        <v>45869</v>
      </c>
      <c r="L776">
        <v>17112</v>
      </c>
      <c r="M776">
        <v>35786</v>
      </c>
      <c r="N776">
        <v>0</v>
      </c>
    </row>
    <row r="777" spans="1:14" x14ac:dyDescent="0.3">
      <c r="A777" s="1" t="s">
        <v>822</v>
      </c>
      <c r="B777" s="1" t="s">
        <v>59</v>
      </c>
      <c r="C777">
        <v>67</v>
      </c>
      <c r="D777" s="1" t="s">
        <v>23</v>
      </c>
      <c r="E777" s="1" t="s">
        <v>24</v>
      </c>
      <c r="F777" s="1" t="s">
        <v>18</v>
      </c>
      <c r="G777" s="1" t="s">
        <v>19</v>
      </c>
      <c r="H777" s="1" t="s">
        <v>20</v>
      </c>
      <c r="I777" s="2">
        <v>45377</v>
      </c>
      <c r="J777">
        <v>9569</v>
      </c>
      <c r="K777" s="2">
        <v>45864</v>
      </c>
      <c r="L777">
        <v>5317</v>
      </c>
      <c r="M777">
        <v>14886</v>
      </c>
      <c r="N777">
        <v>0</v>
      </c>
    </row>
    <row r="778" spans="1:14" x14ac:dyDescent="0.3">
      <c r="A778" s="1" t="s">
        <v>823</v>
      </c>
      <c r="B778" s="1" t="s">
        <v>79</v>
      </c>
      <c r="C778">
        <v>45</v>
      </c>
      <c r="D778" s="1" t="s">
        <v>16</v>
      </c>
      <c r="E778" s="1" t="s">
        <v>38</v>
      </c>
      <c r="F778" s="1" t="s">
        <v>18</v>
      </c>
      <c r="G778" s="1" t="s">
        <v>19</v>
      </c>
      <c r="H778" s="1" t="s">
        <v>20</v>
      </c>
      <c r="I778" s="2">
        <v>45327</v>
      </c>
      <c r="J778">
        <v>6849</v>
      </c>
      <c r="K778" s="2">
        <v>45847</v>
      </c>
      <c r="L778">
        <v>4805</v>
      </c>
      <c r="M778">
        <v>11654</v>
      </c>
      <c r="N778">
        <v>0</v>
      </c>
    </row>
    <row r="779" spans="1:14" x14ac:dyDescent="0.3">
      <c r="A779" s="1" t="s">
        <v>824</v>
      </c>
      <c r="B779" s="1" t="s">
        <v>27</v>
      </c>
      <c r="C779">
        <v>45</v>
      </c>
      <c r="D779" s="1" t="s">
        <v>23</v>
      </c>
      <c r="E779" s="1" t="s">
        <v>38</v>
      </c>
      <c r="F779" s="1" t="s">
        <v>25</v>
      </c>
      <c r="G779" s="1" t="s">
        <v>19</v>
      </c>
      <c r="H779" s="1" t="s">
        <v>20</v>
      </c>
      <c r="I779" s="2">
        <v>45546</v>
      </c>
      <c r="J779">
        <v>1635</v>
      </c>
      <c r="K779" s="2">
        <v>45856</v>
      </c>
      <c r="L779">
        <v>23243</v>
      </c>
      <c r="M779">
        <v>24878</v>
      </c>
      <c r="N779">
        <v>0</v>
      </c>
    </row>
    <row r="780" spans="1:14" x14ac:dyDescent="0.3">
      <c r="A780" s="1" t="s">
        <v>825</v>
      </c>
      <c r="B780" s="1" t="s">
        <v>75</v>
      </c>
      <c r="C780">
        <v>54</v>
      </c>
      <c r="D780" s="1" t="s">
        <v>16</v>
      </c>
      <c r="E780" s="1" t="s">
        <v>17</v>
      </c>
      <c r="F780" s="1" t="s">
        <v>25</v>
      </c>
      <c r="G780" s="1" t="s">
        <v>19</v>
      </c>
      <c r="H780" s="1" t="s">
        <v>20</v>
      </c>
      <c r="I780" s="2">
        <v>44693</v>
      </c>
      <c r="J780">
        <v>12329</v>
      </c>
      <c r="K780" s="2">
        <v>45827</v>
      </c>
      <c r="L780">
        <v>-1109</v>
      </c>
      <c r="M780">
        <v>11220</v>
      </c>
      <c r="N780">
        <v>0</v>
      </c>
    </row>
    <row r="781" spans="1:14" x14ac:dyDescent="0.3">
      <c r="A781" s="1" t="s">
        <v>826</v>
      </c>
      <c r="B781" s="1" t="s">
        <v>22</v>
      </c>
      <c r="C781">
        <v>58</v>
      </c>
      <c r="D781" s="1" t="s">
        <v>16</v>
      </c>
      <c r="E781" s="1" t="s">
        <v>24</v>
      </c>
      <c r="F781" s="1" t="s">
        <v>25</v>
      </c>
      <c r="G781" s="1" t="s">
        <v>19</v>
      </c>
      <c r="H781" s="1" t="s">
        <v>20</v>
      </c>
      <c r="I781" s="2">
        <v>45050</v>
      </c>
      <c r="J781">
        <v>9585</v>
      </c>
      <c r="K781" s="2">
        <v>45845</v>
      </c>
      <c r="L781">
        <v>-5083</v>
      </c>
      <c r="M781">
        <v>4502</v>
      </c>
      <c r="N781">
        <v>0</v>
      </c>
    </row>
    <row r="782" spans="1:14" x14ac:dyDescent="0.3">
      <c r="A782" s="1" t="s">
        <v>827</v>
      </c>
      <c r="B782" s="1" t="s">
        <v>15</v>
      </c>
      <c r="C782">
        <v>53</v>
      </c>
      <c r="D782" s="1" t="s">
        <v>16</v>
      </c>
      <c r="E782" s="1" t="s">
        <v>17</v>
      </c>
      <c r="F782" s="1" t="s">
        <v>18</v>
      </c>
      <c r="G782" s="1" t="s">
        <v>19</v>
      </c>
      <c r="H782" s="1" t="s">
        <v>20</v>
      </c>
      <c r="I782" s="2">
        <v>45314</v>
      </c>
      <c r="J782">
        <v>25314</v>
      </c>
      <c r="K782" s="2">
        <v>45863</v>
      </c>
      <c r="L782">
        <v>-5420</v>
      </c>
      <c r="M782">
        <v>19894</v>
      </c>
      <c r="N782">
        <v>0</v>
      </c>
    </row>
    <row r="783" spans="1:14" x14ac:dyDescent="0.3">
      <c r="A783" s="1" t="s">
        <v>828</v>
      </c>
      <c r="B783" s="1" t="s">
        <v>59</v>
      </c>
      <c r="C783">
        <v>44</v>
      </c>
      <c r="D783" s="1" t="s">
        <v>16</v>
      </c>
      <c r="E783" s="1" t="s">
        <v>17</v>
      </c>
      <c r="F783" s="1" t="s">
        <v>18</v>
      </c>
      <c r="G783" s="1" t="s">
        <v>19</v>
      </c>
      <c r="H783" s="1" t="s">
        <v>20</v>
      </c>
      <c r="I783" s="2">
        <v>44240</v>
      </c>
      <c r="J783">
        <v>22880</v>
      </c>
      <c r="K783" s="2">
        <v>45805</v>
      </c>
      <c r="L783">
        <v>-6566</v>
      </c>
      <c r="M783">
        <v>16314</v>
      </c>
      <c r="N783">
        <v>0</v>
      </c>
    </row>
    <row r="784" spans="1:14" x14ac:dyDescent="0.3">
      <c r="A784" s="1" t="s">
        <v>829</v>
      </c>
      <c r="B784" s="1" t="s">
        <v>34</v>
      </c>
      <c r="C784">
        <v>34</v>
      </c>
      <c r="D784" s="1" t="s">
        <v>30</v>
      </c>
      <c r="E784" s="1" t="s">
        <v>38</v>
      </c>
      <c r="F784" s="1" t="s">
        <v>18</v>
      </c>
      <c r="G784" s="1" t="s">
        <v>19</v>
      </c>
      <c r="H784" s="1" t="s">
        <v>20</v>
      </c>
      <c r="I784" s="2">
        <v>44827</v>
      </c>
      <c r="J784">
        <v>38953</v>
      </c>
      <c r="K784" s="2">
        <v>45755</v>
      </c>
      <c r="L784">
        <v>19838</v>
      </c>
      <c r="M784">
        <v>58791</v>
      </c>
      <c r="N784">
        <v>0</v>
      </c>
    </row>
    <row r="785" spans="1:14" x14ac:dyDescent="0.3">
      <c r="A785" s="1" t="s">
        <v>830</v>
      </c>
      <c r="B785" s="1" t="s">
        <v>43</v>
      </c>
      <c r="C785">
        <v>26</v>
      </c>
      <c r="D785" s="1" t="s">
        <v>23</v>
      </c>
      <c r="E785" s="1" t="s">
        <v>24</v>
      </c>
      <c r="F785" s="1" t="s">
        <v>18</v>
      </c>
      <c r="G785" s="1" t="s">
        <v>19</v>
      </c>
      <c r="H785" s="1" t="s">
        <v>20</v>
      </c>
      <c r="I785" s="2">
        <v>45361</v>
      </c>
      <c r="J785">
        <v>40406</v>
      </c>
      <c r="K785" s="2">
        <v>45823</v>
      </c>
      <c r="L785">
        <v>-1696</v>
      </c>
      <c r="M785">
        <v>38710</v>
      </c>
      <c r="N785">
        <v>0</v>
      </c>
    </row>
    <row r="786" spans="1:14" x14ac:dyDescent="0.3">
      <c r="A786" s="1" t="s">
        <v>831</v>
      </c>
      <c r="B786" s="1" t="s">
        <v>69</v>
      </c>
      <c r="C786">
        <v>50</v>
      </c>
      <c r="D786" s="1" t="s">
        <v>16</v>
      </c>
      <c r="E786" s="1" t="s">
        <v>17</v>
      </c>
      <c r="F786" s="1" t="s">
        <v>25</v>
      </c>
      <c r="G786" s="1" t="s">
        <v>19</v>
      </c>
      <c r="H786" s="1" t="s">
        <v>20</v>
      </c>
      <c r="I786" s="2">
        <v>44619</v>
      </c>
      <c r="J786">
        <v>300000</v>
      </c>
      <c r="K786" s="2">
        <v>45857</v>
      </c>
      <c r="L786">
        <v>-13493</v>
      </c>
      <c r="M786">
        <v>286507</v>
      </c>
      <c r="N786">
        <v>0</v>
      </c>
    </row>
    <row r="787" spans="1:14" x14ac:dyDescent="0.3">
      <c r="A787" s="1" t="s">
        <v>832</v>
      </c>
      <c r="B787" s="1" t="s">
        <v>75</v>
      </c>
      <c r="C787">
        <v>37</v>
      </c>
      <c r="D787" s="1" t="s">
        <v>23</v>
      </c>
      <c r="E787" s="1" t="s">
        <v>17</v>
      </c>
      <c r="F787" s="1" t="s">
        <v>25</v>
      </c>
      <c r="G787" s="1" t="s">
        <v>19</v>
      </c>
      <c r="H787" s="1" t="s">
        <v>20</v>
      </c>
      <c r="I787" s="2">
        <v>45799</v>
      </c>
      <c r="J787">
        <v>22329</v>
      </c>
      <c r="K787" s="2">
        <v>45867</v>
      </c>
      <c r="L787">
        <v>32407</v>
      </c>
      <c r="M787">
        <v>54736</v>
      </c>
      <c r="N787">
        <v>0</v>
      </c>
    </row>
    <row r="788" spans="1:14" x14ac:dyDescent="0.3">
      <c r="A788" s="1" t="s">
        <v>833</v>
      </c>
      <c r="B788" s="1" t="s">
        <v>22</v>
      </c>
      <c r="C788">
        <v>30</v>
      </c>
      <c r="D788" s="1" t="s">
        <v>23</v>
      </c>
      <c r="E788" s="1" t="s">
        <v>35</v>
      </c>
      <c r="F788" s="1" t="s">
        <v>25</v>
      </c>
      <c r="G788" s="1" t="s">
        <v>19</v>
      </c>
      <c r="H788" s="1" t="s">
        <v>49</v>
      </c>
      <c r="I788" s="2">
        <v>44247</v>
      </c>
      <c r="J788">
        <v>5651</v>
      </c>
      <c r="K788" s="2">
        <v>45739</v>
      </c>
      <c r="L788">
        <v>25472</v>
      </c>
      <c r="M788">
        <v>31123</v>
      </c>
      <c r="N788">
        <v>0</v>
      </c>
    </row>
    <row r="789" spans="1:14" x14ac:dyDescent="0.3">
      <c r="A789" s="1" t="s">
        <v>834</v>
      </c>
      <c r="B789" s="1" t="s">
        <v>87</v>
      </c>
      <c r="C789">
        <v>45</v>
      </c>
      <c r="D789" s="1" t="s">
        <v>23</v>
      </c>
      <c r="E789" s="1" t="s">
        <v>17</v>
      </c>
      <c r="F789" s="1" t="s">
        <v>25</v>
      </c>
      <c r="G789" s="1" t="s">
        <v>19</v>
      </c>
      <c r="H789" s="1" t="s">
        <v>20</v>
      </c>
      <c r="I789" s="2">
        <v>45799</v>
      </c>
      <c r="J789">
        <v>30522</v>
      </c>
      <c r="K789" s="2">
        <v>45869</v>
      </c>
      <c r="L789">
        <v>10160</v>
      </c>
      <c r="M789">
        <v>40682</v>
      </c>
      <c r="N789">
        <v>0</v>
      </c>
    </row>
    <row r="790" spans="1:14" x14ac:dyDescent="0.3">
      <c r="A790" s="1" t="s">
        <v>835</v>
      </c>
      <c r="B790" s="1" t="s">
        <v>32</v>
      </c>
      <c r="C790">
        <v>65</v>
      </c>
      <c r="D790" s="1" t="s">
        <v>16</v>
      </c>
      <c r="E790" s="1" t="s">
        <v>24</v>
      </c>
      <c r="F790" s="1" t="s">
        <v>18</v>
      </c>
      <c r="G790" s="1" t="s">
        <v>41</v>
      </c>
      <c r="H790" s="1" t="s">
        <v>20</v>
      </c>
      <c r="I790" s="2">
        <v>44559</v>
      </c>
      <c r="J790">
        <v>66563</v>
      </c>
      <c r="K790" s="2">
        <v>45867</v>
      </c>
      <c r="L790">
        <v>-2122</v>
      </c>
      <c r="M790">
        <v>64441</v>
      </c>
      <c r="N790">
        <v>0</v>
      </c>
    </row>
    <row r="791" spans="1:14" x14ac:dyDescent="0.3">
      <c r="A791" s="1" t="s">
        <v>836</v>
      </c>
      <c r="B791" s="1" t="s">
        <v>79</v>
      </c>
      <c r="C791">
        <v>46</v>
      </c>
      <c r="D791" s="1" t="s">
        <v>30</v>
      </c>
      <c r="E791" s="1" t="s">
        <v>24</v>
      </c>
      <c r="F791" s="1" t="s">
        <v>18</v>
      </c>
      <c r="G791" s="1" t="s">
        <v>41</v>
      </c>
      <c r="H791" s="1" t="s">
        <v>49</v>
      </c>
      <c r="I791" s="2">
        <v>44278</v>
      </c>
      <c r="J791">
        <v>21480</v>
      </c>
      <c r="K791" s="2">
        <v>45782</v>
      </c>
      <c r="L791">
        <v>10644</v>
      </c>
      <c r="M791">
        <v>32124</v>
      </c>
      <c r="N791">
        <v>0</v>
      </c>
    </row>
    <row r="792" spans="1:14" x14ac:dyDescent="0.3">
      <c r="A792" s="1" t="s">
        <v>837</v>
      </c>
      <c r="B792" s="1" t="s">
        <v>61</v>
      </c>
      <c r="C792">
        <v>30</v>
      </c>
      <c r="D792" s="1" t="s">
        <v>23</v>
      </c>
      <c r="E792" s="1" t="s">
        <v>17</v>
      </c>
      <c r="F792" s="1" t="s">
        <v>18</v>
      </c>
      <c r="G792" s="1" t="s">
        <v>19</v>
      </c>
      <c r="H792" s="1" t="s">
        <v>20</v>
      </c>
      <c r="I792" s="2">
        <v>44686</v>
      </c>
      <c r="J792">
        <v>1597</v>
      </c>
      <c r="K792" s="2">
        <v>45773</v>
      </c>
      <c r="L792">
        <v>25260</v>
      </c>
      <c r="M792">
        <v>26857</v>
      </c>
      <c r="N792">
        <v>0</v>
      </c>
    </row>
    <row r="793" spans="1:14" x14ac:dyDescent="0.3">
      <c r="A793" s="1" t="s">
        <v>838</v>
      </c>
      <c r="B793" s="1" t="s">
        <v>79</v>
      </c>
      <c r="C793">
        <v>63</v>
      </c>
      <c r="D793" s="1" t="s">
        <v>23</v>
      </c>
      <c r="E793" s="1" t="s">
        <v>17</v>
      </c>
      <c r="F793" s="1" t="s">
        <v>25</v>
      </c>
      <c r="G793" s="1" t="s">
        <v>19</v>
      </c>
      <c r="H793" s="1" t="s">
        <v>20</v>
      </c>
      <c r="I793" s="2">
        <v>45512</v>
      </c>
      <c r="J793">
        <v>23280</v>
      </c>
      <c r="K793" s="2">
        <v>45862</v>
      </c>
      <c r="L793">
        <v>36180</v>
      </c>
      <c r="M793">
        <v>59460</v>
      </c>
      <c r="N793">
        <v>0</v>
      </c>
    </row>
    <row r="794" spans="1:14" x14ac:dyDescent="0.3">
      <c r="A794" s="1" t="s">
        <v>839</v>
      </c>
      <c r="B794" s="1" t="s">
        <v>64</v>
      </c>
      <c r="C794">
        <v>52</v>
      </c>
      <c r="D794" s="1" t="s">
        <v>16</v>
      </c>
      <c r="E794" s="1" t="s">
        <v>24</v>
      </c>
      <c r="F794" s="1" t="s">
        <v>25</v>
      </c>
      <c r="G794" s="1" t="s">
        <v>19</v>
      </c>
      <c r="H794" s="1" t="s">
        <v>20</v>
      </c>
      <c r="I794" s="2">
        <v>45455</v>
      </c>
      <c r="J794">
        <v>7116</v>
      </c>
      <c r="K794" s="2">
        <v>45837</v>
      </c>
      <c r="L794">
        <v>17661</v>
      </c>
      <c r="M794">
        <v>24777</v>
      </c>
      <c r="N794">
        <v>0</v>
      </c>
    </row>
    <row r="795" spans="1:14" x14ac:dyDescent="0.3">
      <c r="A795" s="1" t="s">
        <v>840</v>
      </c>
      <c r="B795" s="1" t="s">
        <v>22</v>
      </c>
      <c r="C795">
        <v>23</v>
      </c>
      <c r="D795" s="1" t="s">
        <v>23</v>
      </c>
      <c r="E795" s="1" t="s">
        <v>38</v>
      </c>
      <c r="F795" s="1" t="s">
        <v>18</v>
      </c>
      <c r="G795" s="1" t="s">
        <v>19</v>
      </c>
      <c r="H795" s="1" t="s">
        <v>20</v>
      </c>
      <c r="I795" s="2">
        <v>44546</v>
      </c>
      <c r="J795">
        <v>3562</v>
      </c>
      <c r="K795" s="2">
        <v>45848</v>
      </c>
      <c r="L795">
        <v>6379</v>
      </c>
      <c r="M795">
        <v>9941</v>
      </c>
      <c r="N795">
        <v>0</v>
      </c>
    </row>
    <row r="796" spans="1:14" x14ac:dyDescent="0.3">
      <c r="A796" s="1" t="s">
        <v>841</v>
      </c>
      <c r="B796" s="1" t="s">
        <v>52</v>
      </c>
      <c r="C796">
        <v>35</v>
      </c>
      <c r="D796" s="1" t="s">
        <v>23</v>
      </c>
      <c r="E796" s="1" t="s">
        <v>24</v>
      </c>
      <c r="F796" s="1" t="s">
        <v>18</v>
      </c>
      <c r="G796" s="1" t="s">
        <v>19</v>
      </c>
      <c r="H796" s="1" t="s">
        <v>20</v>
      </c>
      <c r="I796" s="2">
        <v>44526</v>
      </c>
      <c r="J796">
        <v>16102</v>
      </c>
      <c r="K796" s="2">
        <v>45777</v>
      </c>
      <c r="L796">
        <v>7443</v>
      </c>
      <c r="M796">
        <v>23545</v>
      </c>
      <c r="N796">
        <v>0</v>
      </c>
    </row>
    <row r="797" spans="1:14" x14ac:dyDescent="0.3">
      <c r="A797" s="1" t="s">
        <v>842</v>
      </c>
      <c r="B797" s="1" t="s">
        <v>15</v>
      </c>
      <c r="C797">
        <v>68</v>
      </c>
      <c r="D797" s="1" t="s">
        <v>16</v>
      </c>
      <c r="E797" s="1" t="s">
        <v>24</v>
      </c>
      <c r="F797" s="1" t="s">
        <v>18</v>
      </c>
      <c r="G797" s="1" t="s">
        <v>19</v>
      </c>
      <c r="H797" s="1" t="s">
        <v>49</v>
      </c>
      <c r="I797" s="2">
        <v>45272</v>
      </c>
      <c r="J797">
        <v>2905</v>
      </c>
      <c r="K797" s="2">
        <v>45843</v>
      </c>
      <c r="L797">
        <v>-4362</v>
      </c>
      <c r="M797">
        <v>-1457</v>
      </c>
      <c r="N797">
        <v>0</v>
      </c>
    </row>
    <row r="798" spans="1:14" x14ac:dyDescent="0.3">
      <c r="A798" s="1" t="s">
        <v>843</v>
      </c>
      <c r="B798" s="1" t="s">
        <v>69</v>
      </c>
      <c r="C798">
        <v>22</v>
      </c>
      <c r="D798" s="1" t="s">
        <v>16</v>
      </c>
      <c r="E798" s="1" t="s">
        <v>35</v>
      </c>
      <c r="F798" s="1" t="s">
        <v>18</v>
      </c>
      <c r="G798" s="1" t="s">
        <v>41</v>
      </c>
      <c r="H798" s="1" t="s">
        <v>20</v>
      </c>
      <c r="I798" s="2">
        <v>44963</v>
      </c>
      <c r="J798">
        <v>37166</v>
      </c>
      <c r="K798" s="2">
        <v>45854</v>
      </c>
      <c r="L798">
        <v>-1829</v>
      </c>
      <c r="M798">
        <v>35337</v>
      </c>
      <c r="N798">
        <v>0</v>
      </c>
    </row>
    <row r="799" spans="1:14" x14ac:dyDescent="0.3">
      <c r="A799" s="1" t="s">
        <v>844</v>
      </c>
      <c r="B799" s="1" t="s">
        <v>22</v>
      </c>
      <c r="C799">
        <v>64</v>
      </c>
      <c r="D799" s="1" t="s">
        <v>30</v>
      </c>
      <c r="E799" s="1" t="s">
        <v>38</v>
      </c>
      <c r="F799" s="1" t="s">
        <v>18</v>
      </c>
      <c r="G799" s="1" t="s">
        <v>41</v>
      </c>
      <c r="H799" s="1" t="s">
        <v>20</v>
      </c>
      <c r="I799" s="2">
        <v>45522</v>
      </c>
      <c r="J799">
        <v>27747</v>
      </c>
      <c r="K799" s="2">
        <v>45855</v>
      </c>
      <c r="L799">
        <v>1327</v>
      </c>
      <c r="M799">
        <v>29074</v>
      </c>
      <c r="N799">
        <v>0</v>
      </c>
    </row>
    <row r="800" spans="1:14" x14ac:dyDescent="0.3">
      <c r="A800" s="1" t="s">
        <v>845</v>
      </c>
      <c r="B800" s="1" t="s">
        <v>71</v>
      </c>
      <c r="C800">
        <v>42</v>
      </c>
      <c r="D800" s="1" t="s">
        <v>23</v>
      </c>
      <c r="E800" s="1" t="s">
        <v>24</v>
      </c>
      <c r="F800" s="1" t="s">
        <v>18</v>
      </c>
      <c r="G800" s="1" t="s">
        <v>19</v>
      </c>
      <c r="H800" s="1" t="s">
        <v>20</v>
      </c>
      <c r="I800" s="2">
        <v>44237</v>
      </c>
      <c r="J800">
        <v>12251</v>
      </c>
      <c r="K800" s="2">
        <v>45859</v>
      </c>
      <c r="L800">
        <v>3337</v>
      </c>
      <c r="M800">
        <v>15588</v>
      </c>
      <c r="N800">
        <v>0</v>
      </c>
    </row>
    <row r="801" spans="1:14" x14ac:dyDescent="0.3">
      <c r="A801" s="1" t="s">
        <v>846</v>
      </c>
      <c r="B801" s="1" t="s">
        <v>71</v>
      </c>
      <c r="C801">
        <v>19</v>
      </c>
      <c r="D801" s="1" t="s">
        <v>23</v>
      </c>
      <c r="E801" s="1" t="s">
        <v>24</v>
      </c>
      <c r="F801" s="1" t="s">
        <v>18</v>
      </c>
      <c r="G801" s="1" t="s">
        <v>19</v>
      </c>
      <c r="H801" s="1" t="s">
        <v>20</v>
      </c>
      <c r="I801" s="2">
        <v>45218</v>
      </c>
      <c r="J801">
        <v>7707</v>
      </c>
      <c r="K801" s="2">
        <v>45865</v>
      </c>
      <c r="L801">
        <v>-3625</v>
      </c>
      <c r="M801">
        <v>4082</v>
      </c>
      <c r="N801">
        <v>0</v>
      </c>
    </row>
    <row r="802" spans="1:14" x14ac:dyDescent="0.3">
      <c r="A802" s="1" t="s">
        <v>847</v>
      </c>
      <c r="B802" s="1" t="s">
        <v>71</v>
      </c>
      <c r="C802">
        <v>27</v>
      </c>
      <c r="D802" s="1" t="s">
        <v>16</v>
      </c>
      <c r="E802" s="1" t="s">
        <v>24</v>
      </c>
      <c r="F802" s="1" t="s">
        <v>25</v>
      </c>
      <c r="G802" s="1" t="s">
        <v>19</v>
      </c>
      <c r="H802" s="1" t="s">
        <v>20</v>
      </c>
      <c r="I802" s="2">
        <v>45419</v>
      </c>
      <c r="J802">
        <v>11113</v>
      </c>
      <c r="K802" s="2">
        <v>45865</v>
      </c>
      <c r="L802">
        <v>800</v>
      </c>
      <c r="M802">
        <v>11913</v>
      </c>
      <c r="N802">
        <v>0</v>
      </c>
    </row>
    <row r="803" spans="1:14" x14ac:dyDescent="0.3">
      <c r="A803" s="1" t="s">
        <v>848</v>
      </c>
      <c r="B803" s="1" t="s">
        <v>56</v>
      </c>
      <c r="C803">
        <v>47</v>
      </c>
      <c r="D803" s="1" t="s">
        <v>16</v>
      </c>
      <c r="E803" s="1" t="s">
        <v>38</v>
      </c>
      <c r="F803" s="1" t="s">
        <v>18</v>
      </c>
      <c r="G803" s="1" t="s">
        <v>19</v>
      </c>
      <c r="H803" s="1" t="s">
        <v>20</v>
      </c>
      <c r="I803" s="2">
        <v>45858</v>
      </c>
      <c r="J803">
        <v>4861</v>
      </c>
      <c r="K803" s="2">
        <v>45869</v>
      </c>
      <c r="L803">
        <v>5152</v>
      </c>
      <c r="M803">
        <v>10013</v>
      </c>
      <c r="N803">
        <v>0</v>
      </c>
    </row>
    <row r="804" spans="1:14" x14ac:dyDescent="0.3">
      <c r="A804" s="1" t="s">
        <v>849</v>
      </c>
      <c r="B804" s="1" t="s">
        <v>56</v>
      </c>
      <c r="C804">
        <v>67</v>
      </c>
      <c r="D804" s="1" t="s">
        <v>16</v>
      </c>
      <c r="E804" s="1" t="s">
        <v>24</v>
      </c>
      <c r="F804" s="1" t="s">
        <v>18</v>
      </c>
      <c r="G804" s="1" t="s">
        <v>19</v>
      </c>
      <c r="H804" s="1" t="s">
        <v>20</v>
      </c>
      <c r="I804" s="2">
        <v>45332</v>
      </c>
      <c r="J804">
        <v>12369</v>
      </c>
      <c r="K804" s="2">
        <v>45824</v>
      </c>
      <c r="L804">
        <v>29661</v>
      </c>
      <c r="M804">
        <v>42030</v>
      </c>
      <c r="N804">
        <v>0</v>
      </c>
    </row>
    <row r="805" spans="1:14" x14ac:dyDescent="0.3">
      <c r="A805" s="1" t="s">
        <v>850</v>
      </c>
      <c r="B805" s="1" t="s">
        <v>27</v>
      </c>
      <c r="C805">
        <v>62</v>
      </c>
      <c r="D805" s="1" t="s">
        <v>16</v>
      </c>
      <c r="E805" s="1" t="s">
        <v>24</v>
      </c>
      <c r="F805" s="1" t="s">
        <v>18</v>
      </c>
      <c r="G805" s="1" t="s">
        <v>19</v>
      </c>
      <c r="H805" s="1" t="s">
        <v>20</v>
      </c>
      <c r="I805" s="2">
        <v>44584</v>
      </c>
      <c r="J805">
        <v>777</v>
      </c>
      <c r="K805" s="2">
        <v>45732</v>
      </c>
      <c r="L805">
        <v>27954</v>
      </c>
      <c r="M805">
        <v>28731</v>
      </c>
      <c r="N805">
        <v>0</v>
      </c>
    </row>
    <row r="806" spans="1:14" x14ac:dyDescent="0.3">
      <c r="A806" s="1" t="s">
        <v>851</v>
      </c>
      <c r="B806" s="1" t="s">
        <v>52</v>
      </c>
      <c r="C806">
        <v>22</v>
      </c>
      <c r="D806" s="1" t="s">
        <v>23</v>
      </c>
      <c r="E806" s="1" t="s">
        <v>17</v>
      </c>
      <c r="F806" s="1" t="s">
        <v>18</v>
      </c>
      <c r="G806" s="1" t="s">
        <v>19</v>
      </c>
      <c r="H806" s="1" t="s">
        <v>20</v>
      </c>
      <c r="I806" s="2">
        <v>44377</v>
      </c>
      <c r="J806">
        <v>14599</v>
      </c>
      <c r="K806" s="2">
        <v>45854</v>
      </c>
      <c r="L806">
        <v>14524</v>
      </c>
      <c r="M806">
        <v>29123</v>
      </c>
      <c r="N806">
        <v>0</v>
      </c>
    </row>
    <row r="807" spans="1:14" x14ac:dyDescent="0.3">
      <c r="A807" s="1" t="s">
        <v>852</v>
      </c>
      <c r="B807" s="1" t="s">
        <v>43</v>
      </c>
      <c r="C807">
        <v>50</v>
      </c>
      <c r="D807" s="1" t="s">
        <v>16</v>
      </c>
      <c r="E807" s="1" t="s">
        <v>24</v>
      </c>
      <c r="F807" s="1" t="s">
        <v>18</v>
      </c>
      <c r="G807" s="1" t="s">
        <v>19</v>
      </c>
      <c r="H807" s="1" t="s">
        <v>20</v>
      </c>
      <c r="I807" s="2">
        <v>45269</v>
      </c>
      <c r="J807">
        <v>14976</v>
      </c>
      <c r="K807" s="2">
        <v>45856</v>
      </c>
      <c r="L807">
        <v>22218</v>
      </c>
      <c r="M807">
        <v>37194</v>
      </c>
      <c r="N807">
        <v>0</v>
      </c>
    </row>
    <row r="808" spans="1:14" x14ac:dyDescent="0.3">
      <c r="A808" s="1" t="s">
        <v>853</v>
      </c>
      <c r="B808" s="1" t="s">
        <v>27</v>
      </c>
      <c r="C808">
        <v>18</v>
      </c>
      <c r="D808" s="1" t="s">
        <v>23</v>
      </c>
      <c r="E808" s="1" t="s">
        <v>24</v>
      </c>
      <c r="F808" s="1" t="s">
        <v>18</v>
      </c>
      <c r="G808" s="1" t="s">
        <v>19</v>
      </c>
      <c r="H808" s="1" t="s">
        <v>20</v>
      </c>
      <c r="I808" s="2">
        <v>45072</v>
      </c>
      <c r="J808">
        <v>31106</v>
      </c>
      <c r="K808" s="2">
        <v>45831</v>
      </c>
      <c r="L808">
        <v>9953</v>
      </c>
      <c r="M808">
        <v>41059</v>
      </c>
      <c r="N808">
        <v>0</v>
      </c>
    </row>
    <row r="809" spans="1:14" x14ac:dyDescent="0.3">
      <c r="A809" s="1" t="s">
        <v>854</v>
      </c>
      <c r="B809" s="1" t="s">
        <v>43</v>
      </c>
      <c r="C809">
        <v>35</v>
      </c>
      <c r="D809" s="1" t="s">
        <v>23</v>
      </c>
      <c r="E809" s="1" t="s">
        <v>17</v>
      </c>
      <c r="F809" s="1" t="s">
        <v>18</v>
      </c>
      <c r="G809" s="1" t="s">
        <v>41</v>
      </c>
      <c r="H809" s="1" t="s">
        <v>20</v>
      </c>
      <c r="I809" s="2">
        <v>45701</v>
      </c>
      <c r="J809">
        <v>18030</v>
      </c>
      <c r="K809" s="2">
        <v>45852</v>
      </c>
      <c r="L809">
        <v>42919</v>
      </c>
      <c r="M809">
        <v>60949</v>
      </c>
      <c r="N809">
        <v>0</v>
      </c>
    </row>
    <row r="810" spans="1:14" x14ac:dyDescent="0.3">
      <c r="A810" s="1" t="s">
        <v>855</v>
      </c>
      <c r="B810" s="1" t="s">
        <v>56</v>
      </c>
      <c r="C810">
        <v>49</v>
      </c>
      <c r="D810" s="1" t="s">
        <v>16</v>
      </c>
      <c r="E810" s="1" t="s">
        <v>17</v>
      </c>
      <c r="F810" s="1" t="s">
        <v>18</v>
      </c>
      <c r="G810" s="1" t="s">
        <v>19</v>
      </c>
      <c r="H810" s="1" t="s">
        <v>20</v>
      </c>
      <c r="I810" s="2">
        <v>45412</v>
      </c>
      <c r="J810">
        <v>35502</v>
      </c>
      <c r="K810" s="2">
        <v>45867</v>
      </c>
      <c r="L810">
        <v>9157</v>
      </c>
      <c r="M810">
        <v>44659</v>
      </c>
      <c r="N810">
        <v>0</v>
      </c>
    </row>
    <row r="811" spans="1:14" x14ac:dyDescent="0.3">
      <c r="A811" s="1" t="s">
        <v>856</v>
      </c>
      <c r="B811" s="1" t="s">
        <v>56</v>
      </c>
      <c r="C811">
        <v>64</v>
      </c>
      <c r="D811" s="1" t="s">
        <v>23</v>
      </c>
      <c r="E811" s="1" t="s">
        <v>24</v>
      </c>
      <c r="F811" s="1" t="s">
        <v>25</v>
      </c>
      <c r="G811" s="1" t="s">
        <v>19</v>
      </c>
      <c r="H811" s="1" t="s">
        <v>20</v>
      </c>
      <c r="I811" s="2">
        <v>45049</v>
      </c>
      <c r="J811">
        <v>23087</v>
      </c>
      <c r="K811" s="2">
        <v>45849</v>
      </c>
      <c r="L811">
        <v>3261</v>
      </c>
      <c r="M811">
        <v>26348</v>
      </c>
      <c r="N811">
        <v>0</v>
      </c>
    </row>
    <row r="812" spans="1:14" x14ac:dyDescent="0.3">
      <c r="A812" s="1" t="s">
        <v>857</v>
      </c>
      <c r="B812" s="1" t="s">
        <v>71</v>
      </c>
      <c r="C812">
        <v>66</v>
      </c>
      <c r="D812" s="1" t="s">
        <v>23</v>
      </c>
      <c r="E812" s="1" t="s">
        <v>24</v>
      </c>
      <c r="F812" s="1" t="s">
        <v>18</v>
      </c>
      <c r="G812" s="1" t="s">
        <v>19</v>
      </c>
      <c r="H812" s="1" t="s">
        <v>20</v>
      </c>
      <c r="I812" s="2">
        <v>44872</v>
      </c>
      <c r="J812">
        <v>37666</v>
      </c>
      <c r="K812" s="2">
        <v>45860</v>
      </c>
      <c r="L812">
        <v>-8202</v>
      </c>
      <c r="M812">
        <v>29464</v>
      </c>
      <c r="N812">
        <v>0</v>
      </c>
    </row>
    <row r="813" spans="1:14" x14ac:dyDescent="0.3">
      <c r="A813" s="1" t="s">
        <v>858</v>
      </c>
      <c r="B813" s="1" t="s">
        <v>15</v>
      </c>
      <c r="C813">
        <v>28</v>
      </c>
      <c r="D813" s="1" t="s">
        <v>16</v>
      </c>
      <c r="E813" s="1" t="s">
        <v>24</v>
      </c>
      <c r="F813" s="1" t="s">
        <v>25</v>
      </c>
      <c r="G813" s="1" t="s">
        <v>19</v>
      </c>
      <c r="H813" s="1" t="s">
        <v>20</v>
      </c>
      <c r="I813" s="2">
        <v>44873</v>
      </c>
      <c r="J813">
        <v>183767</v>
      </c>
      <c r="K813" s="2">
        <v>45864</v>
      </c>
      <c r="L813">
        <v>22676</v>
      </c>
      <c r="M813">
        <v>206443</v>
      </c>
      <c r="N813">
        <v>0</v>
      </c>
    </row>
    <row r="814" spans="1:14" x14ac:dyDescent="0.3">
      <c r="A814" s="1" t="s">
        <v>859</v>
      </c>
      <c r="B814" s="1" t="s">
        <v>59</v>
      </c>
      <c r="C814">
        <v>38</v>
      </c>
      <c r="D814" s="1" t="s">
        <v>16</v>
      </c>
      <c r="E814" s="1" t="s">
        <v>24</v>
      </c>
      <c r="F814" s="1" t="s">
        <v>18</v>
      </c>
      <c r="G814" s="1" t="s">
        <v>19</v>
      </c>
      <c r="H814" s="1" t="s">
        <v>20</v>
      </c>
      <c r="I814" s="2">
        <v>44575</v>
      </c>
      <c r="J814">
        <v>20333</v>
      </c>
      <c r="K814" s="2">
        <v>45849</v>
      </c>
      <c r="L814">
        <v>18113</v>
      </c>
      <c r="M814">
        <v>38446</v>
      </c>
      <c r="N814">
        <v>0</v>
      </c>
    </row>
    <row r="815" spans="1:14" x14ac:dyDescent="0.3">
      <c r="A815" s="1" t="s">
        <v>860</v>
      </c>
      <c r="B815" s="1" t="s">
        <v>43</v>
      </c>
      <c r="C815">
        <v>43</v>
      </c>
      <c r="D815" s="1" t="s">
        <v>16</v>
      </c>
      <c r="E815" s="1" t="s">
        <v>24</v>
      </c>
      <c r="F815" s="1" t="s">
        <v>18</v>
      </c>
      <c r="G815" s="1" t="s">
        <v>19</v>
      </c>
      <c r="H815" s="1" t="s">
        <v>20</v>
      </c>
      <c r="I815" s="2">
        <v>44225</v>
      </c>
      <c r="J815">
        <v>16059</v>
      </c>
      <c r="K815" s="2">
        <v>45679</v>
      </c>
      <c r="L815">
        <v>-657</v>
      </c>
      <c r="M815">
        <v>15402</v>
      </c>
      <c r="N815">
        <v>1</v>
      </c>
    </row>
    <row r="816" spans="1:14" x14ac:dyDescent="0.3">
      <c r="A816" s="1" t="s">
        <v>861</v>
      </c>
      <c r="B816" s="1" t="s">
        <v>64</v>
      </c>
      <c r="C816">
        <v>42</v>
      </c>
      <c r="D816" s="1" t="s">
        <v>23</v>
      </c>
      <c r="E816" s="1" t="s">
        <v>17</v>
      </c>
      <c r="F816" s="1" t="s">
        <v>18</v>
      </c>
      <c r="G816" s="1" t="s">
        <v>41</v>
      </c>
      <c r="H816" s="1" t="s">
        <v>20</v>
      </c>
      <c r="I816" s="2">
        <v>45158</v>
      </c>
      <c r="J816">
        <v>43785</v>
      </c>
      <c r="K816" s="2">
        <v>45866</v>
      </c>
      <c r="L816">
        <v>49071</v>
      </c>
      <c r="M816">
        <v>92856</v>
      </c>
      <c r="N816">
        <v>0</v>
      </c>
    </row>
    <row r="817" spans="1:14" x14ac:dyDescent="0.3">
      <c r="A817" s="1" t="s">
        <v>862</v>
      </c>
      <c r="B817" s="1" t="s">
        <v>48</v>
      </c>
      <c r="C817">
        <v>39</v>
      </c>
      <c r="D817" s="1" t="s">
        <v>16</v>
      </c>
      <c r="E817" s="1" t="s">
        <v>38</v>
      </c>
      <c r="F817" s="1" t="s">
        <v>18</v>
      </c>
      <c r="G817" s="1" t="s">
        <v>19</v>
      </c>
      <c r="H817" s="1" t="s">
        <v>20</v>
      </c>
      <c r="I817" s="2">
        <v>44552</v>
      </c>
      <c r="J817">
        <v>8365</v>
      </c>
      <c r="K817" s="2">
        <v>45858</v>
      </c>
      <c r="L817">
        <v>25552</v>
      </c>
      <c r="M817">
        <v>33917</v>
      </c>
      <c r="N817">
        <v>0</v>
      </c>
    </row>
    <row r="818" spans="1:14" x14ac:dyDescent="0.3">
      <c r="A818" s="1" t="s">
        <v>863</v>
      </c>
      <c r="B818" s="1" t="s">
        <v>61</v>
      </c>
      <c r="C818">
        <v>44</v>
      </c>
      <c r="D818" s="1" t="s">
        <v>23</v>
      </c>
      <c r="E818" s="1" t="s">
        <v>38</v>
      </c>
      <c r="F818" s="1" t="s">
        <v>25</v>
      </c>
      <c r="G818" s="1" t="s">
        <v>19</v>
      </c>
      <c r="H818" s="1" t="s">
        <v>20</v>
      </c>
      <c r="I818" s="2">
        <v>44545</v>
      </c>
      <c r="J818">
        <v>11859</v>
      </c>
      <c r="K818" s="2">
        <v>45830</v>
      </c>
      <c r="L818">
        <v>-2246</v>
      </c>
      <c r="M818">
        <v>9613</v>
      </c>
      <c r="N818">
        <v>0</v>
      </c>
    </row>
    <row r="819" spans="1:14" x14ac:dyDescent="0.3">
      <c r="A819" s="1" t="s">
        <v>864</v>
      </c>
      <c r="B819" s="1" t="s">
        <v>59</v>
      </c>
      <c r="C819">
        <v>66</v>
      </c>
      <c r="D819" s="1" t="s">
        <v>23</v>
      </c>
      <c r="E819" s="1" t="s">
        <v>38</v>
      </c>
      <c r="F819" s="1" t="s">
        <v>25</v>
      </c>
      <c r="G819" s="1" t="s">
        <v>19</v>
      </c>
      <c r="H819" s="1" t="s">
        <v>20</v>
      </c>
      <c r="I819" s="2">
        <v>44406</v>
      </c>
      <c r="J819">
        <v>20353</v>
      </c>
      <c r="K819" s="2">
        <v>45807</v>
      </c>
      <c r="L819">
        <v>34412</v>
      </c>
      <c r="M819">
        <v>54765</v>
      </c>
      <c r="N819">
        <v>0</v>
      </c>
    </row>
    <row r="820" spans="1:14" x14ac:dyDescent="0.3">
      <c r="A820" s="1" t="s">
        <v>865</v>
      </c>
      <c r="B820" s="1" t="s">
        <v>79</v>
      </c>
      <c r="C820">
        <v>30</v>
      </c>
      <c r="D820" s="1" t="s">
        <v>30</v>
      </c>
      <c r="E820" s="1" t="s">
        <v>24</v>
      </c>
      <c r="F820" s="1" t="s">
        <v>25</v>
      </c>
      <c r="G820" s="1" t="s">
        <v>41</v>
      </c>
      <c r="H820" s="1" t="s">
        <v>20</v>
      </c>
      <c r="I820" s="2">
        <v>44514</v>
      </c>
      <c r="J820">
        <v>14363</v>
      </c>
      <c r="K820" s="2">
        <v>45773</v>
      </c>
      <c r="L820">
        <v>-2216</v>
      </c>
      <c r="M820">
        <v>12147</v>
      </c>
      <c r="N820">
        <v>0</v>
      </c>
    </row>
    <row r="821" spans="1:14" x14ac:dyDescent="0.3">
      <c r="A821" s="1" t="s">
        <v>866</v>
      </c>
      <c r="B821" s="1" t="s">
        <v>40</v>
      </c>
      <c r="C821">
        <v>50</v>
      </c>
      <c r="D821" s="1" t="s">
        <v>16</v>
      </c>
      <c r="E821" s="1" t="s">
        <v>24</v>
      </c>
      <c r="F821" s="1" t="s">
        <v>25</v>
      </c>
      <c r="G821" s="1" t="s">
        <v>19</v>
      </c>
      <c r="H821" s="1" t="s">
        <v>20</v>
      </c>
      <c r="I821" s="2">
        <v>44250</v>
      </c>
      <c r="J821">
        <v>14299</v>
      </c>
      <c r="K821" s="2">
        <v>45857</v>
      </c>
      <c r="L821">
        <v>10449</v>
      </c>
      <c r="M821">
        <v>24748</v>
      </c>
      <c r="N821">
        <v>0</v>
      </c>
    </row>
    <row r="822" spans="1:14" x14ac:dyDescent="0.3">
      <c r="A822" s="1" t="s">
        <v>867</v>
      </c>
      <c r="B822" s="1" t="s">
        <v>15</v>
      </c>
      <c r="C822">
        <v>51</v>
      </c>
      <c r="D822" s="1" t="s">
        <v>16</v>
      </c>
      <c r="E822" s="1" t="s">
        <v>17</v>
      </c>
      <c r="F822" s="1" t="s">
        <v>25</v>
      </c>
      <c r="G822" s="1" t="s">
        <v>19</v>
      </c>
      <c r="H822" s="1" t="s">
        <v>20</v>
      </c>
      <c r="I822" s="2">
        <v>45324</v>
      </c>
      <c r="J822">
        <v>32852</v>
      </c>
      <c r="K822" s="2">
        <v>45850</v>
      </c>
      <c r="L822">
        <v>9765</v>
      </c>
      <c r="M822">
        <v>42617</v>
      </c>
      <c r="N822">
        <v>0</v>
      </c>
    </row>
    <row r="823" spans="1:14" x14ac:dyDescent="0.3">
      <c r="A823" s="1" t="s">
        <v>868</v>
      </c>
      <c r="B823" s="1" t="s">
        <v>75</v>
      </c>
      <c r="C823">
        <v>58</v>
      </c>
      <c r="D823" s="1" t="s">
        <v>23</v>
      </c>
      <c r="E823" s="1" t="s">
        <v>24</v>
      </c>
      <c r="F823" s="1" t="s">
        <v>18</v>
      </c>
      <c r="G823" s="1" t="s">
        <v>19</v>
      </c>
      <c r="H823" s="1" t="s">
        <v>20</v>
      </c>
      <c r="I823" s="2">
        <v>44868</v>
      </c>
      <c r="J823">
        <v>2450</v>
      </c>
      <c r="K823" s="2">
        <v>45772</v>
      </c>
      <c r="L823">
        <v>21217</v>
      </c>
      <c r="M823">
        <v>23667</v>
      </c>
      <c r="N823">
        <v>0</v>
      </c>
    </row>
    <row r="824" spans="1:14" x14ac:dyDescent="0.3">
      <c r="A824" s="1" t="s">
        <v>869</v>
      </c>
      <c r="B824" s="1" t="s">
        <v>52</v>
      </c>
      <c r="C824">
        <v>52</v>
      </c>
      <c r="D824" s="1" t="s">
        <v>16</v>
      </c>
      <c r="E824" s="1" t="s">
        <v>17</v>
      </c>
      <c r="F824" s="1" t="s">
        <v>18</v>
      </c>
      <c r="G824" s="1" t="s">
        <v>19</v>
      </c>
      <c r="H824" s="1" t="s">
        <v>20</v>
      </c>
      <c r="I824" s="2">
        <v>45136</v>
      </c>
      <c r="J824">
        <v>102075</v>
      </c>
      <c r="K824" s="2">
        <v>45851</v>
      </c>
      <c r="L824">
        <v>8736</v>
      </c>
      <c r="M824">
        <v>110811</v>
      </c>
      <c r="N824">
        <v>0</v>
      </c>
    </row>
    <row r="825" spans="1:14" x14ac:dyDescent="0.3">
      <c r="A825" s="1" t="s">
        <v>870</v>
      </c>
      <c r="B825" s="1" t="s">
        <v>15</v>
      </c>
      <c r="C825">
        <v>18</v>
      </c>
      <c r="D825" s="1" t="s">
        <v>16</v>
      </c>
      <c r="E825" s="1" t="s">
        <v>35</v>
      </c>
      <c r="F825" s="1" t="s">
        <v>25</v>
      </c>
      <c r="G825" s="1" t="s">
        <v>19</v>
      </c>
      <c r="H825" s="1" t="s">
        <v>20</v>
      </c>
      <c r="I825" s="2">
        <v>45262</v>
      </c>
      <c r="J825">
        <v>21718</v>
      </c>
      <c r="K825" s="2">
        <v>45868</v>
      </c>
      <c r="L825">
        <v>10383</v>
      </c>
      <c r="M825">
        <v>32101</v>
      </c>
      <c r="N825">
        <v>0</v>
      </c>
    </row>
    <row r="826" spans="1:14" x14ac:dyDescent="0.3">
      <c r="A826" s="1" t="s">
        <v>871</v>
      </c>
      <c r="B826" s="1" t="s">
        <v>61</v>
      </c>
      <c r="C826">
        <v>38</v>
      </c>
      <c r="D826" s="1" t="s">
        <v>16</v>
      </c>
      <c r="E826" s="1" t="s">
        <v>17</v>
      </c>
      <c r="F826" s="1" t="s">
        <v>25</v>
      </c>
      <c r="G826" s="1" t="s">
        <v>19</v>
      </c>
      <c r="H826" s="1" t="s">
        <v>20</v>
      </c>
      <c r="I826" s="2">
        <v>45823</v>
      </c>
      <c r="J826">
        <v>8953</v>
      </c>
      <c r="K826" s="2">
        <v>45868</v>
      </c>
      <c r="L826">
        <v>12940</v>
      </c>
      <c r="M826">
        <v>21893</v>
      </c>
      <c r="N826">
        <v>0</v>
      </c>
    </row>
    <row r="827" spans="1:14" x14ac:dyDescent="0.3">
      <c r="A827" s="1" t="s">
        <v>872</v>
      </c>
      <c r="B827" s="1" t="s">
        <v>56</v>
      </c>
      <c r="C827">
        <v>65</v>
      </c>
      <c r="D827" s="1" t="s">
        <v>16</v>
      </c>
      <c r="E827" s="1" t="s">
        <v>17</v>
      </c>
      <c r="F827" s="1" t="s">
        <v>18</v>
      </c>
      <c r="G827" s="1" t="s">
        <v>19</v>
      </c>
      <c r="H827" s="1" t="s">
        <v>49</v>
      </c>
      <c r="I827" s="2">
        <v>44311</v>
      </c>
      <c r="J827">
        <v>68054</v>
      </c>
      <c r="K827" s="2">
        <v>45810</v>
      </c>
      <c r="L827">
        <v>3540</v>
      </c>
      <c r="M827">
        <v>71594</v>
      </c>
      <c r="N827">
        <v>0</v>
      </c>
    </row>
    <row r="828" spans="1:14" x14ac:dyDescent="0.3">
      <c r="A828" s="1" t="s">
        <v>873</v>
      </c>
      <c r="B828" s="1" t="s">
        <v>34</v>
      </c>
      <c r="C828">
        <v>23</v>
      </c>
      <c r="D828" s="1" t="s">
        <v>23</v>
      </c>
      <c r="E828" s="1" t="s">
        <v>38</v>
      </c>
      <c r="F828" s="1" t="s">
        <v>25</v>
      </c>
      <c r="G828" s="1" t="s">
        <v>19</v>
      </c>
      <c r="H828" s="1" t="s">
        <v>20</v>
      </c>
      <c r="I828" s="2">
        <v>44896</v>
      </c>
      <c r="J828">
        <v>14817</v>
      </c>
      <c r="K828" s="2">
        <v>45845</v>
      </c>
      <c r="L828">
        <v>12283</v>
      </c>
      <c r="M828">
        <v>27100</v>
      </c>
      <c r="N828">
        <v>0</v>
      </c>
    </row>
    <row r="829" spans="1:14" x14ac:dyDescent="0.3">
      <c r="A829" s="1" t="s">
        <v>874</v>
      </c>
      <c r="B829" s="1" t="s">
        <v>40</v>
      </c>
      <c r="C829">
        <v>45</v>
      </c>
      <c r="D829" s="1" t="s">
        <v>23</v>
      </c>
      <c r="E829" s="1" t="s">
        <v>35</v>
      </c>
      <c r="F829" s="1" t="s">
        <v>18</v>
      </c>
      <c r="G829" s="1" t="s">
        <v>19</v>
      </c>
      <c r="H829" s="1" t="s">
        <v>20</v>
      </c>
      <c r="I829" s="2">
        <v>44608</v>
      </c>
      <c r="J829">
        <v>15213</v>
      </c>
      <c r="K829" s="2">
        <v>45836</v>
      </c>
      <c r="L829">
        <v>13937</v>
      </c>
      <c r="M829">
        <v>29150</v>
      </c>
      <c r="N829">
        <v>0</v>
      </c>
    </row>
    <row r="830" spans="1:14" x14ac:dyDescent="0.3">
      <c r="A830" s="1" t="s">
        <v>875</v>
      </c>
      <c r="B830" s="1" t="s">
        <v>43</v>
      </c>
      <c r="C830">
        <v>34</v>
      </c>
      <c r="D830" s="1" t="s">
        <v>16</v>
      </c>
      <c r="E830" s="1" t="s">
        <v>38</v>
      </c>
      <c r="F830" s="1" t="s">
        <v>18</v>
      </c>
      <c r="G830" s="1" t="s">
        <v>19</v>
      </c>
      <c r="H830" s="1" t="s">
        <v>20</v>
      </c>
      <c r="I830" s="2">
        <v>44994</v>
      </c>
      <c r="J830">
        <v>10778</v>
      </c>
      <c r="K830" s="2">
        <v>45860</v>
      </c>
      <c r="L830">
        <v>349</v>
      </c>
      <c r="M830">
        <v>11127</v>
      </c>
      <c r="N830">
        <v>0</v>
      </c>
    </row>
    <row r="831" spans="1:14" x14ac:dyDescent="0.3">
      <c r="A831" s="1" t="s">
        <v>876</v>
      </c>
      <c r="B831" s="1" t="s">
        <v>56</v>
      </c>
      <c r="C831">
        <v>22</v>
      </c>
      <c r="D831" s="1" t="s">
        <v>23</v>
      </c>
      <c r="E831" s="1" t="s">
        <v>17</v>
      </c>
      <c r="F831" s="1" t="s">
        <v>18</v>
      </c>
      <c r="G831" s="1" t="s">
        <v>19</v>
      </c>
      <c r="H831" s="1" t="s">
        <v>20</v>
      </c>
      <c r="I831" s="2">
        <v>45736</v>
      </c>
      <c r="J831">
        <v>57971</v>
      </c>
      <c r="K831" s="2">
        <v>45862</v>
      </c>
      <c r="L831">
        <v>9314</v>
      </c>
      <c r="M831">
        <v>67285</v>
      </c>
      <c r="N831">
        <v>0</v>
      </c>
    </row>
    <row r="832" spans="1:14" x14ac:dyDescent="0.3">
      <c r="A832" s="1" t="s">
        <v>877</v>
      </c>
      <c r="B832" s="1" t="s">
        <v>43</v>
      </c>
      <c r="C832">
        <v>48</v>
      </c>
      <c r="D832" s="1" t="s">
        <v>23</v>
      </c>
      <c r="E832" s="1" t="s">
        <v>17</v>
      </c>
      <c r="F832" s="1" t="s">
        <v>25</v>
      </c>
      <c r="G832" s="1" t="s">
        <v>19</v>
      </c>
      <c r="H832" s="1" t="s">
        <v>20</v>
      </c>
      <c r="I832" s="2">
        <v>45408</v>
      </c>
      <c r="J832">
        <v>13235</v>
      </c>
      <c r="K832" s="2">
        <v>45861</v>
      </c>
      <c r="L832">
        <v>-6358</v>
      </c>
      <c r="M832">
        <v>6877</v>
      </c>
      <c r="N832">
        <v>0</v>
      </c>
    </row>
    <row r="833" spans="1:14" x14ac:dyDescent="0.3">
      <c r="A833" s="1" t="s">
        <v>878</v>
      </c>
      <c r="B833" s="1" t="s">
        <v>32</v>
      </c>
      <c r="C833">
        <v>22</v>
      </c>
      <c r="D833" s="1" t="s">
        <v>16</v>
      </c>
      <c r="E833" s="1" t="s">
        <v>24</v>
      </c>
      <c r="F833" s="1" t="s">
        <v>25</v>
      </c>
      <c r="G833" s="1" t="s">
        <v>19</v>
      </c>
      <c r="H833" s="1" t="s">
        <v>20</v>
      </c>
      <c r="I833" s="2">
        <v>45304</v>
      </c>
      <c r="J833">
        <v>7643</v>
      </c>
      <c r="K833" s="2">
        <v>45792</v>
      </c>
      <c r="L833">
        <v>11615</v>
      </c>
      <c r="M833">
        <v>19258</v>
      </c>
      <c r="N833">
        <v>0</v>
      </c>
    </row>
    <row r="834" spans="1:14" x14ac:dyDescent="0.3">
      <c r="A834" s="1" t="s">
        <v>879</v>
      </c>
      <c r="B834" s="1" t="s">
        <v>48</v>
      </c>
      <c r="C834">
        <v>55</v>
      </c>
      <c r="D834" s="1" t="s">
        <v>16</v>
      </c>
      <c r="E834" s="1" t="s">
        <v>17</v>
      </c>
      <c r="F834" s="1" t="s">
        <v>18</v>
      </c>
      <c r="G834" s="1" t="s">
        <v>19</v>
      </c>
      <c r="H834" s="1" t="s">
        <v>20</v>
      </c>
      <c r="I834" s="2">
        <v>44935</v>
      </c>
      <c r="J834">
        <v>36271</v>
      </c>
      <c r="K834" s="2">
        <v>45866</v>
      </c>
      <c r="L834">
        <v>10633</v>
      </c>
      <c r="M834">
        <v>46904</v>
      </c>
      <c r="N834">
        <v>0</v>
      </c>
    </row>
    <row r="835" spans="1:14" x14ac:dyDescent="0.3">
      <c r="A835" s="1" t="s">
        <v>880</v>
      </c>
      <c r="B835" s="1" t="s">
        <v>52</v>
      </c>
      <c r="C835">
        <v>20</v>
      </c>
      <c r="D835" s="1" t="s">
        <v>16</v>
      </c>
      <c r="E835" s="1" t="s">
        <v>17</v>
      </c>
      <c r="F835" s="1" t="s">
        <v>18</v>
      </c>
      <c r="G835" s="1" t="s">
        <v>41</v>
      </c>
      <c r="H835" s="1" t="s">
        <v>20</v>
      </c>
      <c r="I835" s="2">
        <v>45319</v>
      </c>
      <c r="J835">
        <v>43606</v>
      </c>
      <c r="K835" s="2">
        <v>45869</v>
      </c>
      <c r="L835">
        <v>20101</v>
      </c>
      <c r="M835">
        <v>63707</v>
      </c>
      <c r="N835">
        <v>0</v>
      </c>
    </row>
    <row r="836" spans="1:14" x14ac:dyDescent="0.3">
      <c r="A836" s="1" t="s">
        <v>881</v>
      </c>
      <c r="B836" s="1" t="s">
        <v>32</v>
      </c>
      <c r="C836">
        <v>40</v>
      </c>
      <c r="D836" s="1" t="s">
        <v>16</v>
      </c>
      <c r="E836" s="1" t="s">
        <v>24</v>
      </c>
      <c r="F836" s="1" t="s">
        <v>18</v>
      </c>
      <c r="G836" s="1" t="s">
        <v>41</v>
      </c>
      <c r="H836" s="1" t="s">
        <v>20</v>
      </c>
      <c r="I836" s="2">
        <v>44251</v>
      </c>
      <c r="J836">
        <v>66610</v>
      </c>
      <c r="K836" s="2">
        <v>45773</v>
      </c>
      <c r="L836">
        <v>11622</v>
      </c>
      <c r="M836">
        <v>78232</v>
      </c>
      <c r="N836">
        <v>0</v>
      </c>
    </row>
    <row r="837" spans="1:14" x14ac:dyDescent="0.3">
      <c r="A837" s="1" t="s">
        <v>882</v>
      </c>
      <c r="B837" s="1" t="s">
        <v>37</v>
      </c>
      <c r="C837">
        <v>54</v>
      </c>
      <c r="D837" s="1" t="s">
        <v>16</v>
      </c>
      <c r="E837" s="1" t="s">
        <v>35</v>
      </c>
      <c r="F837" s="1" t="s">
        <v>25</v>
      </c>
      <c r="G837" s="1" t="s">
        <v>19</v>
      </c>
      <c r="H837" s="1" t="s">
        <v>20</v>
      </c>
      <c r="I837" s="2">
        <v>45177</v>
      </c>
      <c r="J837">
        <v>25175</v>
      </c>
      <c r="K837" s="2">
        <v>45842</v>
      </c>
      <c r="L837">
        <v>23427</v>
      </c>
      <c r="M837">
        <v>48602</v>
      </c>
      <c r="N837">
        <v>0</v>
      </c>
    </row>
    <row r="838" spans="1:14" x14ac:dyDescent="0.3">
      <c r="A838" s="1" t="s">
        <v>883</v>
      </c>
      <c r="B838" s="1" t="s">
        <v>52</v>
      </c>
      <c r="C838">
        <v>54</v>
      </c>
      <c r="D838" s="1" t="s">
        <v>23</v>
      </c>
      <c r="E838" s="1" t="s">
        <v>24</v>
      </c>
      <c r="F838" s="1" t="s">
        <v>18</v>
      </c>
      <c r="G838" s="1" t="s">
        <v>19</v>
      </c>
      <c r="H838" s="1" t="s">
        <v>20</v>
      </c>
      <c r="I838" s="2">
        <v>45123</v>
      </c>
      <c r="J838">
        <v>42035</v>
      </c>
      <c r="K838" s="2">
        <v>45845</v>
      </c>
      <c r="L838">
        <v>6236</v>
      </c>
      <c r="M838">
        <v>48271</v>
      </c>
      <c r="N838">
        <v>0</v>
      </c>
    </row>
    <row r="839" spans="1:14" x14ac:dyDescent="0.3">
      <c r="A839" s="1" t="s">
        <v>884</v>
      </c>
      <c r="B839" s="1" t="s">
        <v>64</v>
      </c>
      <c r="C839">
        <v>27</v>
      </c>
      <c r="D839" s="1" t="s">
        <v>23</v>
      </c>
      <c r="E839" s="1" t="s">
        <v>38</v>
      </c>
      <c r="F839" s="1" t="s">
        <v>18</v>
      </c>
      <c r="G839" s="1" t="s">
        <v>19</v>
      </c>
      <c r="H839" s="1" t="s">
        <v>20</v>
      </c>
      <c r="I839" s="2">
        <v>44776</v>
      </c>
      <c r="J839">
        <v>10309</v>
      </c>
      <c r="K839" s="2">
        <v>45844</v>
      </c>
      <c r="L839">
        <v>25690</v>
      </c>
      <c r="M839">
        <v>35999</v>
      </c>
      <c r="N839">
        <v>0</v>
      </c>
    </row>
    <row r="840" spans="1:14" x14ac:dyDescent="0.3">
      <c r="A840" s="1" t="s">
        <v>885</v>
      </c>
      <c r="B840" s="1" t="s">
        <v>87</v>
      </c>
      <c r="C840">
        <v>27</v>
      </c>
      <c r="D840" s="1" t="s">
        <v>23</v>
      </c>
      <c r="E840" s="1" t="s">
        <v>38</v>
      </c>
      <c r="F840" s="1" t="s">
        <v>18</v>
      </c>
      <c r="G840" s="1" t="s">
        <v>41</v>
      </c>
      <c r="H840" s="1" t="s">
        <v>20</v>
      </c>
      <c r="I840" s="2">
        <v>44534</v>
      </c>
      <c r="J840">
        <v>37265</v>
      </c>
      <c r="K840" s="2">
        <v>45727</v>
      </c>
      <c r="L840">
        <v>15702</v>
      </c>
      <c r="M840">
        <v>52967</v>
      </c>
      <c r="N840">
        <v>0</v>
      </c>
    </row>
    <row r="841" spans="1:14" x14ac:dyDescent="0.3">
      <c r="A841" s="1" t="s">
        <v>886</v>
      </c>
      <c r="B841" s="1" t="s">
        <v>27</v>
      </c>
      <c r="C841">
        <v>36</v>
      </c>
      <c r="D841" s="1" t="s">
        <v>23</v>
      </c>
      <c r="E841" s="1" t="s">
        <v>24</v>
      </c>
      <c r="F841" s="1" t="s">
        <v>18</v>
      </c>
      <c r="G841" s="1" t="s">
        <v>19</v>
      </c>
      <c r="H841" s="1" t="s">
        <v>20</v>
      </c>
      <c r="I841" s="2">
        <v>45548</v>
      </c>
      <c r="J841">
        <v>28072</v>
      </c>
      <c r="K841" s="2">
        <v>45862</v>
      </c>
      <c r="L841">
        <v>11545</v>
      </c>
      <c r="M841">
        <v>39617</v>
      </c>
      <c r="N841">
        <v>0</v>
      </c>
    </row>
    <row r="842" spans="1:14" x14ac:dyDescent="0.3">
      <c r="A842" s="1" t="s">
        <v>887</v>
      </c>
      <c r="B842" s="1" t="s">
        <v>61</v>
      </c>
      <c r="C842">
        <v>34</v>
      </c>
      <c r="D842" s="1" t="s">
        <v>16</v>
      </c>
      <c r="E842" s="1" t="s">
        <v>38</v>
      </c>
      <c r="F842" s="1" t="s">
        <v>18</v>
      </c>
      <c r="G842" s="1" t="s">
        <v>19</v>
      </c>
      <c r="H842" s="1" t="s">
        <v>20</v>
      </c>
      <c r="I842" s="2">
        <v>44287</v>
      </c>
      <c r="J842">
        <v>22708</v>
      </c>
      <c r="K842" s="2">
        <v>45842</v>
      </c>
      <c r="L842">
        <v>-7897</v>
      </c>
      <c r="M842">
        <v>14811</v>
      </c>
      <c r="N842">
        <v>0</v>
      </c>
    </row>
    <row r="843" spans="1:14" x14ac:dyDescent="0.3">
      <c r="A843" s="1" t="s">
        <v>888</v>
      </c>
      <c r="B843" s="1" t="s">
        <v>37</v>
      </c>
      <c r="C843">
        <v>38</v>
      </c>
      <c r="D843" s="1" t="s">
        <v>23</v>
      </c>
      <c r="E843" s="1" t="s">
        <v>17</v>
      </c>
      <c r="F843" s="1" t="s">
        <v>25</v>
      </c>
      <c r="G843" s="1" t="s">
        <v>19</v>
      </c>
      <c r="H843" s="1" t="s">
        <v>20</v>
      </c>
      <c r="I843" s="2">
        <v>44313</v>
      </c>
      <c r="J843">
        <v>2815</v>
      </c>
      <c r="K843" s="2">
        <v>45826</v>
      </c>
      <c r="L843">
        <v>20331</v>
      </c>
      <c r="M843">
        <v>23146</v>
      </c>
      <c r="N843">
        <v>0</v>
      </c>
    </row>
    <row r="844" spans="1:14" x14ac:dyDescent="0.3">
      <c r="A844" s="1" t="s">
        <v>889</v>
      </c>
      <c r="B844" s="1" t="s">
        <v>52</v>
      </c>
      <c r="C844">
        <v>31</v>
      </c>
      <c r="D844" s="1" t="s">
        <v>16</v>
      </c>
      <c r="E844" s="1" t="s">
        <v>17</v>
      </c>
      <c r="F844" s="1" t="s">
        <v>18</v>
      </c>
      <c r="G844" s="1" t="s">
        <v>41</v>
      </c>
      <c r="H844" s="1" t="s">
        <v>20</v>
      </c>
      <c r="I844" s="2">
        <v>44933</v>
      </c>
      <c r="J844">
        <v>9062</v>
      </c>
      <c r="K844" s="2">
        <v>45859</v>
      </c>
      <c r="L844">
        <v>-552</v>
      </c>
      <c r="M844">
        <v>8510</v>
      </c>
      <c r="N844">
        <v>0</v>
      </c>
    </row>
    <row r="845" spans="1:14" x14ac:dyDescent="0.3">
      <c r="A845" s="1" t="s">
        <v>890</v>
      </c>
      <c r="B845" s="1" t="s">
        <v>37</v>
      </c>
      <c r="C845">
        <v>26</v>
      </c>
      <c r="D845" s="1" t="s">
        <v>23</v>
      </c>
      <c r="E845" s="1" t="s">
        <v>38</v>
      </c>
      <c r="F845" s="1" t="s">
        <v>25</v>
      </c>
      <c r="G845" s="1" t="s">
        <v>19</v>
      </c>
      <c r="H845" s="1" t="s">
        <v>20</v>
      </c>
      <c r="I845" s="2">
        <v>44619</v>
      </c>
      <c r="J845">
        <v>12763</v>
      </c>
      <c r="K845" s="2">
        <v>45869</v>
      </c>
      <c r="L845">
        <v>12705</v>
      </c>
      <c r="M845">
        <v>25468</v>
      </c>
      <c r="N845">
        <v>0</v>
      </c>
    </row>
    <row r="846" spans="1:14" x14ac:dyDescent="0.3">
      <c r="A846" s="1" t="s">
        <v>891</v>
      </c>
      <c r="B846" s="1" t="s">
        <v>64</v>
      </c>
      <c r="C846">
        <v>63</v>
      </c>
      <c r="D846" s="1" t="s">
        <v>23</v>
      </c>
      <c r="E846" s="1" t="s">
        <v>17</v>
      </c>
      <c r="F846" s="1" t="s">
        <v>18</v>
      </c>
      <c r="G846" s="1" t="s">
        <v>19</v>
      </c>
      <c r="H846" s="1" t="s">
        <v>20</v>
      </c>
      <c r="I846" s="2">
        <v>45444</v>
      </c>
      <c r="J846">
        <v>22734</v>
      </c>
      <c r="K846" s="2">
        <v>45864</v>
      </c>
      <c r="L846">
        <v>18229</v>
      </c>
      <c r="M846">
        <v>40963</v>
      </c>
      <c r="N846">
        <v>0</v>
      </c>
    </row>
    <row r="847" spans="1:14" x14ac:dyDescent="0.3">
      <c r="A847" s="1" t="s">
        <v>892</v>
      </c>
      <c r="B847" s="1" t="s">
        <v>15</v>
      </c>
      <c r="C847">
        <v>18</v>
      </c>
      <c r="D847" s="1" t="s">
        <v>23</v>
      </c>
      <c r="E847" s="1" t="s">
        <v>35</v>
      </c>
      <c r="F847" s="1" t="s">
        <v>18</v>
      </c>
      <c r="G847" s="1" t="s">
        <v>19</v>
      </c>
      <c r="H847" s="1" t="s">
        <v>20</v>
      </c>
      <c r="I847" s="2">
        <v>45257</v>
      </c>
      <c r="J847">
        <v>147375</v>
      </c>
      <c r="K847" s="2">
        <v>45830</v>
      </c>
      <c r="L847">
        <v>12616</v>
      </c>
      <c r="M847">
        <v>159991</v>
      </c>
      <c r="N847">
        <v>0</v>
      </c>
    </row>
    <row r="848" spans="1:14" x14ac:dyDescent="0.3">
      <c r="A848" s="1" t="s">
        <v>893</v>
      </c>
      <c r="B848" s="1" t="s">
        <v>48</v>
      </c>
      <c r="C848">
        <v>68</v>
      </c>
      <c r="D848" s="1" t="s">
        <v>23</v>
      </c>
      <c r="E848" s="1" t="s">
        <v>17</v>
      </c>
      <c r="F848" s="1" t="s">
        <v>18</v>
      </c>
      <c r="G848" s="1" t="s">
        <v>19</v>
      </c>
      <c r="H848" s="1" t="s">
        <v>20</v>
      </c>
      <c r="I848" s="2">
        <v>45489</v>
      </c>
      <c r="J848">
        <v>31547</v>
      </c>
      <c r="K848" s="2">
        <v>45858</v>
      </c>
      <c r="L848">
        <v>43</v>
      </c>
      <c r="M848">
        <v>31590</v>
      </c>
      <c r="N848">
        <v>0</v>
      </c>
    </row>
    <row r="849" spans="1:14" x14ac:dyDescent="0.3">
      <c r="A849" s="1" t="s">
        <v>894</v>
      </c>
      <c r="B849" s="1" t="s">
        <v>29</v>
      </c>
      <c r="C849">
        <v>62</v>
      </c>
      <c r="D849" s="1" t="s">
        <v>23</v>
      </c>
      <c r="E849" s="1" t="s">
        <v>24</v>
      </c>
      <c r="F849" s="1" t="s">
        <v>25</v>
      </c>
      <c r="G849" s="1" t="s">
        <v>19</v>
      </c>
      <c r="H849" s="1" t="s">
        <v>20</v>
      </c>
      <c r="I849" s="2">
        <v>44740</v>
      </c>
      <c r="J849">
        <v>5943</v>
      </c>
      <c r="K849" s="2">
        <v>45860</v>
      </c>
      <c r="L849">
        <v>5051</v>
      </c>
      <c r="M849">
        <v>10994</v>
      </c>
      <c r="N849">
        <v>0</v>
      </c>
    </row>
    <row r="850" spans="1:14" x14ac:dyDescent="0.3">
      <c r="A850" s="1" t="s">
        <v>895</v>
      </c>
      <c r="B850" s="1" t="s">
        <v>87</v>
      </c>
      <c r="C850">
        <v>30</v>
      </c>
      <c r="D850" s="1" t="s">
        <v>23</v>
      </c>
      <c r="E850" s="1" t="s">
        <v>24</v>
      </c>
      <c r="F850" s="1" t="s">
        <v>25</v>
      </c>
      <c r="G850" s="1" t="s">
        <v>19</v>
      </c>
      <c r="H850" s="1" t="s">
        <v>49</v>
      </c>
      <c r="I850" s="2">
        <v>45435</v>
      </c>
      <c r="J850">
        <v>8265</v>
      </c>
      <c r="K850" s="2">
        <v>45831</v>
      </c>
      <c r="L850">
        <v>2649</v>
      </c>
      <c r="M850">
        <v>10914</v>
      </c>
      <c r="N850">
        <v>0</v>
      </c>
    </row>
    <row r="851" spans="1:14" x14ac:dyDescent="0.3">
      <c r="A851" s="1" t="s">
        <v>896</v>
      </c>
      <c r="B851" s="1" t="s">
        <v>27</v>
      </c>
      <c r="C851">
        <v>21</v>
      </c>
      <c r="D851" s="1" t="s">
        <v>23</v>
      </c>
      <c r="E851" s="1" t="s">
        <v>17</v>
      </c>
      <c r="F851" s="1" t="s">
        <v>25</v>
      </c>
      <c r="G851" s="1" t="s">
        <v>19</v>
      </c>
      <c r="H851" s="1" t="s">
        <v>49</v>
      </c>
      <c r="I851" s="2">
        <v>45639</v>
      </c>
      <c r="J851">
        <v>53630</v>
      </c>
      <c r="K851" s="2">
        <v>45868</v>
      </c>
      <c r="L851">
        <v>6826</v>
      </c>
      <c r="M851">
        <v>60456</v>
      </c>
      <c r="N851">
        <v>0</v>
      </c>
    </row>
    <row r="852" spans="1:14" x14ac:dyDescent="0.3">
      <c r="A852" s="1" t="s">
        <v>897</v>
      </c>
      <c r="B852" s="1" t="s">
        <v>37</v>
      </c>
      <c r="C852">
        <v>18</v>
      </c>
      <c r="D852" s="1" t="s">
        <v>16</v>
      </c>
      <c r="E852" s="1" t="s">
        <v>17</v>
      </c>
      <c r="F852" s="1" t="s">
        <v>18</v>
      </c>
      <c r="G852" s="1" t="s">
        <v>41</v>
      </c>
      <c r="H852" s="1" t="s">
        <v>20</v>
      </c>
      <c r="I852" s="2">
        <v>44774</v>
      </c>
      <c r="J852">
        <v>7909</v>
      </c>
      <c r="K852" s="2">
        <v>45753</v>
      </c>
      <c r="L852">
        <v>14468</v>
      </c>
      <c r="M852">
        <v>22377</v>
      </c>
      <c r="N852">
        <v>0</v>
      </c>
    </row>
    <row r="853" spans="1:14" x14ac:dyDescent="0.3">
      <c r="A853" s="1" t="s">
        <v>898</v>
      </c>
      <c r="B853" s="1" t="s">
        <v>27</v>
      </c>
      <c r="C853">
        <v>66</v>
      </c>
      <c r="D853" s="1" t="s">
        <v>23</v>
      </c>
      <c r="E853" s="1" t="s">
        <v>24</v>
      </c>
      <c r="F853" s="1" t="s">
        <v>18</v>
      </c>
      <c r="G853" s="1" t="s">
        <v>19</v>
      </c>
      <c r="H853" s="1" t="s">
        <v>20</v>
      </c>
      <c r="I853" s="2">
        <v>44765</v>
      </c>
      <c r="J853">
        <v>37001</v>
      </c>
      <c r="K853" s="2">
        <v>45850</v>
      </c>
      <c r="L853">
        <v>10331</v>
      </c>
      <c r="M853">
        <v>47332</v>
      </c>
      <c r="N853">
        <v>0</v>
      </c>
    </row>
    <row r="854" spans="1:14" x14ac:dyDescent="0.3">
      <c r="A854" s="1" t="s">
        <v>899</v>
      </c>
      <c r="B854" s="1" t="s">
        <v>69</v>
      </c>
      <c r="C854">
        <v>57</v>
      </c>
      <c r="D854" s="1" t="s">
        <v>23</v>
      </c>
      <c r="E854" s="1" t="s">
        <v>38</v>
      </c>
      <c r="F854" s="1" t="s">
        <v>25</v>
      </c>
      <c r="G854" s="1" t="s">
        <v>19</v>
      </c>
      <c r="H854" s="1" t="s">
        <v>20</v>
      </c>
      <c r="I854" s="2">
        <v>45702</v>
      </c>
      <c r="J854">
        <v>15021</v>
      </c>
      <c r="K854" s="2">
        <v>45868</v>
      </c>
      <c r="L854">
        <v>3253</v>
      </c>
      <c r="M854">
        <v>18274</v>
      </c>
      <c r="N854">
        <v>0</v>
      </c>
    </row>
    <row r="855" spans="1:14" x14ac:dyDescent="0.3">
      <c r="A855" s="1" t="s">
        <v>900</v>
      </c>
      <c r="B855" s="1" t="s">
        <v>59</v>
      </c>
      <c r="C855">
        <v>49</v>
      </c>
      <c r="D855" s="1" t="s">
        <v>16</v>
      </c>
      <c r="E855" s="1" t="s">
        <v>38</v>
      </c>
      <c r="F855" s="1" t="s">
        <v>25</v>
      </c>
      <c r="G855" s="1" t="s">
        <v>19</v>
      </c>
      <c r="H855" s="1" t="s">
        <v>20</v>
      </c>
      <c r="I855" s="2">
        <v>44280</v>
      </c>
      <c r="J855">
        <v>11312</v>
      </c>
      <c r="K855" s="2">
        <v>45582</v>
      </c>
      <c r="L855">
        <v>21695</v>
      </c>
      <c r="M855">
        <v>33007</v>
      </c>
      <c r="N855">
        <v>1</v>
      </c>
    </row>
    <row r="856" spans="1:14" x14ac:dyDescent="0.3">
      <c r="A856" s="1" t="s">
        <v>901</v>
      </c>
      <c r="B856" s="1" t="s">
        <v>48</v>
      </c>
      <c r="C856">
        <v>51</v>
      </c>
      <c r="D856" s="1" t="s">
        <v>23</v>
      </c>
      <c r="E856" s="1" t="s">
        <v>24</v>
      </c>
      <c r="F856" s="1" t="s">
        <v>18</v>
      </c>
      <c r="G856" s="1" t="s">
        <v>19</v>
      </c>
      <c r="H856" s="1" t="s">
        <v>20</v>
      </c>
      <c r="I856" s="2">
        <v>44782</v>
      </c>
      <c r="J856">
        <v>8030</v>
      </c>
      <c r="K856" s="2">
        <v>45854</v>
      </c>
      <c r="L856">
        <v>11926</v>
      </c>
      <c r="M856">
        <v>19956</v>
      </c>
      <c r="N856">
        <v>0</v>
      </c>
    </row>
    <row r="857" spans="1:14" x14ac:dyDescent="0.3">
      <c r="A857" s="1" t="s">
        <v>902</v>
      </c>
      <c r="B857" s="1" t="s">
        <v>75</v>
      </c>
      <c r="C857">
        <v>45</v>
      </c>
      <c r="D857" s="1" t="s">
        <v>16</v>
      </c>
      <c r="E857" s="1" t="s">
        <v>38</v>
      </c>
      <c r="F857" s="1" t="s">
        <v>25</v>
      </c>
      <c r="G857" s="1" t="s">
        <v>19</v>
      </c>
      <c r="H857" s="1" t="s">
        <v>20</v>
      </c>
      <c r="I857" s="2">
        <v>44395</v>
      </c>
      <c r="J857">
        <v>635</v>
      </c>
      <c r="K857" s="2">
        <v>45868</v>
      </c>
      <c r="L857">
        <v>9409</v>
      </c>
      <c r="M857">
        <v>10044</v>
      </c>
      <c r="N857">
        <v>0</v>
      </c>
    </row>
    <row r="858" spans="1:14" x14ac:dyDescent="0.3">
      <c r="A858" s="1" t="s">
        <v>903</v>
      </c>
      <c r="B858" s="1" t="s">
        <v>32</v>
      </c>
      <c r="C858">
        <v>48</v>
      </c>
      <c r="D858" s="1" t="s">
        <v>16</v>
      </c>
      <c r="E858" s="1" t="s">
        <v>38</v>
      </c>
      <c r="F858" s="1" t="s">
        <v>18</v>
      </c>
      <c r="G858" s="1" t="s">
        <v>19</v>
      </c>
      <c r="H858" s="1" t="s">
        <v>20</v>
      </c>
      <c r="I858" s="2">
        <v>44245</v>
      </c>
      <c r="J858">
        <v>22920</v>
      </c>
      <c r="K858" s="2">
        <v>45788</v>
      </c>
      <c r="L858">
        <v>15798</v>
      </c>
      <c r="M858">
        <v>38718</v>
      </c>
      <c r="N858">
        <v>0</v>
      </c>
    </row>
    <row r="859" spans="1:14" x14ac:dyDescent="0.3">
      <c r="A859" s="1" t="s">
        <v>904</v>
      </c>
      <c r="B859" s="1" t="s">
        <v>34</v>
      </c>
      <c r="C859">
        <v>25</v>
      </c>
      <c r="D859" s="1" t="s">
        <v>23</v>
      </c>
      <c r="E859" s="1" t="s">
        <v>38</v>
      </c>
      <c r="F859" s="1" t="s">
        <v>18</v>
      </c>
      <c r="G859" s="1" t="s">
        <v>19</v>
      </c>
      <c r="H859" s="1" t="s">
        <v>20</v>
      </c>
      <c r="I859" s="2">
        <v>44385</v>
      </c>
      <c r="J859">
        <v>4665</v>
      </c>
      <c r="K859" s="2">
        <v>45865</v>
      </c>
      <c r="L859">
        <v>6385</v>
      </c>
      <c r="M859">
        <v>11050</v>
      </c>
      <c r="N859">
        <v>0</v>
      </c>
    </row>
    <row r="860" spans="1:14" x14ac:dyDescent="0.3">
      <c r="A860" s="1" t="s">
        <v>905</v>
      </c>
      <c r="B860" s="1" t="s">
        <v>48</v>
      </c>
      <c r="C860">
        <v>56</v>
      </c>
      <c r="D860" s="1" t="s">
        <v>16</v>
      </c>
      <c r="E860" s="1" t="s">
        <v>24</v>
      </c>
      <c r="F860" s="1" t="s">
        <v>18</v>
      </c>
      <c r="G860" s="1" t="s">
        <v>41</v>
      </c>
      <c r="H860" s="1" t="s">
        <v>20</v>
      </c>
      <c r="I860" s="2">
        <v>44918</v>
      </c>
      <c r="J860">
        <v>3235</v>
      </c>
      <c r="K860" s="2">
        <v>45868</v>
      </c>
      <c r="L860">
        <v>9386</v>
      </c>
      <c r="M860">
        <v>12621</v>
      </c>
      <c r="N860">
        <v>0</v>
      </c>
    </row>
    <row r="861" spans="1:14" x14ac:dyDescent="0.3">
      <c r="A861" s="1" t="s">
        <v>906</v>
      </c>
      <c r="B861" s="1" t="s">
        <v>15</v>
      </c>
      <c r="C861">
        <v>43</v>
      </c>
      <c r="D861" s="1" t="s">
        <v>23</v>
      </c>
      <c r="E861" s="1" t="s">
        <v>24</v>
      </c>
      <c r="F861" s="1" t="s">
        <v>18</v>
      </c>
      <c r="G861" s="1" t="s">
        <v>41</v>
      </c>
      <c r="H861" s="1" t="s">
        <v>20</v>
      </c>
      <c r="I861" s="2">
        <v>45346</v>
      </c>
      <c r="J861">
        <v>17116</v>
      </c>
      <c r="K861" s="2">
        <v>45855</v>
      </c>
      <c r="L861">
        <v>16882</v>
      </c>
      <c r="M861">
        <v>33998</v>
      </c>
      <c r="N861">
        <v>0</v>
      </c>
    </row>
    <row r="862" spans="1:14" x14ac:dyDescent="0.3">
      <c r="A862" s="1" t="s">
        <v>907</v>
      </c>
      <c r="B862" s="1" t="s">
        <v>59</v>
      </c>
      <c r="C862">
        <v>51</v>
      </c>
      <c r="D862" s="1" t="s">
        <v>16</v>
      </c>
      <c r="E862" s="1" t="s">
        <v>38</v>
      </c>
      <c r="F862" s="1" t="s">
        <v>18</v>
      </c>
      <c r="G862" s="1" t="s">
        <v>41</v>
      </c>
      <c r="H862" s="1" t="s">
        <v>20</v>
      </c>
      <c r="I862" s="2">
        <v>44680</v>
      </c>
      <c r="J862">
        <v>37404</v>
      </c>
      <c r="K862" s="2">
        <v>45770</v>
      </c>
      <c r="L862">
        <v>14945</v>
      </c>
      <c r="M862">
        <v>52349</v>
      </c>
      <c r="N862">
        <v>0</v>
      </c>
    </row>
    <row r="863" spans="1:14" x14ac:dyDescent="0.3">
      <c r="A863" s="1" t="s">
        <v>908</v>
      </c>
      <c r="B863" s="1" t="s">
        <v>64</v>
      </c>
      <c r="C863">
        <v>20</v>
      </c>
      <c r="D863" s="1" t="s">
        <v>23</v>
      </c>
      <c r="E863" s="1" t="s">
        <v>24</v>
      </c>
      <c r="F863" s="1" t="s">
        <v>18</v>
      </c>
      <c r="G863" s="1" t="s">
        <v>19</v>
      </c>
      <c r="H863" s="1" t="s">
        <v>20</v>
      </c>
      <c r="I863" s="2">
        <v>45618</v>
      </c>
      <c r="J863">
        <v>2448</v>
      </c>
      <c r="K863" s="2">
        <v>45864</v>
      </c>
      <c r="L863">
        <v>-9540</v>
      </c>
      <c r="M863">
        <v>-7092</v>
      </c>
      <c r="N863">
        <v>0</v>
      </c>
    </row>
    <row r="864" spans="1:14" x14ac:dyDescent="0.3">
      <c r="A864" s="1" t="s">
        <v>909</v>
      </c>
      <c r="B864" s="1" t="s">
        <v>48</v>
      </c>
      <c r="C864">
        <v>67</v>
      </c>
      <c r="D864" s="1" t="s">
        <v>16</v>
      </c>
      <c r="E864" s="1" t="s">
        <v>38</v>
      </c>
      <c r="F864" s="1" t="s">
        <v>18</v>
      </c>
      <c r="G864" s="1" t="s">
        <v>19</v>
      </c>
      <c r="H864" s="1" t="s">
        <v>20</v>
      </c>
      <c r="I864" s="2">
        <v>44929</v>
      </c>
      <c r="J864">
        <v>36439</v>
      </c>
      <c r="K864" s="2">
        <v>45805</v>
      </c>
      <c r="L864">
        <v>-5720</v>
      </c>
      <c r="M864">
        <v>30719</v>
      </c>
      <c r="N864">
        <v>0</v>
      </c>
    </row>
    <row r="865" spans="1:14" x14ac:dyDescent="0.3">
      <c r="A865" s="1" t="s">
        <v>910</v>
      </c>
      <c r="B865" s="1" t="s">
        <v>59</v>
      </c>
      <c r="C865">
        <v>29</v>
      </c>
      <c r="D865" s="1" t="s">
        <v>23</v>
      </c>
      <c r="E865" s="1" t="s">
        <v>24</v>
      </c>
      <c r="F865" s="1" t="s">
        <v>18</v>
      </c>
      <c r="G865" s="1" t="s">
        <v>19</v>
      </c>
      <c r="H865" s="1" t="s">
        <v>20</v>
      </c>
      <c r="I865" s="2">
        <v>45816</v>
      </c>
      <c r="J865">
        <v>5414</v>
      </c>
      <c r="K865" s="2">
        <v>45865</v>
      </c>
      <c r="L865">
        <v>21672</v>
      </c>
      <c r="M865">
        <v>27086</v>
      </c>
      <c r="N865">
        <v>0</v>
      </c>
    </row>
    <row r="866" spans="1:14" x14ac:dyDescent="0.3">
      <c r="A866" s="1" t="s">
        <v>911</v>
      </c>
      <c r="B866" s="1" t="s">
        <v>61</v>
      </c>
      <c r="C866">
        <v>18</v>
      </c>
      <c r="D866" s="1" t="s">
        <v>16</v>
      </c>
      <c r="E866" s="1" t="s">
        <v>17</v>
      </c>
      <c r="F866" s="1" t="s">
        <v>18</v>
      </c>
      <c r="G866" s="1" t="s">
        <v>19</v>
      </c>
      <c r="H866" s="1" t="s">
        <v>20</v>
      </c>
      <c r="I866" s="2">
        <v>45793</v>
      </c>
      <c r="J866">
        <v>25564</v>
      </c>
      <c r="K866" s="2">
        <v>45860</v>
      </c>
      <c r="L866">
        <v>4965</v>
      </c>
      <c r="M866">
        <v>30529</v>
      </c>
      <c r="N866">
        <v>0</v>
      </c>
    </row>
    <row r="867" spans="1:14" x14ac:dyDescent="0.3">
      <c r="A867" s="1" t="s">
        <v>912</v>
      </c>
      <c r="B867" s="1" t="s">
        <v>43</v>
      </c>
      <c r="C867">
        <v>61</v>
      </c>
      <c r="D867" s="1" t="s">
        <v>16</v>
      </c>
      <c r="E867" s="1" t="s">
        <v>17</v>
      </c>
      <c r="F867" s="1" t="s">
        <v>25</v>
      </c>
      <c r="G867" s="1" t="s">
        <v>19</v>
      </c>
      <c r="H867" s="1" t="s">
        <v>20</v>
      </c>
      <c r="I867" s="2">
        <v>45490</v>
      </c>
      <c r="J867">
        <v>23836</v>
      </c>
      <c r="K867" s="2">
        <v>45856</v>
      </c>
      <c r="L867">
        <v>-687</v>
      </c>
      <c r="M867">
        <v>23149</v>
      </c>
      <c r="N867">
        <v>0</v>
      </c>
    </row>
    <row r="868" spans="1:14" x14ac:dyDescent="0.3">
      <c r="A868" s="1" t="s">
        <v>913</v>
      </c>
      <c r="B868" s="1" t="s">
        <v>43</v>
      </c>
      <c r="C868">
        <v>22</v>
      </c>
      <c r="D868" s="1" t="s">
        <v>23</v>
      </c>
      <c r="E868" s="1" t="s">
        <v>24</v>
      </c>
      <c r="F868" s="1" t="s">
        <v>18</v>
      </c>
      <c r="G868" s="1" t="s">
        <v>19</v>
      </c>
      <c r="H868" s="1" t="s">
        <v>20</v>
      </c>
      <c r="I868" s="2">
        <v>45756</v>
      </c>
      <c r="J868">
        <v>10866</v>
      </c>
      <c r="K868" s="2">
        <v>45865</v>
      </c>
      <c r="L868">
        <v>44759</v>
      </c>
      <c r="M868">
        <v>55625</v>
      </c>
      <c r="N868">
        <v>0</v>
      </c>
    </row>
    <row r="869" spans="1:14" x14ac:dyDescent="0.3">
      <c r="A869" s="1" t="s">
        <v>914</v>
      </c>
      <c r="B869" s="1" t="s">
        <v>56</v>
      </c>
      <c r="C869">
        <v>47</v>
      </c>
      <c r="D869" s="1" t="s">
        <v>23</v>
      </c>
      <c r="E869" s="1" t="s">
        <v>24</v>
      </c>
      <c r="F869" s="1" t="s">
        <v>18</v>
      </c>
      <c r="G869" s="1" t="s">
        <v>19</v>
      </c>
      <c r="H869" s="1" t="s">
        <v>20</v>
      </c>
      <c r="I869" s="2">
        <v>45379</v>
      </c>
      <c r="J869">
        <v>13765</v>
      </c>
      <c r="K869" s="2">
        <v>45869</v>
      </c>
      <c r="L869">
        <v>280</v>
      </c>
      <c r="M869">
        <v>14045</v>
      </c>
      <c r="N869">
        <v>0</v>
      </c>
    </row>
    <row r="870" spans="1:14" x14ac:dyDescent="0.3">
      <c r="A870" s="1" t="s">
        <v>915</v>
      </c>
      <c r="B870" s="1" t="s">
        <v>29</v>
      </c>
      <c r="C870">
        <v>47</v>
      </c>
      <c r="D870" s="1" t="s">
        <v>16</v>
      </c>
      <c r="E870" s="1" t="s">
        <v>38</v>
      </c>
      <c r="F870" s="1" t="s">
        <v>18</v>
      </c>
      <c r="G870" s="1" t="s">
        <v>19</v>
      </c>
      <c r="H870" s="1" t="s">
        <v>20</v>
      </c>
      <c r="I870" s="2">
        <v>45695</v>
      </c>
      <c r="J870">
        <v>8989</v>
      </c>
      <c r="K870" s="2">
        <v>45858</v>
      </c>
      <c r="L870">
        <v>28829</v>
      </c>
      <c r="M870">
        <v>37818</v>
      </c>
      <c r="N870">
        <v>0</v>
      </c>
    </row>
    <row r="871" spans="1:14" x14ac:dyDescent="0.3">
      <c r="A871" s="1" t="s">
        <v>916</v>
      </c>
      <c r="B871" s="1" t="s">
        <v>69</v>
      </c>
      <c r="C871">
        <v>34</v>
      </c>
      <c r="D871" s="1" t="s">
        <v>16</v>
      </c>
      <c r="E871" s="1" t="s">
        <v>17</v>
      </c>
      <c r="F871" s="1" t="s">
        <v>25</v>
      </c>
      <c r="G871" s="1" t="s">
        <v>19</v>
      </c>
      <c r="H871" s="1" t="s">
        <v>20</v>
      </c>
      <c r="I871" s="2">
        <v>44592</v>
      </c>
      <c r="J871">
        <v>17388</v>
      </c>
      <c r="K871" s="2">
        <v>45854</v>
      </c>
      <c r="L871">
        <v>10974</v>
      </c>
      <c r="M871">
        <v>28362</v>
      </c>
      <c r="N871">
        <v>0</v>
      </c>
    </row>
    <row r="872" spans="1:14" x14ac:dyDescent="0.3">
      <c r="A872" s="1" t="s">
        <v>917</v>
      </c>
      <c r="B872" s="1" t="s">
        <v>87</v>
      </c>
      <c r="C872">
        <v>65</v>
      </c>
      <c r="D872" s="1" t="s">
        <v>23</v>
      </c>
      <c r="E872" s="1" t="s">
        <v>38</v>
      </c>
      <c r="F872" s="1" t="s">
        <v>18</v>
      </c>
      <c r="G872" s="1" t="s">
        <v>19</v>
      </c>
      <c r="H872" s="1" t="s">
        <v>20</v>
      </c>
      <c r="I872" s="2">
        <v>44774</v>
      </c>
      <c r="J872">
        <v>17235</v>
      </c>
      <c r="K872" s="2">
        <v>45850</v>
      </c>
      <c r="L872">
        <v>-3317</v>
      </c>
      <c r="M872">
        <v>13918</v>
      </c>
      <c r="N872">
        <v>0</v>
      </c>
    </row>
    <row r="873" spans="1:14" x14ac:dyDescent="0.3">
      <c r="A873" s="1" t="s">
        <v>918</v>
      </c>
      <c r="B873" s="1" t="s">
        <v>75</v>
      </c>
      <c r="C873">
        <v>64</v>
      </c>
      <c r="D873" s="1" t="s">
        <v>16</v>
      </c>
      <c r="E873" s="1" t="s">
        <v>38</v>
      </c>
      <c r="F873" s="1" t="s">
        <v>18</v>
      </c>
      <c r="G873" s="1" t="s">
        <v>19</v>
      </c>
      <c r="H873" s="1" t="s">
        <v>20</v>
      </c>
      <c r="I873" s="2">
        <v>45456</v>
      </c>
      <c r="J873">
        <v>5303</v>
      </c>
      <c r="K873" s="2">
        <v>45852</v>
      </c>
      <c r="L873">
        <v>-9200</v>
      </c>
      <c r="M873">
        <v>-3897</v>
      </c>
      <c r="N873">
        <v>0</v>
      </c>
    </row>
    <row r="874" spans="1:14" x14ac:dyDescent="0.3">
      <c r="A874" s="1" t="s">
        <v>919</v>
      </c>
      <c r="B874" s="1" t="s">
        <v>64</v>
      </c>
      <c r="C874">
        <v>40</v>
      </c>
      <c r="D874" s="1" t="s">
        <v>30</v>
      </c>
      <c r="E874" s="1" t="s">
        <v>17</v>
      </c>
      <c r="F874" s="1" t="s">
        <v>18</v>
      </c>
      <c r="G874" s="1" t="s">
        <v>19</v>
      </c>
      <c r="H874" s="1" t="s">
        <v>20</v>
      </c>
      <c r="I874" s="2">
        <v>44907</v>
      </c>
      <c r="J874">
        <v>3436</v>
      </c>
      <c r="K874" s="2">
        <v>45777</v>
      </c>
      <c r="L874">
        <v>5903</v>
      </c>
      <c r="M874">
        <v>9339</v>
      </c>
      <c r="N874">
        <v>0</v>
      </c>
    </row>
    <row r="875" spans="1:14" x14ac:dyDescent="0.3">
      <c r="A875" s="1" t="s">
        <v>920</v>
      </c>
      <c r="B875" s="1" t="s">
        <v>43</v>
      </c>
      <c r="C875">
        <v>32</v>
      </c>
      <c r="D875" s="1" t="s">
        <v>16</v>
      </c>
      <c r="E875" s="1" t="s">
        <v>38</v>
      </c>
      <c r="F875" s="1" t="s">
        <v>25</v>
      </c>
      <c r="G875" s="1" t="s">
        <v>19</v>
      </c>
      <c r="H875" s="1" t="s">
        <v>49</v>
      </c>
      <c r="I875" s="2">
        <v>45597</v>
      </c>
      <c r="J875">
        <v>36620</v>
      </c>
      <c r="K875" s="2">
        <v>45858</v>
      </c>
      <c r="L875">
        <v>881</v>
      </c>
      <c r="M875">
        <v>37501</v>
      </c>
      <c r="N875">
        <v>0</v>
      </c>
    </row>
    <row r="876" spans="1:14" x14ac:dyDescent="0.3">
      <c r="A876" s="1" t="s">
        <v>921</v>
      </c>
      <c r="B876" s="1" t="s">
        <v>37</v>
      </c>
      <c r="C876">
        <v>54</v>
      </c>
      <c r="D876" s="1" t="s">
        <v>23</v>
      </c>
      <c r="E876" s="1" t="s">
        <v>35</v>
      </c>
      <c r="F876" s="1" t="s">
        <v>18</v>
      </c>
      <c r="G876" s="1" t="s">
        <v>19</v>
      </c>
      <c r="H876" s="1" t="s">
        <v>20</v>
      </c>
      <c r="I876" s="2">
        <v>45665</v>
      </c>
      <c r="J876">
        <v>16383</v>
      </c>
      <c r="K876" s="2">
        <v>45854</v>
      </c>
      <c r="L876">
        <v>27746</v>
      </c>
      <c r="M876">
        <v>44129</v>
      </c>
      <c r="N876">
        <v>0</v>
      </c>
    </row>
    <row r="877" spans="1:14" x14ac:dyDescent="0.3">
      <c r="A877" s="1" t="s">
        <v>922</v>
      </c>
      <c r="B877" s="1" t="s">
        <v>27</v>
      </c>
      <c r="C877">
        <v>38</v>
      </c>
      <c r="D877" s="1" t="s">
        <v>16</v>
      </c>
      <c r="E877" s="1" t="s">
        <v>38</v>
      </c>
      <c r="F877" s="1" t="s">
        <v>18</v>
      </c>
      <c r="G877" s="1" t="s">
        <v>41</v>
      </c>
      <c r="H877" s="1" t="s">
        <v>49</v>
      </c>
      <c r="I877" s="2">
        <v>44698</v>
      </c>
      <c r="J877">
        <v>31883</v>
      </c>
      <c r="K877" s="2">
        <v>45732</v>
      </c>
      <c r="L877">
        <v>28248</v>
      </c>
      <c r="M877">
        <v>60131</v>
      </c>
      <c r="N877">
        <v>0</v>
      </c>
    </row>
    <row r="878" spans="1:14" x14ac:dyDescent="0.3">
      <c r="A878" s="1" t="s">
        <v>923</v>
      </c>
      <c r="B878" s="1" t="s">
        <v>22</v>
      </c>
      <c r="C878">
        <v>31</v>
      </c>
      <c r="D878" s="1" t="s">
        <v>23</v>
      </c>
      <c r="E878" s="1" t="s">
        <v>38</v>
      </c>
      <c r="F878" s="1" t="s">
        <v>18</v>
      </c>
      <c r="G878" s="1" t="s">
        <v>19</v>
      </c>
      <c r="H878" s="1" t="s">
        <v>20</v>
      </c>
      <c r="I878" s="2">
        <v>45574</v>
      </c>
      <c r="J878">
        <v>6834</v>
      </c>
      <c r="K878" s="2">
        <v>45867</v>
      </c>
      <c r="L878">
        <v>13979</v>
      </c>
      <c r="M878">
        <v>20813</v>
      </c>
      <c r="N878">
        <v>0</v>
      </c>
    </row>
    <row r="879" spans="1:14" x14ac:dyDescent="0.3">
      <c r="A879" s="1" t="s">
        <v>924</v>
      </c>
      <c r="B879" s="1" t="s">
        <v>34</v>
      </c>
      <c r="C879">
        <v>19</v>
      </c>
      <c r="D879" s="1" t="s">
        <v>30</v>
      </c>
      <c r="E879" s="1" t="s">
        <v>35</v>
      </c>
      <c r="F879" s="1" t="s">
        <v>18</v>
      </c>
      <c r="G879" s="1" t="s">
        <v>41</v>
      </c>
      <c r="H879" s="1" t="s">
        <v>20</v>
      </c>
      <c r="I879" s="2">
        <v>44455</v>
      </c>
      <c r="J879">
        <v>5858</v>
      </c>
      <c r="K879" s="2">
        <v>45840</v>
      </c>
      <c r="L879">
        <v>9430</v>
      </c>
      <c r="M879">
        <v>15288</v>
      </c>
      <c r="N879">
        <v>0</v>
      </c>
    </row>
    <row r="880" spans="1:14" x14ac:dyDescent="0.3">
      <c r="A880" s="1" t="s">
        <v>925</v>
      </c>
      <c r="B880" s="1" t="s">
        <v>56</v>
      </c>
      <c r="C880">
        <v>28</v>
      </c>
      <c r="D880" s="1" t="s">
        <v>16</v>
      </c>
      <c r="E880" s="1" t="s">
        <v>24</v>
      </c>
      <c r="F880" s="1" t="s">
        <v>25</v>
      </c>
      <c r="G880" s="1" t="s">
        <v>19</v>
      </c>
      <c r="H880" s="1" t="s">
        <v>20</v>
      </c>
      <c r="I880" s="2">
        <v>44756</v>
      </c>
      <c r="J880">
        <v>4857</v>
      </c>
      <c r="K880" s="2">
        <v>45825</v>
      </c>
      <c r="L880">
        <v>15258</v>
      </c>
      <c r="M880">
        <v>20115</v>
      </c>
      <c r="N880">
        <v>0</v>
      </c>
    </row>
    <row r="881" spans="1:14" x14ac:dyDescent="0.3">
      <c r="A881" s="1" t="s">
        <v>926</v>
      </c>
      <c r="B881" s="1" t="s">
        <v>32</v>
      </c>
      <c r="C881">
        <v>68</v>
      </c>
      <c r="D881" s="1" t="s">
        <v>23</v>
      </c>
      <c r="E881" s="1" t="s">
        <v>24</v>
      </c>
      <c r="F881" s="1" t="s">
        <v>25</v>
      </c>
      <c r="G881" s="1" t="s">
        <v>19</v>
      </c>
      <c r="H881" s="1" t="s">
        <v>20</v>
      </c>
      <c r="I881" s="2">
        <v>45063</v>
      </c>
      <c r="J881">
        <v>11151</v>
      </c>
      <c r="K881" s="2">
        <v>45751</v>
      </c>
      <c r="L881">
        <v>13538</v>
      </c>
      <c r="M881">
        <v>24689</v>
      </c>
      <c r="N881">
        <v>0</v>
      </c>
    </row>
    <row r="882" spans="1:14" x14ac:dyDescent="0.3">
      <c r="A882" s="1" t="s">
        <v>927</v>
      </c>
      <c r="B882" s="1" t="s">
        <v>37</v>
      </c>
      <c r="C882">
        <v>56</v>
      </c>
      <c r="D882" s="1" t="s">
        <v>16</v>
      </c>
      <c r="E882" s="1" t="s">
        <v>38</v>
      </c>
      <c r="F882" s="1" t="s">
        <v>25</v>
      </c>
      <c r="G882" s="1" t="s">
        <v>19</v>
      </c>
      <c r="H882" s="1" t="s">
        <v>20</v>
      </c>
      <c r="I882" s="2">
        <v>44575</v>
      </c>
      <c r="J882">
        <v>16856</v>
      </c>
      <c r="K882" s="2">
        <v>45813</v>
      </c>
      <c r="L882">
        <v>22324</v>
      </c>
      <c r="M882">
        <v>39180</v>
      </c>
      <c r="N882">
        <v>0</v>
      </c>
    </row>
    <row r="883" spans="1:14" x14ac:dyDescent="0.3">
      <c r="A883" s="1" t="s">
        <v>928</v>
      </c>
      <c r="B883" s="1" t="s">
        <v>87</v>
      </c>
      <c r="C883">
        <v>55</v>
      </c>
      <c r="D883" s="1" t="s">
        <v>23</v>
      </c>
      <c r="E883" s="1" t="s">
        <v>24</v>
      </c>
      <c r="F883" s="1" t="s">
        <v>25</v>
      </c>
      <c r="G883" s="1" t="s">
        <v>19</v>
      </c>
      <c r="H883" s="1" t="s">
        <v>20</v>
      </c>
      <c r="I883" s="2">
        <v>45166</v>
      </c>
      <c r="J883">
        <v>7756</v>
      </c>
      <c r="K883" s="2">
        <v>45850</v>
      </c>
      <c r="L883">
        <v>14634</v>
      </c>
      <c r="M883">
        <v>22390</v>
      </c>
      <c r="N883">
        <v>0</v>
      </c>
    </row>
    <row r="884" spans="1:14" x14ac:dyDescent="0.3">
      <c r="A884" s="1" t="s">
        <v>929</v>
      </c>
      <c r="B884" s="1" t="s">
        <v>27</v>
      </c>
      <c r="C884">
        <v>51</v>
      </c>
      <c r="D884" s="1" t="s">
        <v>30</v>
      </c>
      <c r="E884" s="1" t="s">
        <v>24</v>
      </c>
      <c r="F884" s="1" t="s">
        <v>18</v>
      </c>
      <c r="G884" s="1" t="s">
        <v>19</v>
      </c>
      <c r="H884" s="1" t="s">
        <v>20</v>
      </c>
      <c r="I884" s="2">
        <v>45165</v>
      </c>
      <c r="J884">
        <v>63884</v>
      </c>
      <c r="K884" s="2">
        <v>45861</v>
      </c>
      <c r="L884">
        <v>-14987</v>
      </c>
      <c r="M884">
        <v>48897</v>
      </c>
      <c r="N884">
        <v>0</v>
      </c>
    </row>
    <row r="885" spans="1:14" x14ac:dyDescent="0.3">
      <c r="A885" s="1" t="s">
        <v>930</v>
      </c>
      <c r="B885" s="1" t="s">
        <v>29</v>
      </c>
      <c r="C885">
        <v>55</v>
      </c>
      <c r="D885" s="1" t="s">
        <v>30</v>
      </c>
      <c r="E885" s="1" t="s">
        <v>24</v>
      </c>
      <c r="F885" s="1" t="s">
        <v>18</v>
      </c>
      <c r="G885" s="1" t="s">
        <v>19</v>
      </c>
      <c r="H885" s="1" t="s">
        <v>20</v>
      </c>
      <c r="I885" s="2">
        <v>44543</v>
      </c>
      <c r="J885">
        <v>7029</v>
      </c>
      <c r="K885" s="2">
        <v>45818</v>
      </c>
      <c r="L885">
        <v>10958</v>
      </c>
      <c r="M885">
        <v>17987</v>
      </c>
      <c r="N885">
        <v>0</v>
      </c>
    </row>
    <row r="886" spans="1:14" x14ac:dyDescent="0.3">
      <c r="A886" s="1" t="s">
        <v>931</v>
      </c>
      <c r="B886" s="1" t="s">
        <v>69</v>
      </c>
      <c r="C886">
        <v>67</v>
      </c>
      <c r="D886" s="1" t="s">
        <v>16</v>
      </c>
      <c r="E886" s="1" t="s">
        <v>38</v>
      </c>
      <c r="F886" s="1" t="s">
        <v>25</v>
      </c>
      <c r="G886" s="1" t="s">
        <v>19</v>
      </c>
      <c r="H886" s="1" t="s">
        <v>20</v>
      </c>
      <c r="I886" s="2">
        <v>45528</v>
      </c>
      <c r="J886">
        <v>17134</v>
      </c>
      <c r="K886" s="2">
        <v>45863</v>
      </c>
      <c r="L886">
        <v>15085</v>
      </c>
      <c r="M886">
        <v>32219</v>
      </c>
      <c r="N886">
        <v>0</v>
      </c>
    </row>
    <row r="887" spans="1:14" x14ac:dyDescent="0.3">
      <c r="A887" s="1" t="s">
        <v>932</v>
      </c>
      <c r="B887" s="1" t="s">
        <v>61</v>
      </c>
      <c r="C887">
        <v>51</v>
      </c>
      <c r="D887" s="1" t="s">
        <v>23</v>
      </c>
      <c r="E887" s="1" t="s">
        <v>17</v>
      </c>
      <c r="F887" s="1" t="s">
        <v>18</v>
      </c>
      <c r="G887" s="1" t="s">
        <v>19</v>
      </c>
      <c r="H887" s="1" t="s">
        <v>20</v>
      </c>
      <c r="I887" s="2">
        <v>45253</v>
      </c>
      <c r="J887">
        <v>5525</v>
      </c>
      <c r="K887" s="2">
        <v>45839</v>
      </c>
      <c r="L887">
        <v>2968</v>
      </c>
      <c r="M887">
        <v>8493</v>
      </c>
      <c r="N887">
        <v>0</v>
      </c>
    </row>
    <row r="888" spans="1:14" x14ac:dyDescent="0.3">
      <c r="A888" s="1" t="s">
        <v>933</v>
      </c>
      <c r="B888" s="1" t="s">
        <v>59</v>
      </c>
      <c r="C888">
        <v>35</v>
      </c>
      <c r="D888" s="1" t="s">
        <v>16</v>
      </c>
      <c r="E888" s="1" t="s">
        <v>35</v>
      </c>
      <c r="F888" s="1" t="s">
        <v>25</v>
      </c>
      <c r="G888" s="1" t="s">
        <v>19</v>
      </c>
      <c r="H888" s="1" t="s">
        <v>20</v>
      </c>
      <c r="I888" s="2">
        <v>44728</v>
      </c>
      <c r="J888">
        <v>6815</v>
      </c>
      <c r="K888" s="2">
        <v>45837</v>
      </c>
      <c r="L888">
        <v>10130</v>
      </c>
      <c r="M888">
        <v>16945</v>
      </c>
      <c r="N888">
        <v>0</v>
      </c>
    </row>
    <row r="889" spans="1:14" x14ac:dyDescent="0.3">
      <c r="A889" s="1" t="s">
        <v>934</v>
      </c>
      <c r="B889" s="1" t="s">
        <v>43</v>
      </c>
      <c r="C889">
        <v>47</v>
      </c>
      <c r="D889" s="1" t="s">
        <v>23</v>
      </c>
      <c r="E889" s="1" t="s">
        <v>24</v>
      </c>
      <c r="F889" s="1" t="s">
        <v>18</v>
      </c>
      <c r="G889" s="1" t="s">
        <v>19</v>
      </c>
      <c r="H889" s="1" t="s">
        <v>20</v>
      </c>
      <c r="I889" s="2">
        <v>44585</v>
      </c>
      <c r="J889">
        <v>12255</v>
      </c>
      <c r="K889" s="2">
        <v>45839</v>
      </c>
      <c r="L889">
        <v>19574</v>
      </c>
      <c r="M889">
        <v>31829</v>
      </c>
      <c r="N889">
        <v>0</v>
      </c>
    </row>
    <row r="890" spans="1:14" x14ac:dyDescent="0.3">
      <c r="A890" s="1" t="s">
        <v>935</v>
      </c>
      <c r="B890" s="1" t="s">
        <v>87</v>
      </c>
      <c r="C890">
        <v>32</v>
      </c>
      <c r="D890" s="1" t="s">
        <v>23</v>
      </c>
      <c r="E890" s="1" t="s">
        <v>17</v>
      </c>
      <c r="F890" s="1" t="s">
        <v>18</v>
      </c>
      <c r="G890" s="1" t="s">
        <v>19</v>
      </c>
      <c r="H890" s="1" t="s">
        <v>20</v>
      </c>
      <c r="I890" s="2">
        <v>45667</v>
      </c>
      <c r="J890">
        <v>5810</v>
      </c>
      <c r="K890" s="2">
        <v>45865</v>
      </c>
      <c r="L890">
        <v>12768</v>
      </c>
      <c r="M890">
        <v>18578</v>
      </c>
      <c r="N890">
        <v>0</v>
      </c>
    </row>
    <row r="891" spans="1:14" x14ac:dyDescent="0.3">
      <c r="A891" s="1" t="s">
        <v>936</v>
      </c>
      <c r="B891" s="1" t="s">
        <v>71</v>
      </c>
      <c r="C891">
        <v>44</v>
      </c>
      <c r="D891" s="1" t="s">
        <v>16</v>
      </c>
      <c r="E891" s="1" t="s">
        <v>24</v>
      </c>
      <c r="F891" s="1" t="s">
        <v>25</v>
      </c>
      <c r="G891" s="1" t="s">
        <v>19</v>
      </c>
      <c r="H891" s="1" t="s">
        <v>20</v>
      </c>
      <c r="I891" s="2">
        <v>45595</v>
      </c>
      <c r="J891">
        <v>14609</v>
      </c>
      <c r="K891" s="2">
        <v>45869</v>
      </c>
      <c r="L891">
        <v>-14729</v>
      </c>
      <c r="M891">
        <v>-120</v>
      </c>
      <c r="N891">
        <v>0</v>
      </c>
    </row>
    <row r="892" spans="1:14" x14ac:dyDescent="0.3">
      <c r="A892" s="1" t="s">
        <v>937</v>
      </c>
      <c r="B892" s="1" t="s">
        <v>75</v>
      </c>
      <c r="C892">
        <v>68</v>
      </c>
      <c r="D892" s="1" t="s">
        <v>23</v>
      </c>
      <c r="E892" s="1" t="s">
        <v>17</v>
      </c>
      <c r="F892" s="1" t="s">
        <v>25</v>
      </c>
      <c r="G892" s="1" t="s">
        <v>19</v>
      </c>
      <c r="H892" s="1" t="s">
        <v>20</v>
      </c>
      <c r="I892" s="2">
        <v>44581</v>
      </c>
      <c r="J892">
        <v>20749</v>
      </c>
      <c r="K892" s="2">
        <v>45819</v>
      </c>
      <c r="L892">
        <v>-3785</v>
      </c>
      <c r="M892">
        <v>16964</v>
      </c>
      <c r="N892">
        <v>0</v>
      </c>
    </row>
    <row r="893" spans="1:14" x14ac:dyDescent="0.3">
      <c r="A893" s="1" t="s">
        <v>938</v>
      </c>
      <c r="B893" s="1" t="s">
        <v>43</v>
      </c>
      <c r="C893">
        <v>51</v>
      </c>
      <c r="D893" s="1" t="s">
        <v>23</v>
      </c>
      <c r="E893" s="1" t="s">
        <v>38</v>
      </c>
      <c r="F893" s="1" t="s">
        <v>25</v>
      </c>
      <c r="G893" s="1" t="s">
        <v>19</v>
      </c>
      <c r="H893" s="1" t="s">
        <v>20</v>
      </c>
      <c r="I893" s="2">
        <v>44256</v>
      </c>
      <c r="J893">
        <v>39870</v>
      </c>
      <c r="K893" s="2">
        <v>45860</v>
      </c>
      <c r="L893">
        <v>14179</v>
      </c>
      <c r="M893">
        <v>54049</v>
      </c>
      <c r="N893">
        <v>0</v>
      </c>
    </row>
    <row r="894" spans="1:14" x14ac:dyDescent="0.3">
      <c r="A894" s="1" t="s">
        <v>939</v>
      </c>
      <c r="B894" s="1" t="s">
        <v>43</v>
      </c>
      <c r="C894">
        <v>69</v>
      </c>
      <c r="D894" s="1" t="s">
        <v>30</v>
      </c>
      <c r="E894" s="1" t="s">
        <v>35</v>
      </c>
      <c r="F894" s="1" t="s">
        <v>18</v>
      </c>
      <c r="G894" s="1" t="s">
        <v>19</v>
      </c>
      <c r="H894" s="1" t="s">
        <v>20</v>
      </c>
      <c r="I894" s="2">
        <v>45542</v>
      </c>
      <c r="J894">
        <v>4537</v>
      </c>
      <c r="K894" s="2">
        <v>45840</v>
      </c>
      <c r="L894">
        <v>-7386</v>
      </c>
      <c r="M894">
        <v>-2849</v>
      </c>
      <c r="N894">
        <v>0</v>
      </c>
    </row>
    <row r="895" spans="1:14" x14ac:dyDescent="0.3">
      <c r="A895" s="1" t="s">
        <v>940</v>
      </c>
      <c r="B895" s="1" t="s">
        <v>61</v>
      </c>
      <c r="C895">
        <v>55</v>
      </c>
      <c r="D895" s="1" t="s">
        <v>23</v>
      </c>
      <c r="E895" s="1" t="s">
        <v>38</v>
      </c>
      <c r="F895" s="1" t="s">
        <v>25</v>
      </c>
      <c r="G895" s="1" t="s">
        <v>19</v>
      </c>
      <c r="H895" s="1" t="s">
        <v>20</v>
      </c>
      <c r="I895" s="2">
        <v>45226</v>
      </c>
      <c r="J895">
        <v>15801</v>
      </c>
      <c r="K895" s="2">
        <v>45858</v>
      </c>
      <c r="L895">
        <v>14231</v>
      </c>
      <c r="M895">
        <v>30032</v>
      </c>
      <c r="N895">
        <v>0</v>
      </c>
    </row>
    <row r="896" spans="1:14" x14ac:dyDescent="0.3">
      <c r="A896" s="1" t="s">
        <v>941</v>
      </c>
      <c r="B896" s="1" t="s">
        <v>69</v>
      </c>
      <c r="C896">
        <v>50</v>
      </c>
      <c r="D896" s="1" t="s">
        <v>23</v>
      </c>
      <c r="E896" s="1" t="s">
        <v>17</v>
      </c>
      <c r="F896" s="1" t="s">
        <v>18</v>
      </c>
      <c r="G896" s="1" t="s">
        <v>41</v>
      </c>
      <c r="H896" s="1" t="s">
        <v>20</v>
      </c>
      <c r="I896" s="2">
        <v>44365</v>
      </c>
      <c r="J896">
        <v>12557</v>
      </c>
      <c r="K896" s="2">
        <v>45849</v>
      </c>
      <c r="L896">
        <v>11960</v>
      </c>
      <c r="M896">
        <v>24517</v>
      </c>
      <c r="N896">
        <v>0</v>
      </c>
    </row>
    <row r="897" spans="1:14" x14ac:dyDescent="0.3">
      <c r="A897" s="1" t="s">
        <v>942</v>
      </c>
      <c r="B897" s="1" t="s">
        <v>79</v>
      </c>
      <c r="C897">
        <v>41</v>
      </c>
      <c r="D897" s="1" t="s">
        <v>16</v>
      </c>
      <c r="E897" s="1" t="s">
        <v>17</v>
      </c>
      <c r="F897" s="1" t="s">
        <v>18</v>
      </c>
      <c r="G897" s="1" t="s">
        <v>19</v>
      </c>
      <c r="H897" s="1" t="s">
        <v>20</v>
      </c>
      <c r="I897" s="2">
        <v>45179</v>
      </c>
      <c r="J897">
        <v>2104</v>
      </c>
      <c r="K897" s="2">
        <v>45869</v>
      </c>
      <c r="L897">
        <v>2737</v>
      </c>
      <c r="M897">
        <v>4841</v>
      </c>
      <c r="N897">
        <v>0</v>
      </c>
    </row>
    <row r="898" spans="1:14" x14ac:dyDescent="0.3">
      <c r="A898" s="1" t="s">
        <v>943</v>
      </c>
      <c r="B898" s="1" t="s">
        <v>64</v>
      </c>
      <c r="C898">
        <v>32</v>
      </c>
      <c r="D898" s="1" t="s">
        <v>23</v>
      </c>
      <c r="E898" s="1" t="s">
        <v>38</v>
      </c>
      <c r="F898" s="1" t="s">
        <v>25</v>
      </c>
      <c r="G898" s="1" t="s">
        <v>19</v>
      </c>
      <c r="H898" s="1" t="s">
        <v>20</v>
      </c>
      <c r="I898" s="2">
        <v>44953</v>
      </c>
      <c r="J898">
        <v>4321</v>
      </c>
      <c r="K898" s="2">
        <v>45860</v>
      </c>
      <c r="L898">
        <v>13581</v>
      </c>
      <c r="M898">
        <v>17902</v>
      </c>
      <c r="N898">
        <v>0</v>
      </c>
    </row>
    <row r="899" spans="1:14" x14ac:dyDescent="0.3">
      <c r="A899" s="1" t="s">
        <v>944</v>
      </c>
      <c r="B899" s="1" t="s">
        <v>69</v>
      </c>
      <c r="C899">
        <v>47</v>
      </c>
      <c r="D899" s="1" t="s">
        <v>16</v>
      </c>
      <c r="E899" s="1" t="s">
        <v>35</v>
      </c>
      <c r="F899" s="1" t="s">
        <v>25</v>
      </c>
      <c r="G899" s="1" t="s">
        <v>19</v>
      </c>
      <c r="H899" s="1" t="s">
        <v>20</v>
      </c>
      <c r="I899" s="2">
        <v>45492</v>
      </c>
      <c r="J899">
        <v>21481</v>
      </c>
      <c r="K899" s="2">
        <v>45856</v>
      </c>
      <c r="L899">
        <v>15254</v>
      </c>
      <c r="M899">
        <v>36735</v>
      </c>
      <c r="N899">
        <v>0</v>
      </c>
    </row>
    <row r="900" spans="1:14" x14ac:dyDescent="0.3">
      <c r="A900" s="1" t="s">
        <v>945</v>
      </c>
      <c r="B900" s="1" t="s">
        <v>27</v>
      </c>
      <c r="C900">
        <v>59</v>
      </c>
      <c r="D900" s="1" t="s">
        <v>30</v>
      </c>
      <c r="E900" s="1" t="s">
        <v>24</v>
      </c>
      <c r="F900" s="1" t="s">
        <v>18</v>
      </c>
      <c r="G900" s="1" t="s">
        <v>19</v>
      </c>
      <c r="H900" s="1" t="s">
        <v>20</v>
      </c>
      <c r="I900" s="2">
        <v>44546</v>
      </c>
      <c r="J900">
        <v>3454</v>
      </c>
      <c r="K900" s="2">
        <v>45867</v>
      </c>
      <c r="L900">
        <v>20121</v>
      </c>
      <c r="M900">
        <v>23575</v>
      </c>
      <c r="N900">
        <v>0</v>
      </c>
    </row>
    <row r="901" spans="1:14" x14ac:dyDescent="0.3">
      <c r="A901" s="1" t="s">
        <v>946</v>
      </c>
      <c r="B901" s="1" t="s">
        <v>64</v>
      </c>
      <c r="C901">
        <v>68</v>
      </c>
      <c r="D901" s="1" t="s">
        <v>16</v>
      </c>
      <c r="E901" s="1" t="s">
        <v>24</v>
      </c>
      <c r="F901" s="1" t="s">
        <v>25</v>
      </c>
      <c r="G901" s="1" t="s">
        <v>19</v>
      </c>
      <c r="H901" s="1" t="s">
        <v>20</v>
      </c>
      <c r="I901" s="2">
        <v>44955</v>
      </c>
      <c r="J901">
        <v>12414</v>
      </c>
      <c r="K901" s="2">
        <v>45825</v>
      </c>
      <c r="L901">
        <v>19807</v>
      </c>
      <c r="M901">
        <v>32221</v>
      </c>
      <c r="N901">
        <v>0</v>
      </c>
    </row>
    <row r="902" spans="1:14" x14ac:dyDescent="0.3">
      <c r="A902" s="1" t="s">
        <v>947</v>
      </c>
      <c r="B902" s="1" t="s">
        <v>79</v>
      </c>
      <c r="C902">
        <v>34</v>
      </c>
      <c r="D902" s="1" t="s">
        <v>16</v>
      </c>
      <c r="E902" s="1" t="s">
        <v>24</v>
      </c>
      <c r="F902" s="1" t="s">
        <v>18</v>
      </c>
      <c r="G902" s="1" t="s">
        <v>19</v>
      </c>
      <c r="H902" s="1" t="s">
        <v>20</v>
      </c>
      <c r="I902" s="2">
        <v>44458</v>
      </c>
      <c r="J902">
        <v>1600</v>
      </c>
      <c r="K902" s="2">
        <v>45815</v>
      </c>
      <c r="L902">
        <v>45078</v>
      </c>
      <c r="M902">
        <v>46678</v>
      </c>
      <c r="N902">
        <v>0</v>
      </c>
    </row>
    <row r="903" spans="1:14" x14ac:dyDescent="0.3">
      <c r="A903" s="1" t="s">
        <v>948</v>
      </c>
      <c r="B903" s="1" t="s">
        <v>75</v>
      </c>
      <c r="C903">
        <v>22</v>
      </c>
      <c r="D903" s="1" t="s">
        <v>23</v>
      </c>
      <c r="E903" s="1" t="s">
        <v>38</v>
      </c>
      <c r="F903" s="1" t="s">
        <v>18</v>
      </c>
      <c r="G903" s="1" t="s">
        <v>19</v>
      </c>
      <c r="H903" s="1" t="s">
        <v>20</v>
      </c>
      <c r="I903" s="2">
        <v>45798</v>
      </c>
      <c r="J903">
        <v>12053</v>
      </c>
      <c r="K903" s="2">
        <v>45869</v>
      </c>
      <c r="L903">
        <v>15219</v>
      </c>
      <c r="M903">
        <v>27272</v>
      </c>
      <c r="N903">
        <v>0</v>
      </c>
    </row>
    <row r="904" spans="1:14" x14ac:dyDescent="0.3">
      <c r="A904" s="1" t="s">
        <v>949</v>
      </c>
      <c r="B904" s="1" t="s">
        <v>69</v>
      </c>
      <c r="C904">
        <v>46</v>
      </c>
      <c r="D904" s="1" t="s">
        <v>23</v>
      </c>
      <c r="E904" s="1" t="s">
        <v>24</v>
      </c>
      <c r="F904" s="1" t="s">
        <v>18</v>
      </c>
      <c r="G904" s="1" t="s">
        <v>19</v>
      </c>
      <c r="H904" s="1" t="s">
        <v>20</v>
      </c>
      <c r="I904" s="2">
        <v>45499</v>
      </c>
      <c r="J904">
        <v>1714</v>
      </c>
      <c r="K904" s="2">
        <v>45867</v>
      </c>
      <c r="L904">
        <v>2765</v>
      </c>
      <c r="M904">
        <v>4479</v>
      </c>
      <c r="N904">
        <v>0</v>
      </c>
    </row>
    <row r="905" spans="1:14" x14ac:dyDescent="0.3">
      <c r="A905" s="1" t="s">
        <v>950</v>
      </c>
      <c r="B905" s="1" t="s">
        <v>15</v>
      </c>
      <c r="C905">
        <v>21</v>
      </c>
      <c r="D905" s="1" t="s">
        <v>16</v>
      </c>
      <c r="E905" s="1" t="s">
        <v>24</v>
      </c>
      <c r="F905" s="1" t="s">
        <v>25</v>
      </c>
      <c r="G905" s="1" t="s">
        <v>19</v>
      </c>
      <c r="H905" s="1" t="s">
        <v>20</v>
      </c>
      <c r="I905" s="2">
        <v>45429</v>
      </c>
      <c r="J905">
        <v>7298</v>
      </c>
      <c r="K905" s="2">
        <v>45867</v>
      </c>
      <c r="L905">
        <v>-3801</v>
      </c>
      <c r="M905">
        <v>3497</v>
      </c>
      <c r="N905">
        <v>0</v>
      </c>
    </row>
    <row r="906" spans="1:14" x14ac:dyDescent="0.3">
      <c r="A906" s="1" t="s">
        <v>951</v>
      </c>
      <c r="B906" s="1" t="s">
        <v>32</v>
      </c>
      <c r="C906">
        <v>27</v>
      </c>
      <c r="D906" s="1" t="s">
        <v>16</v>
      </c>
      <c r="E906" s="1" t="s">
        <v>24</v>
      </c>
      <c r="F906" s="1" t="s">
        <v>18</v>
      </c>
      <c r="G906" s="1" t="s">
        <v>19</v>
      </c>
      <c r="H906" s="1" t="s">
        <v>20</v>
      </c>
      <c r="I906" s="2">
        <v>45351</v>
      </c>
      <c r="J906">
        <v>8624</v>
      </c>
      <c r="K906" s="2">
        <v>45866</v>
      </c>
      <c r="L906">
        <v>7424</v>
      </c>
      <c r="M906">
        <v>16048</v>
      </c>
      <c r="N906">
        <v>0</v>
      </c>
    </row>
    <row r="907" spans="1:14" x14ac:dyDescent="0.3">
      <c r="A907" s="1" t="s">
        <v>952</v>
      </c>
      <c r="B907" s="1" t="s">
        <v>27</v>
      </c>
      <c r="C907">
        <v>34</v>
      </c>
      <c r="D907" s="1" t="s">
        <v>16</v>
      </c>
      <c r="E907" s="1" t="s">
        <v>38</v>
      </c>
      <c r="F907" s="1" t="s">
        <v>25</v>
      </c>
      <c r="G907" s="1" t="s">
        <v>19</v>
      </c>
      <c r="H907" s="1" t="s">
        <v>20</v>
      </c>
      <c r="I907" s="2">
        <v>44905</v>
      </c>
      <c r="J907">
        <v>15109</v>
      </c>
      <c r="K907" s="2">
        <v>45850</v>
      </c>
      <c r="L907">
        <v>-7728</v>
      </c>
      <c r="M907">
        <v>7381</v>
      </c>
      <c r="N907">
        <v>0</v>
      </c>
    </row>
    <row r="908" spans="1:14" x14ac:dyDescent="0.3">
      <c r="A908" s="1" t="s">
        <v>953</v>
      </c>
      <c r="B908" s="1" t="s">
        <v>59</v>
      </c>
      <c r="C908">
        <v>27</v>
      </c>
      <c r="D908" s="1" t="s">
        <v>23</v>
      </c>
      <c r="E908" s="1" t="s">
        <v>17</v>
      </c>
      <c r="F908" s="1" t="s">
        <v>18</v>
      </c>
      <c r="G908" s="1" t="s">
        <v>19</v>
      </c>
      <c r="H908" s="1" t="s">
        <v>20</v>
      </c>
      <c r="I908" s="2">
        <v>45741</v>
      </c>
      <c r="J908">
        <v>10378</v>
      </c>
      <c r="K908" s="2">
        <v>45863</v>
      </c>
      <c r="L908">
        <v>-11197</v>
      </c>
      <c r="M908">
        <v>-819</v>
      </c>
      <c r="N908">
        <v>0</v>
      </c>
    </row>
    <row r="909" spans="1:14" x14ac:dyDescent="0.3">
      <c r="A909" s="1" t="s">
        <v>954</v>
      </c>
      <c r="B909" s="1" t="s">
        <v>15</v>
      </c>
      <c r="C909">
        <v>34</v>
      </c>
      <c r="D909" s="1" t="s">
        <v>23</v>
      </c>
      <c r="E909" s="1" t="s">
        <v>24</v>
      </c>
      <c r="F909" s="1" t="s">
        <v>25</v>
      </c>
      <c r="G909" s="1" t="s">
        <v>41</v>
      </c>
      <c r="H909" s="1" t="s">
        <v>20</v>
      </c>
      <c r="I909" s="2">
        <v>44318</v>
      </c>
      <c r="J909">
        <v>3882</v>
      </c>
      <c r="K909" s="2">
        <v>45690</v>
      </c>
      <c r="L909">
        <v>5720</v>
      </c>
      <c r="M909">
        <v>9602</v>
      </c>
      <c r="N909">
        <v>0</v>
      </c>
    </row>
    <row r="910" spans="1:14" x14ac:dyDescent="0.3">
      <c r="A910" s="1" t="s">
        <v>955</v>
      </c>
      <c r="B910" s="1" t="s">
        <v>15</v>
      </c>
      <c r="C910">
        <v>37</v>
      </c>
      <c r="D910" s="1" t="s">
        <v>23</v>
      </c>
      <c r="E910" s="1" t="s">
        <v>24</v>
      </c>
      <c r="F910" s="1" t="s">
        <v>18</v>
      </c>
      <c r="G910" s="1" t="s">
        <v>19</v>
      </c>
      <c r="H910" s="1" t="s">
        <v>20</v>
      </c>
      <c r="I910" s="2">
        <v>45540</v>
      </c>
      <c r="J910">
        <v>3955</v>
      </c>
      <c r="K910" s="2">
        <v>45846</v>
      </c>
      <c r="L910">
        <v>26484</v>
      </c>
      <c r="M910">
        <v>30439</v>
      </c>
      <c r="N910">
        <v>0</v>
      </c>
    </row>
    <row r="911" spans="1:14" x14ac:dyDescent="0.3">
      <c r="A911" s="1" t="s">
        <v>956</v>
      </c>
      <c r="B911" s="1" t="s">
        <v>59</v>
      </c>
      <c r="C911">
        <v>41</v>
      </c>
      <c r="D911" s="1" t="s">
        <v>16</v>
      </c>
      <c r="E911" s="1" t="s">
        <v>17</v>
      </c>
      <c r="F911" s="1" t="s">
        <v>25</v>
      </c>
      <c r="G911" s="1" t="s">
        <v>19</v>
      </c>
      <c r="H911" s="1" t="s">
        <v>20</v>
      </c>
      <c r="I911" s="2">
        <v>44557</v>
      </c>
      <c r="J911">
        <v>2659</v>
      </c>
      <c r="K911" s="2">
        <v>45847</v>
      </c>
      <c r="L911">
        <v>3003</v>
      </c>
      <c r="M911">
        <v>5662</v>
      </c>
      <c r="N911">
        <v>0</v>
      </c>
    </row>
    <row r="912" spans="1:14" x14ac:dyDescent="0.3">
      <c r="A912" s="1" t="s">
        <v>957</v>
      </c>
      <c r="B912" s="1" t="s">
        <v>37</v>
      </c>
      <c r="C912">
        <v>22</v>
      </c>
      <c r="D912" s="1" t="s">
        <v>23</v>
      </c>
      <c r="E912" s="1" t="s">
        <v>17</v>
      </c>
      <c r="F912" s="1" t="s">
        <v>18</v>
      </c>
      <c r="G912" s="1" t="s">
        <v>19</v>
      </c>
      <c r="H912" s="1" t="s">
        <v>20</v>
      </c>
      <c r="I912" s="2">
        <v>44739</v>
      </c>
      <c r="J912">
        <v>16424</v>
      </c>
      <c r="K912" s="2">
        <v>45829</v>
      </c>
      <c r="L912">
        <v>29896</v>
      </c>
      <c r="M912">
        <v>46320</v>
      </c>
      <c r="N912">
        <v>0</v>
      </c>
    </row>
    <row r="913" spans="1:14" x14ac:dyDescent="0.3">
      <c r="A913" s="1" t="s">
        <v>958</v>
      </c>
      <c r="B913" s="1" t="s">
        <v>37</v>
      </c>
      <c r="C913">
        <v>51</v>
      </c>
      <c r="D913" s="1" t="s">
        <v>16</v>
      </c>
      <c r="E913" s="1" t="s">
        <v>38</v>
      </c>
      <c r="F913" s="1" t="s">
        <v>25</v>
      </c>
      <c r="G913" s="1" t="s">
        <v>41</v>
      </c>
      <c r="H913" s="1" t="s">
        <v>20</v>
      </c>
      <c r="I913" s="2">
        <v>45066</v>
      </c>
      <c r="J913">
        <v>15715</v>
      </c>
      <c r="K913" s="2">
        <v>45864</v>
      </c>
      <c r="L913">
        <v>5049</v>
      </c>
      <c r="M913">
        <v>20764</v>
      </c>
      <c r="N913">
        <v>0</v>
      </c>
    </row>
    <row r="914" spans="1:14" x14ac:dyDescent="0.3">
      <c r="A914" s="1" t="s">
        <v>959</v>
      </c>
      <c r="B914" s="1" t="s">
        <v>79</v>
      </c>
      <c r="C914">
        <v>23</v>
      </c>
      <c r="D914" s="1" t="s">
        <v>16</v>
      </c>
      <c r="E914" s="1" t="s">
        <v>38</v>
      </c>
      <c r="F914" s="1" t="s">
        <v>25</v>
      </c>
      <c r="G914" s="1" t="s">
        <v>19</v>
      </c>
      <c r="H914" s="1" t="s">
        <v>20</v>
      </c>
      <c r="I914" s="2">
        <v>45506</v>
      </c>
      <c r="J914">
        <v>26093</v>
      </c>
      <c r="K914" s="2">
        <v>45869</v>
      </c>
      <c r="L914">
        <v>16900</v>
      </c>
      <c r="M914">
        <v>42993</v>
      </c>
      <c r="N914">
        <v>0</v>
      </c>
    </row>
    <row r="915" spans="1:14" x14ac:dyDescent="0.3">
      <c r="A915" s="1" t="s">
        <v>960</v>
      </c>
      <c r="B915" s="1" t="s">
        <v>71</v>
      </c>
      <c r="C915">
        <v>19</v>
      </c>
      <c r="D915" s="1" t="s">
        <v>23</v>
      </c>
      <c r="E915" s="1" t="s">
        <v>38</v>
      </c>
      <c r="F915" s="1" t="s">
        <v>25</v>
      </c>
      <c r="G915" s="1" t="s">
        <v>19</v>
      </c>
      <c r="H915" s="1" t="s">
        <v>20</v>
      </c>
      <c r="I915" s="2">
        <v>45599</v>
      </c>
      <c r="J915">
        <v>8102</v>
      </c>
      <c r="K915" s="2">
        <v>45864</v>
      </c>
      <c r="L915">
        <v>8819</v>
      </c>
      <c r="M915">
        <v>16921</v>
      </c>
      <c r="N915">
        <v>0</v>
      </c>
    </row>
    <row r="916" spans="1:14" x14ac:dyDescent="0.3">
      <c r="A916" s="1" t="s">
        <v>961</v>
      </c>
      <c r="B916" s="1" t="s">
        <v>71</v>
      </c>
      <c r="C916">
        <v>30</v>
      </c>
      <c r="D916" s="1" t="s">
        <v>16</v>
      </c>
      <c r="E916" s="1" t="s">
        <v>38</v>
      </c>
      <c r="F916" s="1" t="s">
        <v>18</v>
      </c>
      <c r="G916" s="1" t="s">
        <v>19</v>
      </c>
      <c r="H916" s="1" t="s">
        <v>20</v>
      </c>
      <c r="I916" s="2">
        <v>45173</v>
      </c>
      <c r="J916">
        <v>2358</v>
      </c>
      <c r="K916" s="2">
        <v>45865</v>
      </c>
      <c r="L916">
        <v>11813</v>
      </c>
      <c r="M916">
        <v>14171</v>
      </c>
      <c r="N916">
        <v>0</v>
      </c>
    </row>
    <row r="917" spans="1:14" x14ac:dyDescent="0.3">
      <c r="A917" s="1" t="s">
        <v>962</v>
      </c>
      <c r="B917" s="1" t="s">
        <v>61</v>
      </c>
      <c r="C917">
        <v>60</v>
      </c>
      <c r="D917" s="1" t="s">
        <v>23</v>
      </c>
      <c r="E917" s="1" t="s">
        <v>24</v>
      </c>
      <c r="F917" s="1" t="s">
        <v>25</v>
      </c>
      <c r="G917" s="1" t="s">
        <v>19</v>
      </c>
      <c r="H917" s="1" t="s">
        <v>20</v>
      </c>
      <c r="I917" s="2">
        <v>44871</v>
      </c>
      <c r="J917">
        <v>9740</v>
      </c>
      <c r="K917" s="2">
        <v>45852</v>
      </c>
      <c r="L917">
        <v>1767</v>
      </c>
      <c r="M917">
        <v>11507</v>
      </c>
      <c r="N917">
        <v>0</v>
      </c>
    </row>
    <row r="918" spans="1:14" x14ac:dyDescent="0.3">
      <c r="A918" s="1" t="s">
        <v>963</v>
      </c>
      <c r="B918" s="1" t="s">
        <v>75</v>
      </c>
      <c r="C918">
        <v>60</v>
      </c>
      <c r="D918" s="1" t="s">
        <v>16</v>
      </c>
      <c r="E918" s="1" t="s">
        <v>38</v>
      </c>
      <c r="F918" s="1" t="s">
        <v>18</v>
      </c>
      <c r="G918" s="1" t="s">
        <v>19</v>
      </c>
      <c r="H918" s="1" t="s">
        <v>20</v>
      </c>
      <c r="I918" s="2">
        <v>45780</v>
      </c>
      <c r="J918">
        <v>13508</v>
      </c>
      <c r="K918" s="2">
        <v>45867</v>
      </c>
      <c r="L918">
        <v>7736</v>
      </c>
      <c r="M918">
        <v>21244</v>
      </c>
      <c r="N918">
        <v>0</v>
      </c>
    </row>
    <row r="919" spans="1:14" x14ac:dyDescent="0.3">
      <c r="A919" s="1" t="s">
        <v>964</v>
      </c>
      <c r="B919" s="1" t="s">
        <v>27</v>
      </c>
      <c r="C919">
        <v>65</v>
      </c>
      <c r="D919" s="1" t="s">
        <v>16</v>
      </c>
      <c r="E919" s="1" t="s">
        <v>24</v>
      </c>
      <c r="F919" s="1" t="s">
        <v>25</v>
      </c>
      <c r="G919" s="1" t="s">
        <v>19</v>
      </c>
      <c r="H919" s="1" t="s">
        <v>20</v>
      </c>
      <c r="I919" s="2">
        <v>44609</v>
      </c>
      <c r="J919">
        <v>4168</v>
      </c>
      <c r="K919" s="2">
        <v>45818</v>
      </c>
      <c r="L919">
        <v>5792</v>
      </c>
      <c r="M919">
        <v>9960</v>
      </c>
      <c r="N919">
        <v>0</v>
      </c>
    </row>
    <row r="920" spans="1:14" x14ac:dyDescent="0.3">
      <c r="A920" s="1" t="s">
        <v>965</v>
      </c>
      <c r="B920" s="1" t="s">
        <v>64</v>
      </c>
      <c r="C920">
        <v>28</v>
      </c>
      <c r="D920" s="1" t="s">
        <v>16</v>
      </c>
      <c r="E920" s="1" t="s">
        <v>38</v>
      </c>
      <c r="F920" s="1" t="s">
        <v>25</v>
      </c>
      <c r="G920" s="1" t="s">
        <v>41</v>
      </c>
      <c r="H920" s="1" t="s">
        <v>20</v>
      </c>
      <c r="I920" s="2">
        <v>45540</v>
      </c>
      <c r="J920">
        <v>4583</v>
      </c>
      <c r="K920" s="2">
        <v>45844</v>
      </c>
      <c r="L920">
        <v>7782</v>
      </c>
      <c r="M920">
        <v>12365</v>
      </c>
      <c r="N920">
        <v>0</v>
      </c>
    </row>
    <row r="921" spans="1:14" x14ac:dyDescent="0.3">
      <c r="A921" s="1" t="s">
        <v>966</v>
      </c>
      <c r="B921" s="1" t="s">
        <v>71</v>
      </c>
      <c r="C921">
        <v>68</v>
      </c>
      <c r="D921" s="1" t="s">
        <v>16</v>
      </c>
      <c r="E921" s="1" t="s">
        <v>35</v>
      </c>
      <c r="F921" s="1" t="s">
        <v>18</v>
      </c>
      <c r="G921" s="1" t="s">
        <v>19</v>
      </c>
      <c r="H921" s="1" t="s">
        <v>20</v>
      </c>
      <c r="I921" s="2">
        <v>45220</v>
      </c>
      <c r="J921">
        <v>20972</v>
      </c>
      <c r="K921" s="2">
        <v>45854</v>
      </c>
      <c r="L921">
        <v>5992</v>
      </c>
      <c r="M921">
        <v>26964</v>
      </c>
      <c r="N921">
        <v>0</v>
      </c>
    </row>
    <row r="922" spans="1:14" x14ac:dyDescent="0.3">
      <c r="A922" s="1" t="s">
        <v>967</v>
      </c>
      <c r="B922" s="1" t="s">
        <v>64</v>
      </c>
      <c r="C922">
        <v>64</v>
      </c>
      <c r="D922" s="1" t="s">
        <v>23</v>
      </c>
      <c r="E922" s="1" t="s">
        <v>17</v>
      </c>
      <c r="F922" s="1" t="s">
        <v>18</v>
      </c>
      <c r="G922" s="1" t="s">
        <v>19</v>
      </c>
      <c r="H922" s="1" t="s">
        <v>20</v>
      </c>
      <c r="I922" s="2">
        <v>44827</v>
      </c>
      <c r="J922">
        <v>14774</v>
      </c>
      <c r="K922" s="2">
        <v>45856</v>
      </c>
      <c r="L922">
        <v>22716</v>
      </c>
      <c r="M922">
        <v>37490</v>
      </c>
      <c r="N922">
        <v>0</v>
      </c>
    </row>
    <row r="923" spans="1:14" x14ac:dyDescent="0.3">
      <c r="A923" s="1" t="s">
        <v>968</v>
      </c>
      <c r="B923" s="1" t="s">
        <v>29</v>
      </c>
      <c r="C923">
        <v>40</v>
      </c>
      <c r="D923" s="1" t="s">
        <v>23</v>
      </c>
      <c r="E923" s="1" t="s">
        <v>24</v>
      </c>
      <c r="F923" s="1" t="s">
        <v>18</v>
      </c>
      <c r="G923" s="1" t="s">
        <v>19</v>
      </c>
      <c r="H923" s="1" t="s">
        <v>20</v>
      </c>
      <c r="I923" s="2">
        <v>44199</v>
      </c>
      <c r="J923">
        <v>41476</v>
      </c>
      <c r="K923" s="2">
        <v>45819</v>
      </c>
      <c r="L923">
        <v>4527</v>
      </c>
      <c r="M923">
        <v>46003</v>
      </c>
      <c r="N923">
        <v>0</v>
      </c>
    </row>
    <row r="924" spans="1:14" x14ac:dyDescent="0.3">
      <c r="A924" s="1" t="s">
        <v>969</v>
      </c>
      <c r="B924" s="1" t="s">
        <v>59</v>
      </c>
      <c r="C924">
        <v>33</v>
      </c>
      <c r="D924" s="1" t="s">
        <v>16</v>
      </c>
      <c r="E924" s="1" t="s">
        <v>24</v>
      </c>
      <c r="F924" s="1" t="s">
        <v>18</v>
      </c>
      <c r="G924" s="1" t="s">
        <v>19</v>
      </c>
      <c r="H924" s="1" t="s">
        <v>20</v>
      </c>
      <c r="I924" s="2">
        <v>44944</v>
      </c>
      <c r="J924">
        <v>74765</v>
      </c>
      <c r="K924" s="2">
        <v>45834</v>
      </c>
      <c r="L924">
        <v>24962</v>
      </c>
      <c r="M924">
        <v>99727</v>
      </c>
      <c r="N924">
        <v>0</v>
      </c>
    </row>
    <row r="925" spans="1:14" x14ac:dyDescent="0.3">
      <c r="A925" s="1" t="s">
        <v>970</v>
      </c>
      <c r="B925" s="1" t="s">
        <v>87</v>
      </c>
      <c r="C925">
        <v>48</v>
      </c>
      <c r="D925" s="1" t="s">
        <v>23</v>
      </c>
      <c r="E925" s="1" t="s">
        <v>17</v>
      </c>
      <c r="F925" s="1" t="s">
        <v>25</v>
      </c>
      <c r="G925" s="1" t="s">
        <v>41</v>
      </c>
      <c r="H925" s="1" t="s">
        <v>20</v>
      </c>
      <c r="I925" s="2">
        <v>44659</v>
      </c>
      <c r="J925">
        <v>2973</v>
      </c>
      <c r="K925" s="2">
        <v>45869</v>
      </c>
      <c r="L925">
        <v>21861</v>
      </c>
      <c r="M925">
        <v>24834</v>
      </c>
      <c r="N925">
        <v>0</v>
      </c>
    </row>
    <row r="926" spans="1:14" x14ac:dyDescent="0.3">
      <c r="A926" s="1" t="s">
        <v>971</v>
      </c>
      <c r="B926" s="1" t="s">
        <v>48</v>
      </c>
      <c r="C926">
        <v>28</v>
      </c>
      <c r="D926" s="1" t="s">
        <v>23</v>
      </c>
      <c r="E926" s="1" t="s">
        <v>17</v>
      </c>
      <c r="F926" s="1" t="s">
        <v>18</v>
      </c>
      <c r="G926" s="1" t="s">
        <v>19</v>
      </c>
      <c r="H926" s="1" t="s">
        <v>20</v>
      </c>
      <c r="I926" s="2">
        <v>44371</v>
      </c>
      <c r="J926">
        <v>8788</v>
      </c>
      <c r="K926" s="2">
        <v>45653</v>
      </c>
      <c r="L926">
        <v>9700</v>
      </c>
      <c r="M926">
        <v>18488</v>
      </c>
      <c r="N926">
        <v>1</v>
      </c>
    </row>
    <row r="927" spans="1:14" x14ac:dyDescent="0.3">
      <c r="A927" s="1" t="s">
        <v>972</v>
      </c>
      <c r="B927" s="1" t="s">
        <v>29</v>
      </c>
      <c r="C927">
        <v>33</v>
      </c>
      <c r="D927" s="1" t="s">
        <v>23</v>
      </c>
      <c r="E927" s="1" t="s">
        <v>38</v>
      </c>
      <c r="F927" s="1" t="s">
        <v>18</v>
      </c>
      <c r="G927" s="1" t="s">
        <v>19</v>
      </c>
      <c r="H927" s="1" t="s">
        <v>20</v>
      </c>
      <c r="I927" s="2">
        <v>44322</v>
      </c>
      <c r="J927">
        <v>15118</v>
      </c>
      <c r="K927" s="2">
        <v>45863</v>
      </c>
      <c r="L927">
        <v>29878</v>
      </c>
      <c r="M927">
        <v>44996</v>
      </c>
      <c r="N927">
        <v>0</v>
      </c>
    </row>
    <row r="928" spans="1:14" x14ac:dyDescent="0.3">
      <c r="A928" s="1" t="s">
        <v>973</v>
      </c>
      <c r="B928" s="1" t="s">
        <v>75</v>
      </c>
      <c r="C928">
        <v>25</v>
      </c>
      <c r="D928" s="1" t="s">
        <v>16</v>
      </c>
      <c r="E928" s="1" t="s">
        <v>35</v>
      </c>
      <c r="F928" s="1" t="s">
        <v>18</v>
      </c>
      <c r="G928" s="1" t="s">
        <v>19</v>
      </c>
      <c r="H928" s="1" t="s">
        <v>20</v>
      </c>
      <c r="I928" s="2">
        <v>44778</v>
      </c>
      <c r="J928">
        <v>19217</v>
      </c>
      <c r="K928" s="2">
        <v>45763</v>
      </c>
      <c r="L928">
        <v>15654</v>
      </c>
      <c r="M928">
        <v>34871</v>
      </c>
      <c r="N928">
        <v>0</v>
      </c>
    </row>
    <row r="929" spans="1:14" x14ac:dyDescent="0.3">
      <c r="A929" s="1" t="s">
        <v>974</v>
      </c>
      <c r="B929" s="1" t="s">
        <v>52</v>
      </c>
      <c r="C929">
        <v>21</v>
      </c>
      <c r="D929" s="1" t="s">
        <v>23</v>
      </c>
      <c r="E929" s="1" t="s">
        <v>24</v>
      </c>
      <c r="F929" s="1" t="s">
        <v>18</v>
      </c>
      <c r="G929" s="1" t="s">
        <v>19</v>
      </c>
      <c r="H929" s="1" t="s">
        <v>20</v>
      </c>
      <c r="I929" s="2">
        <v>45225</v>
      </c>
      <c r="J929">
        <v>36897</v>
      </c>
      <c r="K929" s="2">
        <v>45831</v>
      </c>
      <c r="L929">
        <v>7145</v>
      </c>
      <c r="M929">
        <v>44042</v>
      </c>
      <c r="N929">
        <v>0</v>
      </c>
    </row>
    <row r="930" spans="1:14" x14ac:dyDescent="0.3">
      <c r="A930" s="1" t="s">
        <v>975</v>
      </c>
      <c r="B930" s="1" t="s">
        <v>22</v>
      </c>
      <c r="C930">
        <v>57</v>
      </c>
      <c r="D930" s="1" t="s">
        <v>16</v>
      </c>
      <c r="E930" s="1" t="s">
        <v>17</v>
      </c>
      <c r="F930" s="1" t="s">
        <v>18</v>
      </c>
      <c r="G930" s="1" t="s">
        <v>19</v>
      </c>
      <c r="H930" s="1" t="s">
        <v>20</v>
      </c>
      <c r="I930" s="2">
        <v>45598</v>
      </c>
      <c r="J930">
        <v>27684</v>
      </c>
      <c r="K930" s="2">
        <v>45847</v>
      </c>
      <c r="L930">
        <v>-31952</v>
      </c>
      <c r="M930">
        <v>-4268</v>
      </c>
      <c r="N930">
        <v>0</v>
      </c>
    </row>
    <row r="931" spans="1:14" x14ac:dyDescent="0.3">
      <c r="A931" s="1" t="s">
        <v>976</v>
      </c>
      <c r="B931" s="1" t="s">
        <v>32</v>
      </c>
      <c r="C931">
        <v>21</v>
      </c>
      <c r="D931" s="1" t="s">
        <v>30</v>
      </c>
      <c r="E931" s="1" t="s">
        <v>17</v>
      </c>
      <c r="F931" s="1" t="s">
        <v>25</v>
      </c>
      <c r="G931" s="1" t="s">
        <v>41</v>
      </c>
      <c r="H931" s="1" t="s">
        <v>20</v>
      </c>
      <c r="I931" s="2">
        <v>44504</v>
      </c>
      <c r="J931">
        <v>41707</v>
      </c>
      <c r="K931" s="2">
        <v>45824</v>
      </c>
      <c r="L931">
        <v>18895</v>
      </c>
      <c r="M931">
        <v>60602</v>
      </c>
      <c r="N931">
        <v>0</v>
      </c>
    </row>
    <row r="932" spans="1:14" x14ac:dyDescent="0.3">
      <c r="A932" s="1" t="s">
        <v>977</v>
      </c>
      <c r="B932" s="1" t="s">
        <v>56</v>
      </c>
      <c r="C932">
        <v>42</v>
      </c>
      <c r="D932" s="1" t="s">
        <v>23</v>
      </c>
      <c r="E932" s="1" t="s">
        <v>38</v>
      </c>
      <c r="F932" s="1" t="s">
        <v>18</v>
      </c>
      <c r="G932" s="1" t="s">
        <v>41</v>
      </c>
      <c r="H932" s="1" t="s">
        <v>20</v>
      </c>
      <c r="I932" s="2">
        <v>44907</v>
      </c>
      <c r="J932">
        <v>14205</v>
      </c>
      <c r="K932" s="2">
        <v>45866</v>
      </c>
      <c r="L932">
        <v>22376</v>
      </c>
      <c r="M932">
        <v>36581</v>
      </c>
      <c r="N932">
        <v>0</v>
      </c>
    </row>
    <row r="933" spans="1:14" x14ac:dyDescent="0.3">
      <c r="A933" s="1" t="s">
        <v>978</v>
      </c>
      <c r="B933" s="1" t="s">
        <v>34</v>
      </c>
      <c r="C933">
        <v>20</v>
      </c>
      <c r="D933" s="1" t="s">
        <v>23</v>
      </c>
      <c r="E933" s="1" t="s">
        <v>24</v>
      </c>
      <c r="F933" s="1" t="s">
        <v>25</v>
      </c>
      <c r="G933" s="1" t="s">
        <v>19</v>
      </c>
      <c r="H933" s="1" t="s">
        <v>20</v>
      </c>
      <c r="I933" s="2">
        <v>44852</v>
      </c>
      <c r="J933">
        <v>7126</v>
      </c>
      <c r="K933" s="2">
        <v>45856</v>
      </c>
      <c r="L933">
        <v>3546</v>
      </c>
      <c r="M933">
        <v>10672</v>
      </c>
      <c r="N933">
        <v>0</v>
      </c>
    </row>
    <row r="934" spans="1:14" x14ac:dyDescent="0.3">
      <c r="A934" s="1" t="s">
        <v>979</v>
      </c>
      <c r="B934" s="1" t="s">
        <v>48</v>
      </c>
      <c r="C934">
        <v>49</v>
      </c>
      <c r="D934" s="1" t="s">
        <v>23</v>
      </c>
      <c r="E934" s="1" t="s">
        <v>24</v>
      </c>
      <c r="F934" s="1" t="s">
        <v>18</v>
      </c>
      <c r="G934" s="1" t="s">
        <v>19</v>
      </c>
      <c r="H934" s="1" t="s">
        <v>20</v>
      </c>
      <c r="I934" s="2">
        <v>45055</v>
      </c>
      <c r="J934">
        <v>93897</v>
      </c>
      <c r="K934" s="2">
        <v>45764</v>
      </c>
      <c r="L934">
        <v>8340</v>
      </c>
      <c r="M934">
        <v>102237</v>
      </c>
      <c r="N934">
        <v>0</v>
      </c>
    </row>
    <row r="935" spans="1:14" x14ac:dyDescent="0.3">
      <c r="A935" s="1" t="s">
        <v>980</v>
      </c>
      <c r="B935" s="1" t="s">
        <v>56</v>
      </c>
      <c r="C935">
        <v>20</v>
      </c>
      <c r="D935" s="1" t="s">
        <v>16</v>
      </c>
      <c r="E935" s="1" t="s">
        <v>24</v>
      </c>
      <c r="F935" s="1" t="s">
        <v>18</v>
      </c>
      <c r="G935" s="1" t="s">
        <v>19</v>
      </c>
      <c r="H935" s="1" t="s">
        <v>20</v>
      </c>
      <c r="I935" s="2">
        <v>45551</v>
      </c>
      <c r="J935">
        <v>15573</v>
      </c>
      <c r="K935" s="2">
        <v>45866</v>
      </c>
      <c r="L935">
        <v>20834</v>
      </c>
      <c r="M935">
        <v>36407</v>
      </c>
      <c r="N935">
        <v>0</v>
      </c>
    </row>
    <row r="936" spans="1:14" x14ac:dyDescent="0.3">
      <c r="A936" s="1" t="s">
        <v>981</v>
      </c>
      <c r="B936" s="1" t="s">
        <v>64</v>
      </c>
      <c r="C936">
        <v>44</v>
      </c>
      <c r="D936" s="1" t="s">
        <v>23</v>
      </c>
      <c r="E936" s="1" t="s">
        <v>24</v>
      </c>
      <c r="F936" s="1" t="s">
        <v>25</v>
      </c>
      <c r="G936" s="1" t="s">
        <v>41</v>
      </c>
      <c r="H936" s="1" t="s">
        <v>20</v>
      </c>
      <c r="I936" s="2">
        <v>45123</v>
      </c>
      <c r="J936">
        <v>10490</v>
      </c>
      <c r="K936" s="2">
        <v>45843</v>
      </c>
      <c r="L936">
        <v>14917</v>
      </c>
      <c r="M936">
        <v>25407</v>
      </c>
      <c r="N936">
        <v>0</v>
      </c>
    </row>
    <row r="937" spans="1:14" x14ac:dyDescent="0.3">
      <c r="A937" s="1" t="s">
        <v>982</v>
      </c>
      <c r="B937" s="1" t="s">
        <v>27</v>
      </c>
      <c r="C937">
        <v>46</v>
      </c>
      <c r="D937" s="1" t="s">
        <v>23</v>
      </c>
      <c r="E937" s="1" t="s">
        <v>24</v>
      </c>
      <c r="F937" s="1" t="s">
        <v>18</v>
      </c>
      <c r="G937" s="1" t="s">
        <v>19</v>
      </c>
      <c r="H937" s="1" t="s">
        <v>20</v>
      </c>
      <c r="I937" s="2">
        <v>45613</v>
      </c>
      <c r="J937">
        <v>4572</v>
      </c>
      <c r="K937" s="2">
        <v>45867</v>
      </c>
      <c r="L937">
        <v>9994</v>
      </c>
      <c r="M937">
        <v>14566</v>
      </c>
      <c r="N937">
        <v>0</v>
      </c>
    </row>
    <row r="938" spans="1:14" x14ac:dyDescent="0.3">
      <c r="A938" s="1" t="s">
        <v>983</v>
      </c>
      <c r="B938" s="1" t="s">
        <v>69</v>
      </c>
      <c r="C938">
        <v>49</v>
      </c>
      <c r="D938" s="1" t="s">
        <v>23</v>
      </c>
      <c r="E938" s="1" t="s">
        <v>38</v>
      </c>
      <c r="F938" s="1" t="s">
        <v>18</v>
      </c>
      <c r="G938" s="1" t="s">
        <v>19</v>
      </c>
      <c r="H938" s="1" t="s">
        <v>20</v>
      </c>
      <c r="I938" s="2">
        <v>45064</v>
      </c>
      <c r="J938">
        <v>15669</v>
      </c>
      <c r="K938" s="2">
        <v>45861</v>
      </c>
      <c r="L938">
        <v>1690</v>
      </c>
      <c r="M938">
        <v>17359</v>
      </c>
      <c r="N938">
        <v>0</v>
      </c>
    </row>
    <row r="939" spans="1:14" x14ac:dyDescent="0.3">
      <c r="A939" s="1" t="s">
        <v>984</v>
      </c>
      <c r="B939" s="1" t="s">
        <v>48</v>
      </c>
      <c r="C939">
        <v>67</v>
      </c>
      <c r="D939" s="1" t="s">
        <v>16</v>
      </c>
      <c r="E939" s="1" t="s">
        <v>24</v>
      </c>
      <c r="F939" s="1" t="s">
        <v>18</v>
      </c>
      <c r="G939" s="1" t="s">
        <v>19</v>
      </c>
      <c r="H939" s="1" t="s">
        <v>20</v>
      </c>
      <c r="I939" s="2">
        <v>45207</v>
      </c>
      <c r="J939">
        <v>36479</v>
      </c>
      <c r="K939" s="2">
        <v>45859</v>
      </c>
      <c r="L939">
        <v>11191</v>
      </c>
      <c r="M939">
        <v>47670</v>
      </c>
      <c r="N939">
        <v>0</v>
      </c>
    </row>
    <row r="940" spans="1:14" x14ac:dyDescent="0.3">
      <c r="A940" s="1" t="s">
        <v>985</v>
      </c>
      <c r="B940" s="1" t="s">
        <v>15</v>
      </c>
      <c r="C940">
        <v>68</v>
      </c>
      <c r="D940" s="1" t="s">
        <v>23</v>
      </c>
      <c r="E940" s="1" t="s">
        <v>38</v>
      </c>
      <c r="F940" s="1" t="s">
        <v>18</v>
      </c>
      <c r="G940" s="1" t="s">
        <v>19</v>
      </c>
      <c r="H940" s="1" t="s">
        <v>20</v>
      </c>
      <c r="I940" s="2">
        <v>44928</v>
      </c>
      <c r="J940">
        <v>8099</v>
      </c>
      <c r="K940" s="2">
        <v>45847</v>
      </c>
      <c r="L940">
        <v>-1458</v>
      </c>
      <c r="M940">
        <v>6641</v>
      </c>
      <c r="N940">
        <v>0</v>
      </c>
    </row>
    <row r="941" spans="1:14" x14ac:dyDescent="0.3">
      <c r="A941" s="1" t="s">
        <v>986</v>
      </c>
      <c r="B941" s="1" t="s">
        <v>27</v>
      </c>
      <c r="C941">
        <v>36</v>
      </c>
      <c r="D941" s="1" t="s">
        <v>16</v>
      </c>
      <c r="E941" s="1" t="s">
        <v>24</v>
      </c>
      <c r="F941" s="1" t="s">
        <v>18</v>
      </c>
      <c r="G941" s="1" t="s">
        <v>41</v>
      </c>
      <c r="H941" s="1" t="s">
        <v>20</v>
      </c>
      <c r="I941" s="2">
        <v>45574</v>
      </c>
      <c r="J941">
        <v>11692</v>
      </c>
      <c r="K941" s="2">
        <v>45859</v>
      </c>
      <c r="L941">
        <v>-7505</v>
      </c>
      <c r="M941">
        <v>4187</v>
      </c>
      <c r="N941">
        <v>0</v>
      </c>
    </row>
    <row r="942" spans="1:14" x14ac:dyDescent="0.3">
      <c r="A942" s="1" t="s">
        <v>987</v>
      </c>
      <c r="B942" s="1" t="s">
        <v>64</v>
      </c>
      <c r="C942">
        <v>38</v>
      </c>
      <c r="D942" s="1" t="s">
        <v>16</v>
      </c>
      <c r="E942" s="1" t="s">
        <v>38</v>
      </c>
      <c r="F942" s="1" t="s">
        <v>18</v>
      </c>
      <c r="G942" s="1" t="s">
        <v>19</v>
      </c>
      <c r="H942" s="1" t="s">
        <v>20</v>
      </c>
      <c r="I942" s="2">
        <v>45742</v>
      </c>
      <c r="J942">
        <v>17140</v>
      </c>
      <c r="K942" s="2">
        <v>45865</v>
      </c>
      <c r="L942">
        <v>18322</v>
      </c>
      <c r="M942">
        <v>35462</v>
      </c>
      <c r="N942">
        <v>0</v>
      </c>
    </row>
    <row r="943" spans="1:14" x14ac:dyDescent="0.3">
      <c r="A943" s="1" t="s">
        <v>988</v>
      </c>
      <c r="B943" s="1" t="s">
        <v>27</v>
      </c>
      <c r="C943">
        <v>22</v>
      </c>
      <c r="D943" s="1" t="s">
        <v>23</v>
      </c>
      <c r="E943" s="1" t="s">
        <v>38</v>
      </c>
      <c r="F943" s="1" t="s">
        <v>18</v>
      </c>
      <c r="G943" s="1" t="s">
        <v>19</v>
      </c>
      <c r="H943" s="1" t="s">
        <v>20</v>
      </c>
      <c r="I943" s="2">
        <v>45266</v>
      </c>
      <c r="J943">
        <v>21422</v>
      </c>
      <c r="K943" s="2">
        <v>45857</v>
      </c>
      <c r="L943">
        <v>17109</v>
      </c>
      <c r="M943">
        <v>38531</v>
      </c>
      <c r="N943">
        <v>0</v>
      </c>
    </row>
    <row r="944" spans="1:14" x14ac:dyDescent="0.3">
      <c r="A944" s="1" t="s">
        <v>989</v>
      </c>
      <c r="B944" s="1" t="s">
        <v>56</v>
      </c>
      <c r="C944">
        <v>35</v>
      </c>
      <c r="D944" s="1" t="s">
        <v>16</v>
      </c>
      <c r="E944" s="1" t="s">
        <v>17</v>
      </c>
      <c r="F944" s="1" t="s">
        <v>18</v>
      </c>
      <c r="G944" s="1" t="s">
        <v>19</v>
      </c>
      <c r="H944" s="1" t="s">
        <v>20</v>
      </c>
      <c r="I944" s="2">
        <v>45570</v>
      </c>
      <c r="J944">
        <v>10303</v>
      </c>
      <c r="K944" s="2">
        <v>45866</v>
      </c>
      <c r="L944">
        <v>5200</v>
      </c>
      <c r="M944">
        <v>15503</v>
      </c>
      <c r="N944">
        <v>0</v>
      </c>
    </row>
    <row r="945" spans="1:14" x14ac:dyDescent="0.3">
      <c r="A945" s="1" t="s">
        <v>990</v>
      </c>
      <c r="B945" s="1" t="s">
        <v>43</v>
      </c>
      <c r="C945">
        <v>45</v>
      </c>
      <c r="D945" s="1" t="s">
        <v>23</v>
      </c>
      <c r="E945" s="1" t="s">
        <v>24</v>
      </c>
      <c r="F945" s="1" t="s">
        <v>18</v>
      </c>
      <c r="G945" s="1" t="s">
        <v>19</v>
      </c>
      <c r="H945" s="1" t="s">
        <v>20</v>
      </c>
      <c r="I945" s="2">
        <v>44295</v>
      </c>
      <c r="J945">
        <v>9013</v>
      </c>
      <c r="K945" s="2">
        <v>45864</v>
      </c>
      <c r="L945">
        <v>20130</v>
      </c>
      <c r="M945">
        <v>29143</v>
      </c>
      <c r="N945">
        <v>0</v>
      </c>
    </row>
    <row r="946" spans="1:14" x14ac:dyDescent="0.3">
      <c r="A946" s="1" t="s">
        <v>991</v>
      </c>
      <c r="B946" s="1" t="s">
        <v>56</v>
      </c>
      <c r="C946">
        <v>59</v>
      </c>
      <c r="D946" s="1" t="s">
        <v>16</v>
      </c>
      <c r="E946" s="1" t="s">
        <v>24</v>
      </c>
      <c r="F946" s="1" t="s">
        <v>18</v>
      </c>
      <c r="G946" s="1" t="s">
        <v>19</v>
      </c>
      <c r="H946" s="1" t="s">
        <v>20</v>
      </c>
      <c r="I946" s="2">
        <v>45712</v>
      </c>
      <c r="J946">
        <v>8016</v>
      </c>
      <c r="K946" s="2">
        <v>45865</v>
      </c>
      <c r="L946">
        <v>4612</v>
      </c>
      <c r="M946">
        <v>12628</v>
      </c>
      <c r="N946">
        <v>0</v>
      </c>
    </row>
    <row r="947" spans="1:14" x14ac:dyDescent="0.3">
      <c r="A947" s="1" t="s">
        <v>992</v>
      </c>
      <c r="B947" s="1" t="s">
        <v>52</v>
      </c>
      <c r="C947">
        <v>39</v>
      </c>
      <c r="D947" s="1" t="s">
        <v>16</v>
      </c>
      <c r="E947" s="1" t="s">
        <v>38</v>
      </c>
      <c r="F947" s="1" t="s">
        <v>18</v>
      </c>
      <c r="G947" s="1" t="s">
        <v>19</v>
      </c>
      <c r="H947" s="1" t="s">
        <v>20</v>
      </c>
      <c r="I947" s="2">
        <v>44513</v>
      </c>
      <c r="J947">
        <v>4418</v>
      </c>
      <c r="K947" s="2">
        <v>45795</v>
      </c>
      <c r="L947">
        <v>8935</v>
      </c>
      <c r="M947">
        <v>13353</v>
      </c>
      <c r="N947">
        <v>0</v>
      </c>
    </row>
    <row r="948" spans="1:14" x14ac:dyDescent="0.3">
      <c r="A948" s="1" t="s">
        <v>993</v>
      </c>
      <c r="B948" s="1" t="s">
        <v>69</v>
      </c>
      <c r="C948">
        <v>38</v>
      </c>
      <c r="D948" s="1" t="s">
        <v>16</v>
      </c>
      <c r="E948" s="1" t="s">
        <v>24</v>
      </c>
      <c r="F948" s="1" t="s">
        <v>18</v>
      </c>
      <c r="G948" s="1" t="s">
        <v>19</v>
      </c>
      <c r="H948" s="1" t="s">
        <v>20</v>
      </c>
      <c r="I948" s="2">
        <v>44626</v>
      </c>
      <c r="J948">
        <v>6185</v>
      </c>
      <c r="K948" s="2">
        <v>45822</v>
      </c>
      <c r="L948">
        <v>9693</v>
      </c>
      <c r="M948">
        <v>15878</v>
      </c>
      <c r="N948">
        <v>0</v>
      </c>
    </row>
    <row r="949" spans="1:14" x14ac:dyDescent="0.3">
      <c r="A949" s="1" t="s">
        <v>994</v>
      </c>
      <c r="B949" s="1" t="s">
        <v>22</v>
      </c>
      <c r="C949">
        <v>23</v>
      </c>
      <c r="D949" s="1" t="s">
        <v>23</v>
      </c>
      <c r="E949" s="1" t="s">
        <v>35</v>
      </c>
      <c r="F949" s="1" t="s">
        <v>25</v>
      </c>
      <c r="G949" s="1" t="s">
        <v>19</v>
      </c>
      <c r="H949" s="1" t="s">
        <v>20</v>
      </c>
      <c r="I949" s="2">
        <v>44286</v>
      </c>
      <c r="J949">
        <v>6021</v>
      </c>
      <c r="K949" s="2">
        <v>45738</v>
      </c>
      <c r="L949">
        <v>-1583</v>
      </c>
      <c r="M949">
        <v>4438</v>
      </c>
      <c r="N949">
        <v>0</v>
      </c>
    </row>
    <row r="950" spans="1:14" x14ac:dyDescent="0.3">
      <c r="A950" s="1" t="s">
        <v>995</v>
      </c>
      <c r="B950" s="1" t="s">
        <v>29</v>
      </c>
      <c r="C950">
        <v>18</v>
      </c>
      <c r="D950" s="1" t="s">
        <v>23</v>
      </c>
      <c r="E950" s="1" t="s">
        <v>17</v>
      </c>
      <c r="F950" s="1" t="s">
        <v>18</v>
      </c>
      <c r="G950" s="1" t="s">
        <v>19</v>
      </c>
      <c r="H950" s="1" t="s">
        <v>20</v>
      </c>
      <c r="I950" s="2">
        <v>45812</v>
      </c>
      <c r="J950">
        <v>2858</v>
      </c>
      <c r="K950" s="2">
        <v>45869</v>
      </c>
      <c r="L950">
        <v>20572</v>
      </c>
      <c r="M950">
        <v>23430</v>
      </c>
      <c r="N950">
        <v>0</v>
      </c>
    </row>
    <row r="951" spans="1:14" x14ac:dyDescent="0.3">
      <c r="A951" s="1" t="s">
        <v>996</v>
      </c>
      <c r="B951" s="1" t="s">
        <v>27</v>
      </c>
      <c r="C951">
        <v>22</v>
      </c>
      <c r="D951" s="1" t="s">
        <v>23</v>
      </c>
      <c r="E951" s="1" t="s">
        <v>38</v>
      </c>
      <c r="F951" s="1" t="s">
        <v>25</v>
      </c>
      <c r="G951" s="1" t="s">
        <v>19</v>
      </c>
      <c r="H951" s="1" t="s">
        <v>20</v>
      </c>
      <c r="I951" s="2">
        <v>45622</v>
      </c>
      <c r="J951">
        <v>36060</v>
      </c>
      <c r="K951" s="2">
        <v>45868</v>
      </c>
      <c r="L951">
        <v>1361</v>
      </c>
      <c r="M951">
        <v>37421</v>
      </c>
      <c r="N951">
        <v>0</v>
      </c>
    </row>
    <row r="952" spans="1:14" x14ac:dyDescent="0.3">
      <c r="A952" s="1" t="s">
        <v>997</v>
      </c>
      <c r="B952" s="1" t="s">
        <v>56</v>
      </c>
      <c r="C952">
        <v>58</v>
      </c>
      <c r="D952" s="1" t="s">
        <v>23</v>
      </c>
      <c r="E952" s="1" t="s">
        <v>38</v>
      </c>
      <c r="F952" s="1" t="s">
        <v>18</v>
      </c>
      <c r="G952" s="1" t="s">
        <v>19</v>
      </c>
      <c r="H952" s="1" t="s">
        <v>20</v>
      </c>
      <c r="I952" s="2">
        <v>45724</v>
      </c>
      <c r="J952">
        <v>19141</v>
      </c>
      <c r="K952" s="2">
        <v>45859</v>
      </c>
      <c r="L952">
        <v>-6279</v>
      </c>
      <c r="M952">
        <v>12862</v>
      </c>
      <c r="N952">
        <v>0</v>
      </c>
    </row>
    <row r="953" spans="1:14" x14ac:dyDescent="0.3">
      <c r="A953" s="1" t="s">
        <v>998</v>
      </c>
      <c r="B953" s="1" t="s">
        <v>52</v>
      </c>
      <c r="C953">
        <v>29</v>
      </c>
      <c r="D953" s="1" t="s">
        <v>23</v>
      </c>
      <c r="E953" s="1" t="s">
        <v>38</v>
      </c>
      <c r="F953" s="1" t="s">
        <v>25</v>
      </c>
      <c r="G953" s="1" t="s">
        <v>19</v>
      </c>
      <c r="H953" s="1" t="s">
        <v>49</v>
      </c>
      <c r="I953" s="2">
        <v>45614</v>
      </c>
      <c r="J953">
        <v>15402</v>
      </c>
      <c r="K953" s="2">
        <v>45841</v>
      </c>
      <c r="L953">
        <v>-4038</v>
      </c>
      <c r="M953">
        <v>11364</v>
      </c>
      <c r="N953">
        <v>0</v>
      </c>
    </row>
    <row r="954" spans="1:14" x14ac:dyDescent="0.3">
      <c r="A954" s="1" t="s">
        <v>999</v>
      </c>
      <c r="B954" s="1" t="s">
        <v>27</v>
      </c>
      <c r="C954">
        <v>43</v>
      </c>
      <c r="D954" s="1" t="s">
        <v>23</v>
      </c>
      <c r="E954" s="1" t="s">
        <v>24</v>
      </c>
      <c r="F954" s="1" t="s">
        <v>18</v>
      </c>
      <c r="G954" s="1" t="s">
        <v>19</v>
      </c>
      <c r="H954" s="1" t="s">
        <v>20</v>
      </c>
      <c r="I954" s="2">
        <v>44999</v>
      </c>
      <c r="J954">
        <v>49244</v>
      </c>
      <c r="K954" s="2">
        <v>45863</v>
      </c>
      <c r="L954">
        <v>2484</v>
      </c>
      <c r="M954">
        <v>51728</v>
      </c>
      <c r="N954">
        <v>0</v>
      </c>
    </row>
    <row r="955" spans="1:14" x14ac:dyDescent="0.3">
      <c r="A955" s="1" t="s">
        <v>1000</v>
      </c>
      <c r="B955" s="1" t="s">
        <v>52</v>
      </c>
      <c r="C955">
        <v>63</v>
      </c>
      <c r="D955" s="1" t="s">
        <v>23</v>
      </c>
      <c r="E955" s="1" t="s">
        <v>24</v>
      </c>
      <c r="F955" s="1" t="s">
        <v>25</v>
      </c>
      <c r="G955" s="1" t="s">
        <v>19</v>
      </c>
      <c r="H955" s="1" t="s">
        <v>20</v>
      </c>
      <c r="I955" s="2">
        <v>45742</v>
      </c>
      <c r="J955">
        <v>27388</v>
      </c>
      <c r="K955" s="2">
        <v>45869</v>
      </c>
      <c r="L955">
        <v>16858</v>
      </c>
      <c r="M955">
        <v>44246</v>
      </c>
      <c r="N955">
        <v>0</v>
      </c>
    </row>
    <row r="956" spans="1:14" x14ac:dyDescent="0.3">
      <c r="A956" s="1" t="s">
        <v>1001</v>
      </c>
      <c r="B956" s="1" t="s">
        <v>15</v>
      </c>
      <c r="C956">
        <v>51</v>
      </c>
      <c r="D956" s="1" t="s">
        <v>23</v>
      </c>
      <c r="E956" s="1" t="s">
        <v>38</v>
      </c>
      <c r="F956" s="1" t="s">
        <v>25</v>
      </c>
      <c r="G956" s="1" t="s">
        <v>19</v>
      </c>
      <c r="H956" s="1" t="s">
        <v>20</v>
      </c>
      <c r="I956" s="2">
        <v>45818</v>
      </c>
      <c r="J956">
        <v>6066</v>
      </c>
      <c r="K956" s="2">
        <v>45868</v>
      </c>
      <c r="L956">
        <v>20344</v>
      </c>
      <c r="M956">
        <v>26410</v>
      </c>
      <c r="N956">
        <v>0</v>
      </c>
    </row>
    <row r="957" spans="1:14" x14ac:dyDescent="0.3">
      <c r="A957" s="1" t="s">
        <v>1002</v>
      </c>
      <c r="B957" s="1" t="s">
        <v>48</v>
      </c>
      <c r="C957">
        <v>66</v>
      </c>
      <c r="D957" s="1" t="s">
        <v>16</v>
      </c>
      <c r="E957" s="1" t="s">
        <v>17</v>
      </c>
      <c r="F957" s="1" t="s">
        <v>18</v>
      </c>
      <c r="G957" s="1" t="s">
        <v>19</v>
      </c>
      <c r="H957" s="1" t="s">
        <v>20</v>
      </c>
      <c r="I957" s="2">
        <v>45037</v>
      </c>
      <c r="J957">
        <v>43191</v>
      </c>
      <c r="K957" s="2">
        <v>45817</v>
      </c>
      <c r="L957">
        <v>11692</v>
      </c>
      <c r="M957">
        <v>54883</v>
      </c>
      <c r="N957">
        <v>0</v>
      </c>
    </row>
    <row r="958" spans="1:14" x14ac:dyDescent="0.3">
      <c r="A958" s="1" t="s">
        <v>1003</v>
      </c>
      <c r="B958" s="1" t="s">
        <v>56</v>
      </c>
      <c r="C958">
        <v>31</v>
      </c>
      <c r="D958" s="1" t="s">
        <v>16</v>
      </c>
      <c r="E958" s="1" t="s">
        <v>17</v>
      </c>
      <c r="F958" s="1" t="s">
        <v>25</v>
      </c>
      <c r="G958" s="1" t="s">
        <v>41</v>
      </c>
      <c r="H958" s="1" t="s">
        <v>20</v>
      </c>
      <c r="I958" s="2">
        <v>44490</v>
      </c>
      <c r="J958">
        <v>35322</v>
      </c>
      <c r="K958" s="2">
        <v>45840</v>
      </c>
      <c r="L958">
        <v>-12669</v>
      </c>
      <c r="M958">
        <v>22653</v>
      </c>
      <c r="N958">
        <v>0</v>
      </c>
    </row>
    <row r="959" spans="1:14" x14ac:dyDescent="0.3">
      <c r="A959" s="1" t="s">
        <v>1004</v>
      </c>
      <c r="B959" s="1" t="s">
        <v>37</v>
      </c>
      <c r="C959">
        <v>43</v>
      </c>
      <c r="D959" s="1" t="s">
        <v>23</v>
      </c>
      <c r="E959" s="1" t="s">
        <v>24</v>
      </c>
      <c r="F959" s="1" t="s">
        <v>18</v>
      </c>
      <c r="G959" s="1" t="s">
        <v>19</v>
      </c>
      <c r="H959" s="1" t="s">
        <v>20</v>
      </c>
      <c r="I959" s="2">
        <v>45298</v>
      </c>
      <c r="J959">
        <v>4368</v>
      </c>
      <c r="K959" s="2">
        <v>45845</v>
      </c>
      <c r="L959">
        <v>31349</v>
      </c>
      <c r="M959">
        <v>35717</v>
      </c>
      <c r="N959">
        <v>0</v>
      </c>
    </row>
    <row r="960" spans="1:14" x14ac:dyDescent="0.3">
      <c r="A960" s="1" t="s">
        <v>1005</v>
      </c>
      <c r="B960" s="1" t="s">
        <v>22</v>
      </c>
      <c r="C960">
        <v>62</v>
      </c>
      <c r="D960" s="1" t="s">
        <v>23</v>
      </c>
      <c r="E960" s="1" t="s">
        <v>24</v>
      </c>
      <c r="F960" s="1" t="s">
        <v>18</v>
      </c>
      <c r="G960" s="1" t="s">
        <v>19</v>
      </c>
      <c r="H960" s="1" t="s">
        <v>20</v>
      </c>
      <c r="I960" s="2">
        <v>45828</v>
      </c>
      <c r="J960">
        <v>32951</v>
      </c>
      <c r="K960" s="2">
        <v>45869</v>
      </c>
      <c r="L960">
        <v>-2146</v>
      </c>
      <c r="M960">
        <v>30805</v>
      </c>
      <c r="N960">
        <v>0</v>
      </c>
    </row>
    <row r="961" spans="1:14" x14ac:dyDescent="0.3">
      <c r="A961" s="1" t="s">
        <v>1006</v>
      </c>
      <c r="B961" s="1" t="s">
        <v>61</v>
      </c>
      <c r="C961">
        <v>44</v>
      </c>
      <c r="D961" s="1" t="s">
        <v>23</v>
      </c>
      <c r="E961" s="1" t="s">
        <v>24</v>
      </c>
      <c r="F961" s="1" t="s">
        <v>25</v>
      </c>
      <c r="G961" s="1" t="s">
        <v>19</v>
      </c>
      <c r="H961" s="1" t="s">
        <v>49</v>
      </c>
      <c r="I961" s="2">
        <v>45656</v>
      </c>
      <c r="J961">
        <v>8373</v>
      </c>
      <c r="K961" s="2">
        <v>45862</v>
      </c>
      <c r="L961">
        <v>20150</v>
      </c>
      <c r="M961">
        <v>28523</v>
      </c>
      <c r="N961">
        <v>0</v>
      </c>
    </row>
    <row r="962" spans="1:14" x14ac:dyDescent="0.3">
      <c r="A962" s="1" t="s">
        <v>1007</v>
      </c>
      <c r="B962" s="1" t="s">
        <v>40</v>
      </c>
      <c r="C962">
        <v>26</v>
      </c>
      <c r="D962" s="1" t="s">
        <v>30</v>
      </c>
      <c r="E962" s="1" t="s">
        <v>24</v>
      </c>
      <c r="F962" s="1" t="s">
        <v>25</v>
      </c>
      <c r="G962" s="1" t="s">
        <v>19</v>
      </c>
      <c r="H962" s="1" t="s">
        <v>20</v>
      </c>
      <c r="I962" s="2">
        <v>45638</v>
      </c>
      <c r="J962">
        <v>36212</v>
      </c>
      <c r="K962" s="2">
        <v>45869</v>
      </c>
      <c r="L962">
        <v>12087</v>
      </c>
      <c r="M962">
        <v>48299</v>
      </c>
      <c r="N962">
        <v>0</v>
      </c>
    </row>
    <row r="963" spans="1:14" x14ac:dyDescent="0.3">
      <c r="A963" s="1" t="s">
        <v>1008</v>
      </c>
      <c r="B963" s="1" t="s">
        <v>32</v>
      </c>
      <c r="C963">
        <v>43</v>
      </c>
      <c r="D963" s="1" t="s">
        <v>23</v>
      </c>
      <c r="E963" s="1" t="s">
        <v>24</v>
      </c>
      <c r="F963" s="1" t="s">
        <v>18</v>
      </c>
      <c r="G963" s="1" t="s">
        <v>41</v>
      </c>
      <c r="H963" s="1" t="s">
        <v>20</v>
      </c>
      <c r="I963" s="2">
        <v>45759</v>
      </c>
      <c r="J963">
        <v>9529</v>
      </c>
      <c r="K963" s="2">
        <v>45868</v>
      </c>
      <c r="L963">
        <v>18725</v>
      </c>
      <c r="M963">
        <v>28254</v>
      </c>
      <c r="N963">
        <v>0</v>
      </c>
    </row>
    <row r="964" spans="1:14" x14ac:dyDescent="0.3">
      <c r="A964" s="1" t="s">
        <v>1009</v>
      </c>
      <c r="B964" s="1" t="s">
        <v>71</v>
      </c>
      <c r="C964">
        <v>64</v>
      </c>
      <c r="D964" s="1" t="s">
        <v>16</v>
      </c>
      <c r="E964" s="1" t="s">
        <v>38</v>
      </c>
      <c r="F964" s="1" t="s">
        <v>18</v>
      </c>
      <c r="G964" s="1" t="s">
        <v>19</v>
      </c>
      <c r="H964" s="1" t="s">
        <v>20</v>
      </c>
      <c r="I964" s="2">
        <v>45692</v>
      </c>
      <c r="J964">
        <v>7837</v>
      </c>
      <c r="K964" s="2">
        <v>45862</v>
      </c>
      <c r="L964">
        <v>5992</v>
      </c>
      <c r="M964">
        <v>13829</v>
      </c>
      <c r="N964">
        <v>0</v>
      </c>
    </row>
    <row r="965" spans="1:14" x14ac:dyDescent="0.3">
      <c r="A965" s="1" t="s">
        <v>1010</v>
      </c>
      <c r="B965" s="1" t="s">
        <v>61</v>
      </c>
      <c r="C965">
        <v>39</v>
      </c>
      <c r="D965" s="1" t="s">
        <v>30</v>
      </c>
      <c r="E965" s="1" t="s">
        <v>38</v>
      </c>
      <c r="F965" s="1" t="s">
        <v>25</v>
      </c>
      <c r="G965" s="1" t="s">
        <v>41</v>
      </c>
      <c r="H965" s="1" t="s">
        <v>20</v>
      </c>
      <c r="I965" s="2">
        <v>45495</v>
      </c>
      <c r="J965">
        <v>8688</v>
      </c>
      <c r="K965" s="2">
        <v>45810</v>
      </c>
      <c r="L965">
        <v>24321</v>
      </c>
      <c r="M965">
        <v>33009</v>
      </c>
      <c r="N965">
        <v>0</v>
      </c>
    </row>
    <row r="966" spans="1:14" x14ac:dyDescent="0.3">
      <c r="A966" s="1" t="s">
        <v>1011</v>
      </c>
      <c r="B966" s="1" t="s">
        <v>56</v>
      </c>
      <c r="C966">
        <v>64</v>
      </c>
      <c r="D966" s="1" t="s">
        <v>16</v>
      </c>
      <c r="E966" s="1" t="s">
        <v>38</v>
      </c>
      <c r="F966" s="1" t="s">
        <v>25</v>
      </c>
      <c r="G966" s="1" t="s">
        <v>19</v>
      </c>
      <c r="H966" s="1" t="s">
        <v>20</v>
      </c>
      <c r="I966" s="2">
        <v>45398</v>
      </c>
      <c r="J966">
        <v>5053</v>
      </c>
      <c r="K966" s="2">
        <v>45867</v>
      </c>
      <c r="L966">
        <v>-2654</v>
      </c>
      <c r="M966">
        <v>2399</v>
      </c>
      <c r="N966">
        <v>0</v>
      </c>
    </row>
    <row r="967" spans="1:14" x14ac:dyDescent="0.3">
      <c r="A967" s="1" t="s">
        <v>1012</v>
      </c>
      <c r="B967" s="1" t="s">
        <v>15</v>
      </c>
      <c r="C967">
        <v>47</v>
      </c>
      <c r="D967" s="1" t="s">
        <v>16</v>
      </c>
      <c r="E967" s="1" t="s">
        <v>35</v>
      </c>
      <c r="F967" s="1" t="s">
        <v>25</v>
      </c>
      <c r="G967" s="1" t="s">
        <v>41</v>
      </c>
      <c r="H967" s="1" t="s">
        <v>20</v>
      </c>
      <c r="I967" s="2">
        <v>44639</v>
      </c>
      <c r="J967">
        <v>3040</v>
      </c>
      <c r="K967" s="2">
        <v>45815</v>
      </c>
      <c r="L967">
        <v>8027</v>
      </c>
      <c r="M967">
        <v>11067</v>
      </c>
      <c r="N967">
        <v>0</v>
      </c>
    </row>
    <row r="968" spans="1:14" x14ac:dyDescent="0.3">
      <c r="A968" s="1" t="s">
        <v>1013</v>
      </c>
      <c r="B968" s="1" t="s">
        <v>59</v>
      </c>
      <c r="C968">
        <v>60</v>
      </c>
      <c r="D968" s="1" t="s">
        <v>16</v>
      </c>
      <c r="E968" s="1" t="s">
        <v>24</v>
      </c>
      <c r="F968" s="1" t="s">
        <v>25</v>
      </c>
      <c r="G968" s="1" t="s">
        <v>41</v>
      </c>
      <c r="H968" s="1" t="s">
        <v>20</v>
      </c>
      <c r="I968" s="2">
        <v>45236</v>
      </c>
      <c r="J968">
        <v>1098</v>
      </c>
      <c r="K968" s="2">
        <v>45747</v>
      </c>
      <c r="L968">
        <v>4538</v>
      </c>
      <c r="M968">
        <v>5636</v>
      </c>
      <c r="N968">
        <v>0</v>
      </c>
    </row>
    <row r="969" spans="1:14" x14ac:dyDescent="0.3">
      <c r="A969" s="1" t="s">
        <v>1014</v>
      </c>
      <c r="B969" s="1" t="s">
        <v>79</v>
      </c>
      <c r="C969">
        <v>65</v>
      </c>
      <c r="D969" s="1" t="s">
        <v>30</v>
      </c>
      <c r="E969" s="1" t="s">
        <v>17</v>
      </c>
      <c r="F969" s="1" t="s">
        <v>18</v>
      </c>
      <c r="G969" s="1" t="s">
        <v>41</v>
      </c>
      <c r="H969" s="1" t="s">
        <v>20</v>
      </c>
      <c r="I969" s="2">
        <v>45069</v>
      </c>
      <c r="J969">
        <v>4653</v>
      </c>
      <c r="K969" s="2">
        <v>45834</v>
      </c>
      <c r="L969">
        <v>-2375</v>
      </c>
      <c r="M969">
        <v>2278</v>
      </c>
      <c r="N969">
        <v>0</v>
      </c>
    </row>
    <row r="970" spans="1:14" x14ac:dyDescent="0.3">
      <c r="A970" s="1" t="s">
        <v>1015</v>
      </c>
      <c r="B970" s="1" t="s">
        <v>87</v>
      </c>
      <c r="C970">
        <v>34</v>
      </c>
      <c r="D970" s="1" t="s">
        <v>16</v>
      </c>
      <c r="E970" s="1" t="s">
        <v>17</v>
      </c>
      <c r="F970" s="1" t="s">
        <v>25</v>
      </c>
      <c r="G970" s="1" t="s">
        <v>19</v>
      </c>
      <c r="H970" s="1" t="s">
        <v>20</v>
      </c>
      <c r="I970" s="2">
        <v>45639</v>
      </c>
      <c r="J970">
        <v>185465</v>
      </c>
      <c r="K970" s="2">
        <v>45868</v>
      </c>
      <c r="L970">
        <v>9434</v>
      </c>
      <c r="M970">
        <v>194899</v>
      </c>
      <c r="N970">
        <v>0</v>
      </c>
    </row>
    <row r="971" spans="1:14" x14ac:dyDescent="0.3">
      <c r="A971" s="1" t="s">
        <v>1016</v>
      </c>
      <c r="B971" s="1" t="s">
        <v>69</v>
      </c>
      <c r="C971">
        <v>43</v>
      </c>
      <c r="D971" s="1" t="s">
        <v>16</v>
      </c>
      <c r="E971" s="1" t="s">
        <v>24</v>
      </c>
      <c r="F971" s="1" t="s">
        <v>18</v>
      </c>
      <c r="G971" s="1" t="s">
        <v>19</v>
      </c>
      <c r="H971" s="1" t="s">
        <v>49</v>
      </c>
      <c r="I971" s="2">
        <v>45019</v>
      </c>
      <c r="J971">
        <v>21553</v>
      </c>
      <c r="K971" s="2">
        <v>45818</v>
      </c>
      <c r="L971">
        <v>15648</v>
      </c>
      <c r="M971">
        <v>37201</v>
      </c>
      <c r="N971">
        <v>0</v>
      </c>
    </row>
    <row r="972" spans="1:14" x14ac:dyDescent="0.3">
      <c r="A972" s="1" t="s">
        <v>1017</v>
      </c>
      <c r="B972" s="1" t="s">
        <v>61</v>
      </c>
      <c r="C972">
        <v>53</v>
      </c>
      <c r="D972" s="1" t="s">
        <v>16</v>
      </c>
      <c r="E972" s="1" t="s">
        <v>35</v>
      </c>
      <c r="F972" s="1" t="s">
        <v>18</v>
      </c>
      <c r="G972" s="1" t="s">
        <v>19</v>
      </c>
      <c r="H972" s="1" t="s">
        <v>20</v>
      </c>
      <c r="I972" s="2">
        <v>44410</v>
      </c>
      <c r="J972">
        <v>86183</v>
      </c>
      <c r="K972" s="2">
        <v>45809</v>
      </c>
      <c r="L972">
        <v>31244</v>
      </c>
      <c r="M972">
        <v>117427</v>
      </c>
      <c r="N972">
        <v>0</v>
      </c>
    </row>
    <row r="973" spans="1:14" x14ac:dyDescent="0.3">
      <c r="A973" s="1" t="s">
        <v>1018</v>
      </c>
      <c r="B973" s="1" t="s">
        <v>37</v>
      </c>
      <c r="C973">
        <v>18</v>
      </c>
      <c r="D973" s="1" t="s">
        <v>16</v>
      </c>
      <c r="E973" s="1" t="s">
        <v>24</v>
      </c>
      <c r="F973" s="1" t="s">
        <v>18</v>
      </c>
      <c r="G973" s="1" t="s">
        <v>19</v>
      </c>
      <c r="H973" s="1" t="s">
        <v>20</v>
      </c>
      <c r="I973" s="2">
        <v>44205</v>
      </c>
      <c r="J973">
        <v>9719</v>
      </c>
      <c r="K973" s="2">
        <v>45771</v>
      </c>
      <c r="L973">
        <v>-8368</v>
      </c>
      <c r="M973">
        <v>1351</v>
      </c>
      <c r="N973">
        <v>0</v>
      </c>
    </row>
    <row r="974" spans="1:14" x14ac:dyDescent="0.3">
      <c r="A974" s="1" t="s">
        <v>1019</v>
      </c>
      <c r="B974" s="1" t="s">
        <v>32</v>
      </c>
      <c r="C974">
        <v>25</v>
      </c>
      <c r="D974" s="1" t="s">
        <v>16</v>
      </c>
      <c r="E974" s="1" t="s">
        <v>24</v>
      </c>
      <c r="F974" s="1" t="s">
        <v>18</v>
      </c>
      <c r="G974" s="1" t="s">
        <v>41</v>
      </c>
      <c r="H974" s="1" t="s">
        <v>20</v>
      </c>
      <c r="I974" s="2">
        <v>45331</v>
      </c>
      <c r="J974">
        <v>8364</v>
      </c>
      <c r="K974" s="2">
        <v>45864</v>
      </c>
      <c r="L974">
        <v>18905</v>
      </c>
      <c r="M974">
        <v>27269</v>
      </c>
      <c r="N974">
        <v>0</v>
      </c>
    </row>
    <row r="975" spans="1:14" x14ac:dyDescent="0.3">
      <c r="A975" s="1" t="s">
        <v>1020</v>
      </c>
      <c r="B975" s="1" t="s">
        <v>87</v>
      </c>
      <c r="C975">
        <v>66</v>
      </c>
      <c r="D975" s="1" t="s">
        <v>23</v>
      </c>
      <c r="E975" s="1" t="s">
        <v>24</v>
      </c>
      <c r="F975" s="1" t="s">
        <v>18</v>
      </c>
      <c r="G975" s="1" t="s">
        <v>19</v>
      </c>
      <c r="H975" s="1" t="s">
        <v>20</v>
      </c>
      <c r="I975" s="2">
        <v>45116</v>
      </c>
      <c r="J975">
        <v>74350</v>
      </c>
      <c r="K975" s="2">
        <v>45855</v>
      </c>
      <c r="L975">
        <v>-10894</v>
      </c>
      <c r="M975">
        <v>63456</v>
      </c>
      <c r="N975">
        <v>0</v>
      </c>
    </row>
    <row r="976" spans="1:14" x14ac:dyDescent="0.3">
      <c r="A976" s="1" t="s">
        <v>1021</v>
      </c>
      <c r="B976" s="1" t="s">
        <v>40</v>
      </c>
      <c r="C976">
        <v>52</v>
      </c>
      <c r="D976" s="1" t="s">
        <v>23</v>
      </c>
      <c r="E976" s="1" t="s">
        <v>24</v>
      </c>
      <c r="F976" s="1" t="s">
        <v>25</v>
      </c>
      <c r="G976" s="1" t="s">
        <v>41</v>
      </c>
      <c r="H976" s="1" t="s">
        <v>20</v>
      </c>
      <c r="I976" s="2">
        <v>44750</v>
      </c>
      <c r="J976">
        <v>19453</v>
      </c>
      <c r="K976" s="2">
        <v>45761</v>
      </c>
      <c r="L976">
        <v>3287</v>
      </c>
      <c r="M976">
        <v>22740</v>
      </c>
      <c r="N976">
        <v>0</v>
      </c>
    </row>
    <row r="977" spans="1:14" x14ac:dyDescent="0.3">
      <c r="A977" s="1" t="s">
        <v>1022</v>
      </c>
      <c r="B977" s="1" t="s">
        <v>29</v>
      </c>
      <c r="C977">
        <v>69</v>
      </c>
      <c r="D977" s="1" t="s">
        <v>23</v>
      </c>
      <c r="E977" s="1" t="s">
        <v>38</v>
      </c>
      <c r="F977" s="1" t="s">
        <v>18</v>
      </c>
      <c r="G977" s="1" t="s">
        <v>19</v>
      </c>
      <c r="H977" s="1" t="s">
        <v>20</v>
      </c>
      <c r="I977" s="2">
        <v>44479</v>
      </c>
      <c r="J977">
        <v>5140</v>
      </c>
      <c r="K977" s="2">
        <v>45722</v>
      </c>
      <c r="L977">
        <v>24974</v>
      </c>
      <c r="M977">
        <v>30114</v>
      </c>
      <c r="N977">
        <v>0</v>
      </c>
    </row>
    <row r="978" spans="1:14" x14ac:dyDescent="0.3">
      <c r="A978" s="1" t="s">
        <v>1023</v>
      </c>
      <c r="B978" s="1" t="s">
        <v>59</v>
      </c>
      <c r="C978">
        <v>32</v>
      </c>
      <c r="D978" s="1" t="s">
        <v>23</v>
      </c>
      <c r="E978" s="1" t="s">
        <v>17</v>
      </c>
      <c r="F978" s="1" t="s">
        <v>18</v>
      </c>
      <c r="G978" s="1" t="s">
        <v>19</v>
      </c>
      <c r="H978" s="1" t="s">
        <v>20</v>
      </c>
      <c r="I978" s="2">
        <v>44977</v>
      </c>
      <c r="J978">
        <v>25158</v>
      </c>
      <c r="K978" s="2">
        <v>45818</v>
      </c>
      <c r="L978">
        <v>2785</v>
      </c>
      <c r="M978">
        <v>27943</v>
      </c>
      <c r="N978">
        <v>0</v>
      </c>
    </row>
    <row r="979" spans="1:14" x14ac:dyDescent="0.3">
      <c r="A979" s="1" t="s">
        <v>1024</v>
      </c>
      <c r="B979" s="1" t="s">
        <v>79</v>
      </c>
      <c r="C979">
        <v>64</v>
      </c>
      <c r="D979" s="1" t="s">
        <v>23</v>
      </c>
      <c r="E979" s="1" t="s">
        <v>35</v>
      </c>
      <c r="F979" s="1" t="s">
        <v>25</v>
      </c>
      <c r="G979" s="1" t="s">
        <v>19</v>
      </c>
      <c r="H979" s="1" t="s">
        <v>20</v>
      </c>
      <c r="I979" s="2">
        <v>44364</v>
      </c>
      <c r="J979">
        <v>46671</v>
      </c>
      <c r="K979" s="2">
        <v>45826</v>
      </c>
      <c r="L979">
        <v>7775</v>
      </c>
      <c r="M979">
        <v>54446</v>
      </c>
      <c r="N979">
        <v>0</v>
      </c>
    </row>
    <row r="980" spans="1:14" x14ac:dyDescent="0.3">
      <c r="A980" s="1" t="s">
        <v>1025</v>
      </c>
      <c r="B980" s="1" t="s">
        <v>87</v>
      </c>
      <c r="C980">
        <v>39</v>
      </c>
      <c r="D980" s="1" t="s">
        <v>23</v>
      </c>
      <c r="E980" s="1" t="s">
        <v>24</v>
      </c>
      <c r="F980" s="1" t="s">
        <v>18</v>
      </c>
      <c r="G980" s="1" t="s">
        <v>19</v>
      </c>
      <c r="H980" s="1" t="s">
        <v>20</v>
      </c>
      <c r="I980" s="2">
        <v>44759</v>
      </c>
      <c r="J980">
        <v>3204</v>
      </c>
      <c r="K980" s="2">
        <v>45748</v>
      </c>
      <c r="L980">
        <v>11652</v>
      </c>
      <c r="M980">
        <v>14856</v>
      </c>
      <c r="N980">
        <v>0</v>
      </c>
    </row>
    <row r="981" spans="1:14" x14ac:dyDescent="0.3">
      <c r="A981" s="1" t="s">
        <v>1026</v>
      </c>
      <c r="B981" s="1" t="s">
        <v>56</v>
      </c>
      <c r="C981">
        <v>31</v>
      </c>
      <c r="D981" s="1" t="s">
        <v>16</v>
      </c>
      <c r="E981" s="1" t="s">
        <v>17</v>
      </c>
      <c r="F981" s="1" t="s">
        <v>18</v>
      </c>
      <c r="G981" s="1" t="s">
        <v>19</v>
      </c>
      <c r="H981" s="1" t="s">
        <v>20</v>
      </c>
      <c r="I981" s="2">
        <v>44831</v>
      </c>
      <c r="J981">
        <v>21262</v>
      </c>
      <c r="K981" s="2">
        <v>45867</v>
      </c>
      <c r="L981">
        <v>28557</v>
      </c>
      <c r="M981">
        <v>49819</v>
      </c>
      <c r="N981">
        <v>0</v>
      </c>
    </row>
    <row r="982" spans="1:14" x14ac:dyDescent="0.3">
      <c r="A982" s="1" t="s">
        <v>1027</v>
      </c>
      <c r="B982" s="1" t="s">
        <v>59</v>
      </c>
      <c r="C982">
        <v>43</v>
      </c>
      <c r="D982" s="1" t="s">
        <v>23</v>
      </c>
      <c r="E982" s="1" t="s">
        <v>38</v>
      </c>
      <c r="F982" s="1" t="s">
        <v>18</v>
      </c>
      <c r="G982" s="1" t="s">
        <v>19</v>
      </c>
      <c r="H982" s="1" t="s">
        <v>20</v>
      </c>
      <c r="I982" s="2">
        <v>44975</v>
      </c>
      <c r="J982">
        <v>3423</v>
      </c>
      <c r="K982" s="2">
        <v>45868</v>
      </c>
      <c r="L982">
        <v>-5057</v>
      </c>
      <c r="M982">
        <v>-1634</v>
      </c>
      <c r="N982">
        <v>0</v>
      </c>
    </row>
    <row r="983" spans="1:14" x14ac:dyDescent="0.3">
      <c r="A983" s="1" t="s">
        <v>1028</v>
      </c>
      <c r="B983" s="1" t="s">
        <v>22</v>
      </c>
      <c r="C983">
        <v>45</v>
      </c>
      <c r="D983" s="1" t="s">
        <v>16</v>
      </c>
      <c r="E983" s="1" t="s">
        <v>17</v>
      </c>
      <c r="F983" s="1" t="s">
        <v>25</v>
      </c>
      <c r="G983" s="1" t="s">
        <v>41</v>
      </c>
      <c r="H983" s="1" t="s">
        <v>20</v>
      </c>
      <c r="I983" s="2">
        <v>44977</v>
      </c>
      <c r="J983">
        <v>44212</v>
      </c>
      <c r="K983" s="2">
        <v>45851</v>
      </c>
      <c r="L983">
        <v>15375</v>
      </c>
      <c r="M983">
        <v>59587</v>
      </c>
      <c r="N983">
        <v>0</v>
      </c>
    </row>
    <row r="984" spans="1:14" x14ac:dyDescent="0.3">
      <c r="A984" s="1" t="s">
        <v>1029</v>
      </c>
      <c r="B984" s="1" t="s">
        <v>27</v>
      </c>
      <c r="C984">
        <v>40</v>
      </c>
      <c r="D984" s="1" t="s">
        <v>23</v>
      </c>
      <c r="E984" s="1" t="s">
        <v>35</v>
      </c>
      <c r="F984" s="1" t="s">
        <v>18</v>
      </c>
      <c r="G984" s="1" t="s">
        <v>19</v>
      </c>
      <c r="H984" s="1" t="s">
        <v>20</v>
      </c>
      <c r="I984" s="2">
        <v>44626</v>
      </c>
      <c r="J984">
        <v>16826</v>
      </c>
      <c r="K984" s="2">
        <v>45740</v>
      </c>
      <c r="L984">
        <v>1001</v>
      </c>
      <c r="M984">
        <v>17827</v>
      </c>
      <c r="N984">
        <v>0</v>
      </c>
    </row>
    <row r="985" spans="1:14" x14ac:dyDescent="0.3">
      <c r="A985" s="1" t="s">
        <v>1030</v>
      </c>
      <c r="B985" s="1" t="s">
        <v>40</v>
      </c>
      <c r="C985">
        <v>31</v>
      </c>
      <c r="D985" s="1" t="s">
        <v>23</v>
      </c>
      <c r="E985" s="1" t="s">
        <v>35</v>
      </c>
      <c r="F985" s="1" t="s">
        <v>18</v>
      </c>
      <c r="G985" s="1" t="s">
        <v>19</v>
      </c>
      <c r="H985" s="1" t="s">
        <v>20</v>
      </c>
      <c r="I985" s="2">
        <v>45619</v>
      </c>
      <c r="J985">
        <v>25076</v>
      </c>
      <c r="K985" s="2">
        <v>45869</v>
      </c>
      <c r="L985">
        <v>6102</v>
      </c>
      <c r="M985">
        <v>31178</v>
      </c>
      <c r="N985">
        <v>0</v>
      </c>
    </row>
    <row r="986" spans="1:14" x14ac:dyDescent="0.3">
      <c r="A986" s="1" t="s">
        <v>1031</v>
      </c>
      <c r="B986" s="1" t="s">
        <v>61</v>
      </c>
      <c r="C986">
        <v>41</v>
      </c>
      <c r="D986" s="1" t="s">
        <v>16</v>
      </c>
      <c r="E986" s="1" t="s">
        <v>38</v>
      </c>
      <c r="F986" s="1" t="s">
        <v>18</v>
      </c>
      <c r="G986" s="1" t="s">
        <v>19</v>
      </c>
      <c r="H986" s="1" t="s">
        <v>20</v>
      </c>
      <c r="I986" s="2">
        <v>44791</v>
      </c>
      <c r="J986">
        <v>10749</v>
      </c>
      <c r="K986" s="2">
        <v>45857</v>
      </c>
      <c r="L986">
        <v>33001</v>
      </c>
      <c r="M986">
        <v>43750</v>
      </c>
      <c r="N986">
        <v>0</v>
      </c>
    </row>
    <row r="987" spans="1:14" x14ac:dyDescent="0.3">
      <c r="A987" s="1" t="s">
        <v>1032</v>
      </c>
      <c r="B987" s="1" t="s">
        <v>87</v>
      </c>
      <c r="C987">
        <v>19</v>
      </c>
      <c r="D987" s="1" t="s">
        <v>16</v>
      </c>
      <c r="E987" s="1" t="s">
        <v>38</v>
      </c>
      <c r="F987" s="1" t="s">
        <v>18</v>
      </c>
      <c r="G987" s="1" t="s">
        <v>19</v>
      </c>
      <c r="H987" s="1" t="s">
        <v>20</v>
      </c>
      <c r="I987" s="2">
        <v>44581</v>
      </c>
      <c r="J987">
        <v>2249</v>
      </c>
      <c r="K987" s="2">
        <v>45720</v>
      </c>
      <c r="L987">
        <v>3363</v>
      </c>
      <c r="M987">
        <v>5612</v>
      </c>
      <c r="N987">
        <v>0</v>
      </c>
    </row>
    <row r="988" spans="1:14" x14ac:dyDescent="0.3">
      <c r="A988" s="1" t="s">
        <v>1033</v>
      </c>
      <c r="B988" s="1" t="s">
        <v>52</v>
      </c>
      <c r="C988">
        <v>62</v>
      </c>
      <c r="D988" s="1" t="s">
        <v>23</v>
      </c>
      <c r="E988" s="1" t="s">
        <v>24</v>
      </c>
      <c r="F988" s="1" t="s">
        <v>18</v>
      </c>
      <c r="G988" s="1" t="s">
        <v>19</v>
      </c>
      <c r="H988" s="1" t="s">
        <v>20</v>
      </c>
      <c r="I988" s="2">
        <v>44491</v>
      </c>
      <c r="J988">
        <v>8592</v>
      </c>
      <c r="K988" s="2">
        <v>45869</v>
      </c>
      <c r="L988">
        <v>20527</v>
      </c>
      <c r="M988">
        <v>29119</v>
      </c>
      <c r="N988">
        <v>0</v>
      </c>
    </row>
    <row r="989" spans="1:14" x14ac:dyDescent="0.3">
      <c r="A989" s="1" t="s">
        <v>1034</v>
      </c>
      <c r="B989" s="1" t="s">
        <v>22</v>
      </c>
      <c r="C989">
        <v>43</v>
      </c>
      <c r="D989" s="1" t="s">
        <v>16</v>
      </c>
      <c r="E989" s="1" t="s">
        <v>35</v>
      </c>
      <c r="F989" s="1" t="s">
        <v>18</v>
      </c>
      <c r="G989" s="1" t="s">
        <v>19</v>
      </c>
      <c r="H989" s="1" t="s">
        <v>20</v>
      </c>
      <c r="I989" s="2">
        <v>44736</v>
      </c>
      <c r="J989">
        <v>33855</v>
      </c>
      <c r="K989" s="2">
        <v>45806</v>
      </c>
      <c r="L989">
        <v>9239</v>
      </c>
      <c r="M989">
        <v>43094</v>
      </c>
      <c r="N989">
        <v>0</v>
      </c>
    </row>
    <row r="990" spans="1:14" x14ac:dyDescent="0.3">
      <c r="A990" s="1" t="s">
        <v>1035</v>
      </c>
      <c r="B990" s="1" t="s">
        <v>27</v>
      </c>
      <c r="C990">
        <v>31</v>
      </c>
      <c r="D990" s="1" t="s">
        <v>16</v>
      </c>
      <c r="E990" s="1" t="s">
        <v>24</v>
      </c>
      <c r="F990" s="1" t="s">
        <v>18</v>
      </c>
      <c r="G990" s="1" t="s">
        <v>19</v>
      </c>
      <c r="H990" s="1" t="s">
        <v>20</v>
      </c>
      <c r="I990" s="2">
        <v>44310</v>
      </c>
      <c r="J990">
        <v>98089</v>
      </c>
      <c r="K990" s="2">
        <v>45802</v>
      </c>
      <c r="L990">
        <v>21718</v>
      </c>
      <c r="M990">
        <v>119807</v>
      </c>
      <c r="N990">
        <v>0</v>
      </c>
    </row>
    <row r="991" spans="1:14" x14ac:dyDescent="0.3">
      <c r="A991" s="1" t="s">
        <v>1036</v>
      </c>
      <c r="B991" s="1" t="s">
        <v>87</v>
      </c>
      <c r="C991">
        <v>68</v>
      </c>
      <c r="D991" s="1" t="s">
        <v>23</v>
      </c>
      <c r="E991" s="1" t="s">
        <v>38</v>
      </c>
      <c r="F991" s="1" t="s">
        <v>25</v>
      </c>
      <c r="G991" s="1" t="s">
        <v>19</v>
      </c>
      <c r="H991" s="1" t="s">
        <v>49</v>
      </c>
      <c r="I991" s="2">
        <v>44252</v>
      </c>
      <c r="J991">
        <v>17717</v>
      </c>
      <c r="K991" s="2">
        <v>45753</v>
      </c>
      <c r="L991">
        <v>34189</v>
      </c>
      <c r="M991">
        <v>51906</v>
      </c>
      <c r="N991">
        <v>0</v>
      </c>
    </row>
    <row r="992" spans="1:14" x14ac:dyDescent="0.3">
      <c r="A992" s="1" t="s">
        <v>1037</v>
      </c>
      <c r="B992" s="1" t="s">
        <v>29</v>
      </c>
      <c r="C992">
        <v>24</v>
      </c>
      <c r="D992" s="1" t="s">
        <v>23</v>
      </c>
      <c r="E992" s="1" t="s">
        <v>35</v>
      </c>
      <c r="F992" s="1" t="s">
        <v>18</v>
      </c>
      <c r="G992" s="1" t="s">
        <v>19</v>
      </c>
      <c r="H992" s="1" t="s">
        <v>20</v>
      </c>
      <c r="I992" s="2">
        <v>45209</v>
      </c>
      <c r="J992">
        <v>6725</v>
      </c>
      <c r="K992" s="2">
        <v>45841</v>
      </c>
      <c r="L992">
        <v>7671</v>
      </c>
      <c r="M992">
        <v>14396</v>
      </c>
      <c r="N992">
        <v>0</v>
      </c>
    </row>
    <row r="993" spans="1:14" x14ac:dyDescent="0.3">
      <c r="A993" s="1" t="s">
        <v>1038</v>
      </c>
      <c r="B993" s="1" t="s">
        <v>29</v>
      </c>
      <c r="C993">
        <v>20</v>
      </c>
      <c r="D993" s="1" t="s">
        <v>30</v>
      </c>
      <c r="E993" s="1" t="s">
        <v>35</v>
      </c>
      <c r="F993" s="1" t="s">
        <v>18</v>
      </c>
      <c r="G993" s="1" t="s">
        <v>41</v>
      </c>
      <c r="H993" s="1" t="s">
        <v>20</v>
      </c>
      <c r="I993" s="2">
        <v>45232</v>
      </c>
      <c r="J993">
        <v>22827</v>
      </c>
      <c r="K993" s="2">
        <v>45860</v>
      </c>
      <c r="L993">
        <v>10997</v>
      </c>
      <c r="M993">
        <v>33824</v>
      </c>
      <c r="N993">
        <v>0</v>
      </c>
    </row>
    <row r="994" spans="1:14" x14ac:dyDescent="0.3">
      <c r="A994" s="1" t="s">
        <v>1039</v>
      </c>
      <c r="B994" s="1" t="s">
        <v>27</v>
      </c>
      <c r="C994">
        <v>64</v>
      </c>
      <c r="D994" s="1" t="s">
        <v>16</v>
      </c>
      <c r="E994" s="1" t="s">
        <v>38</v>
      </c>
      <c r="F994" s="1" t="s">
        <v>18</v>
      </c>
      <c r="G994" s="1" t="s">
        <v>19</v>
      </c>
      <c r="H994" s="1" t="s">
        <v>20</v>
      </c>
      <c r="I994" s="2">
        <v>45083</v>
      </c>
      <c r="J994">
        <v>30943</v>
      </c>
      <c r="K994" s="2">
        <v>45867</v>
      </c>
      <c r="L994">
        <v>32952</v>
      </c>
      <c r="M994">
        <v>63895</v>
      </c>
      <c r="N994">
        <v>0</v>
      </c>
    </row>
    <row r="995" spans="1:14" x14ac:dyDescent="0.3">
      <c r="A995" s="1" t="s">
        <v>1040</v>
      </c>
      <c r="B995" s="1" t="s">
        <v>56</v>
      </c>
      <c r="C995">
        <v>40</v>
      </c>
      <c r="D995" s="1" t="s">
        <v>16</v>
      </c>
      <c r="E995" s="1" t="s">
        <v>24</v>
      </c>
      <c r="F995" s="1" t="s">
        <v>18</v>
      </c>
      <c r="G995" s="1" t="s">
        <v>19</v>
      </c>
      <c r="H995" s="1" t="s">
        <v>20</v>
      </c>
      <c r="I995" s="2">
        <v>45472</v>
      </c>
      <c r="J995">
        <v>15256</v>
      </c>
      <c r="K995" s="2">
        <v>45868</v>
      </c>
      <c r="L995">
        <v>14642</v>
      </c>
      <c r="M995">
        <v>29898</v>
      </c>
      <c r="N995">
        <v>0</v>
      </c>
    </row>
    <row r="996" spans="1:14" x14ac:dyDescent="0.3">
      <c r="A996" s="1" t="s">
        <v>1041</v>
      </c>
      <c r="B996" s="1" t="s">
        <v>59</v>
      </c>
      <c r="C996">
        <v>63</v>
      </c>
      <c r="D996" s="1" t="s">
        <v>16</v>
      </c>
      <c r="E996" s="1" t="s">
        <v>35</v>
      </c>
      <c r="F996" s="1" t="s">
        <v>25</v>
      </c>
      <c r="G996" s="1" t="s">
        <v>19</v>
      </c>
      <c r="H996" s="1" t="s">
        <v>20</v>
      </c>
      <c r="I996" s="2">
        <v>44262</v>
      </c>
      <c r="J996">
        <v>14346</v>
      </c>
      <c r="K996" s="2">
        <v>45715</v>
      </c>
      <c r="L996">
        <v>8382</v>
      </c>
      <c r="M996">
        <v>22728</v>
      </c>
      <c r="N996">
        <v>0</v>
      </c>
    </row>
    <row r="997" spans="1:14" x14ac:dyDescent="0.3">
      <c r="A997" s="1" t="s">
        <v>1042</v>
      </c>
      <c r="B997" s="1" t="s">
        <v>34</v>
      </c>
      <c r="C997">
        <v>60</v>
      </c>
      <c r="D997" s="1" t="s">
        <v>23</v>
      </c>
      <c r="E997" s="1" t="s">
        <v>24</v>
      </c>
      <c r="F997" s="1" t="s">
        <v>18</v>
      </c>
      <c r="G997" s="1" t="s">
        <v>19</v>
      </c>
      <c r="H997" s="1" t="s">
        <v>20</v>
      </c>
      <c r="I997" s="2">
        <v>45762</v>
      </c>
      <c r="J997">
        <v>16541</v>
      </c>
      <c r="K997" s="2">
        <v>45864</v>
      </c>
      <c r="L997">
        <v>3802</v>
      </c>
      <c r="M997">
        <v>20343</v>
      </c>
      <c r="N997">
        <v>0</v>
      </c>
    </row>
    <row r="998" spans="1:14" x14ac:dyDescent="0.3">
      <c r="A998" s="1" t="s">
        <v>1043</v>
      </c>
      <c r="B998" s="1" t="s">
        <v>79</v>
      </c>
      <c r="C998">
        <v>64</v>
      </c>
      <c r="D998" s="1" t="s">
        <v>23</v>
      </c>
      <c r="E998" s="1" t="s">
        <v>35</v>
      </c>
      <c r="F998" s="1" t="s">
        <v>18</v>
      </c>
      <c r="G998" s="1" t="s">
        <v>19</v>
      </c>
      <c r="H998" s="1" t="s">
        <v>20</v>
      </c>
      <c r="I998" s="2">
        <v>44356</v>
      </c>
      <c r="J998">
        <v>13954</v>
      </c>
      <c r="K998" s="2">
        <v>45869</v>
      </c>
      <c r="L998">
        <v>30504</v>
      </c>
      <c r="M998">
        <v>44458</v>
      </c>
      <c r="N998">
        <v>0</v>
      </c>
    </row>
    <row r="999" spans="1:14" x14ac:dyDescent="0.3">
      <c r="A999" s="1" t="s">
        <v>1044</v>
      </c>
      <c r="B999" s="1" t="s">
        <v>40</v>
      </c>
      <c r="C999">
        <v>62</v>
      </c>
      <c r="D999" s="1" t="s">
        <v>23</v>
      </c>
      <c r="E999" s="1" t="s">
        <v>38</v>
      </c>
      <c r="F999" s="1" t="s">
        <v>25</v>
      </c>
      <c r="G999" s="1" t="s">
        <v>19</v>
      </c>
      <c r="H999" s="1" t="s">
        <v>20</v>
      </c>
      <c r="I999" s="2">
        <v>45324</v>
      </c>
      <c r="J999">
        <v>17994</v>
      </c>
      <c r="K999" s="2">
        <v>45847</v>
      </c>
      <c r="L999">
        <v>-3472</v>
      </c>
      <c r="M999">
        <v>14522</v>
      </c>
      <c r="N999">
        <v>0</v>
      </c>
    </row>
    <row r="1000" spans="1:14" x14ac:dyDescent="0.3">
      <c r="A1000" s="1" t="s">
        <v>1045</v>
      </c>
      <c r="B1000" s="1" t="s">
        <v>87</v>
      </c>
      <c r="C1000">
        <v>35</v>
      </c>
      <c r="D1000" s="1" t="s">
        <v>16</v>
      </c>
      <c r="E1000" s="1" t="s">
        <v>24</v>
      </c>
      <c r="F1000" s="1" t="s">
        <v>18</v>
      </c>
      <c r="G1000" s="1" t="s">
        <v>19</v>
      </c>
      <c r="H1000" s="1" t="s">
        <v>20</v>
      </c>
      <c r="I1000" s="2">
        <v>44420</v>
      </c>
      <c r="J1000">
        <v>83080</v>
      </c>
      <c r="K1000" s="2">
        <v>45566</v>
      </c>
      <c r="L1000">
        <v>-5018</v>
      </c>
      <c r="M1000">
        <v>78062</v>
      </c>
      <c r="N1000">
        <v>1</v>
      </c>
    </row>
    <row r="1001" spans="1:14" x14ac:dyDescent="0.3">
      <c r="A1001" s="1" t="s">
        <v>1046</v>
      </c>
      <c r="B1001" s="1" t="s">
        <v>75</v>
      </c>
      <c r="C1001">
        <v>55</v>
      </c>
      <c r="D1001" s="1" t="s">
        <v>16</v>
      </c>
      <c r="E1001" s="1" t="s">
        <v>24</v>
      </c>
      <c r="F1001" s="1" t="s">
        <v>18</v>
      </c>
      <c r="G1001" s="1" t="s">
        <v>19</v>
      </c>
      <c r="H1001" s="1" t="s">
        <v>20</v>
      </c>
      <c r="I1001" s="2">
        <v>45669</v>
      </c>
      <c r="J1001">
        <v>1749</v>
      </c>
      <c r="K1001" s="2">
        <v>45862</v>
      </c>
      <c r="L1001">
        <v>-13981</v>
      </c>
      <c r="M1001">
        <v>-12232</v>
      </c>
      <c r="N1001">
        <v>0</v>
      </c>
    </row>
    <row r="1002" spans="1:14" x14ac:dyDescent="0.3">
      <c r="A1002" s="1" t="s">
        <v>1047</v>
      </c>
      <c r="B1002" s="1" t="s">
        <v>22</v>
      </c>
      <c r="C1002">
        <v>52</v>
      </c>
      <c r="D1002" s="1" t="s">
        <v>16</v>
      </c>
      <c r="E1002" s="1" t="s">
        <v>24</v>
      </c>
      <c r="F1002" s="1" t="s">
        <v>18</v>
      </c>
      <c r="G1002" s="1" t="s">
        <v>19</v>
      </c>
      <c r="H1002" s="1" t="s">
        <v>20</v>
      </c>
      <c r="I1002" s="2">
        <v>45051</v>
      </c>
      <c r="J1002">
        <v>10525</v>
      </c>
      <c r="K1002" s="2">
        <v>45829</v>
      </c>
      <c r="L1002">
        <v>32038</v>
      </c>
      <c r="M1002">
        <v>42563</v>
      </c>
      <c r="N1002">
        <v>0</v>
      </c>
    </row>
    <row r="1003" spans="1:14" x14ac:dyDescent="0.3">
      <c r="A1003" s="1" t="s">
        <v>1048</v>
      </c>
      <c r="B1003" s="1" t="s">
        <v>59</v>
      </c>
      <c r="C1003">
        <v>68</v>
      </c>
      <c r="D1003" s="1" t="s">
        <v>23</v>
      </c>
      <c r="E1003" s="1" t="s">
        <v>38</v>
      </c>
      <c r="F1003" s="1" t="s">
        <v>18</v>
      </c>
      <c r="G1003" s="1" t="s">
        <v>19</v>
      </c>
      <c r="H1003" s="1" t="s">
        <v>20</v>
      </c>
      <c r="I1003" s="2">
        <v>44334</v>
      </c>
      <c r="J1003">
        <v>5259</v>
      </c>
      <c r="K1003" s="2">
        <v>45816</v>
      </c>
      <c r="L1003">
        <v>9665</v>
      </c>
      <c r="M1003">
        <v>14924</v>
      </c>
      <c r="N1003">
        <v>0</v>
      </c>
    </row>
    <row r="1004" spans="1:14" x14ac:dyDescent="0.3">
      <c r="A1004" s="1" t="s">
        <v>1049</v>
      </c>
      <c r="B1004" s="1" t="s">
        <v>34</v>
      </c>
      <c r="C1004">
        <v>32</v>
      </c>
      <c r="D1004" s="1" t="s">
        <v>23</v>
      </c>
      <c r="E1004" s="1" t="s">
        <v>24</v>
      </c>
      <c r="F1004" s="1" t="s">
        <v>18</v>
      </c>
      <c r="G1004" s="1" t="s">
        <v>19</v>
      </c>
      <c r="H1004" s="1" t="s">
        <v>20</v>
      </c>
      <c r="I1004" s="2">
        <v>45228</v>
      </c>
      <c r="J1004">
        <v>43512</v>
      </c>
      <c r="K1004" s="2">
        <v>45853</v>
      </c>
      <c r="L1004">
        <v>-2467</v>
      </c>
      <c r="M1004">
        <v>41045</v>
      </c>
      <c r="N1004">
        <v>0</v>
      </c>
    </row>
    <row r="1005" spans="1:14" x14ac:dyDescent="0.3">
      <c r="A1005" s="1" t="s">
        <v>1050</v>
      </c>
      <c r="B1005" s="1" t="s">
        <v>61</v>
      </c>
      <c r="C1005">
        <v>42</v>
      </c>
      <c r="D1005" s="1" t="s">
        <v>16</v>
      </c>
      <c r="E1005" s="1" t="s">
        <v>24</v>
      </c>
      <c r="F1005" s="1" t="s">
        <v>18</v>
      </c>
      <c r="G1005" s="1" t="s">
        <v>19</v>
      </c>
      <c r="H1005" s="1" t="s">
        <v>20</v>
      </c>
      <c r="I1005" s="2">
        <v>44212</v>
      </c>
      <c r="J1005">
        <v>11604</v>
      </c>
      <c r="K1005" s="2">
        <v>45849</v>
      </c>
      <c r="L1005">
        <v>-591</v>
      </c>
      <c r="M1005">
        <v>11013</v>
      </c>
      <c r="N1005">
        <v>0</v>
      </c>
    </row>
    <row r="1006" spans="1:14" x14ac:dyDescent="0.3">
      <c r="A1006" s="1" t="s">
        <v>1051</v>
      </c>
      <c r="B1006" s="1" t="s">
        <v>75</v>
      </c>
      <c r="C1006">
        <v>54</v>
      </c>
      <c r="D1006" s="1" t="s">
        <v>16</v>
      </c>
      <c r="E1006" s="1" t="s">
        <v>24</v>
      </c>
      <c r="F1006" s="1" t="s">
        <v>18</v>
      </c>
      <c r="G1006" s="1" t="s">
        <v>19</v>
      </c>
      <c r="H1006" s="1" t="s">
        <v>20</v>
      </c>
      <c r="I1006" s="2">
        <v>45495</v>
      </c>
      <c r="J1006">
        <v>23382</v>
      </c>
      <c r="K1006" s="2">
        <v>45808</v>
      </c>
      <c r="L1006">
        <v>26703</v>
      </c>
      <c r="M1006">
        <v>50085</v>
      </c>
      <c r="N1006">
        <v>0</v>
      </c>
    </row>
    <row r="1007" spans="1:14" x14ac:dyDescent="0.3">
      <c r="A1007" s="1" t="s">
        <v>1052</v>
      </c>
      <c r="B1007" s="1" t="s">
        <v>22</v>
      </c>
      <c r="C1007">
        <v>45</v>
      </c>
      <c r="D1007" s="1" t="s">
        <v>16</v>
      </c>
      <c r="E1007" s="1" t="s">
        <v>38</v>
      </c>
      <c r="F1007" s="1" t="s">
        <v>25</v>
      </c>
      <c r="G1007" s="1" t="s">
        <v>19</v>
      </c>
      <c r="H1007" s="1" t="s">
        <v>20</v>
      </c>
      <c r="I1007" s="2">
        <v>45285</v>
      </c>
      <c r="J1007">
        <v>55676</v>
      </c>
      <c r="K1007" s="2">
        <v>45834</v>
      </c>
      <c r="L1007">
        <v>-17069</v>
      </c>
      <c r="M1007">
        <v>38607</v>
      </c>
      <c r="N1007">
        <v>0</v>
      </c>
    </row>
    <row r="1008" spans="1:14" x14ac:dyDescent="0.3">
      <c r="A1008" s="1" t="s">
        <v>1053</v>
      </c>
      <c r="B1008" s="1" t="s">
        <v>29</v>
      </c>
      <c r="C1008">
        <v>27</v>
      </c>
      <c r="D1008" s="1" t="s">
        <v>23</v>
      </c>
      <c r="E1008" s="1" t="s">
        <v>24</v>
      </c>
      <c r="F1008" s="1" t="s">
        <v>18</v>
      </c>
      <c r="G1008" s="1" t="s">
        <v>19</v>
      </c>
      <c r="H1008" s="1" t="s">
        <v>20</v>
      </c>
      <c r="I1008" s="2">
        <v>44552</v>
      </c>
      <c r="J1008">
        <v>4532</v>
      </c>
      <c r="K1008" s="2">
        <v>45830</v>
      </c>
      <c r="L1008">
        <v>1420</v>
      </c>
      <c r="M1008">
        <v>5952</v>
      </c>
      <c r="N1008">
        <v>0</v>
      </c>
    </row>
    <row r="1009" spans="1:14" x14ac:dyDescent="0.3">
      <c r="A1009" s="1" t="s">
        <v>1054</v>
      </c>
      <c r="B1009" s="1" t="s">
        <v>32</v>
      </c>
      <c r="C1009">
        <v>56</v>
      </c>
      <c r="D1009" s="1" t="s">
        <v>16</v>
      </c>
      <c r="E1009" s="1" t="s">
        <v>17</v>
      </c>
      <c r="F1009" s="1" t="s">
        <v>18</v>
      </c>
      <c r="G1009" s="1" t="s">
        <v>19</v>
      </c>
      <c r="H1009" s="1" t="s">
        <v>20</v>
      </c>
      <c r="I1009" s="2">
        <v>44823</v>
      </c>
      <c r="J1009">
        <v>7883</v>
      </c>
      <c r="K1009" s="2">
        <v>45861</v>
      </c>
      <c r="L1009">
        <v>6857</v>
      </c>
      <c r="M1009">
        <v>14740</v>
      </c>
      <c r="N1009">
        <v>0</v>
      </c>
    </row>
    <row r="1010" spans="1:14" x14ac:dyDescent="0.3">
      <c r="A1010" s="1" t="s">
        <v>1055</v>
      </c>
      <c r="B1010" s="1" t="s">
        <v>75</v>
      </c>
      <c r="C1010">
        <v>34</v>
      </c>
      <c r="D1010" s="1" t="s">
        <v>23</v>
      </c>
      <c r="E1010" s="1" t="s">
        <v>17</v>
      </c>
      <c r="F1010" s="1" t="s">
        <v>18</v>
      </c>
      <c r="G1010" s="1" t="s">
        <v>19</v>
      </c>
      <c r="H1010" s="1" t="s">
        <v>20</v>
      </c>
      <c r="I1010" s="2">
        <v>44210</v>
      </c>
      <c r="J1010">
        <v>50216</v>
      </c>
      <c r="K1010" s="2">
        <v>45809</v>
      </c>
      <c r="L1010">
        <v>-1476</v>
      </c>
      <c r="M1010">
        <v>48740</v>
      </c>
      <c r="N1010">
        <v>0</v>
      </c>
    </row>
    <row r="1011" spans="1:14" x14ac:dyDescent="0.3">
      <c r="A1011" s="1" t="s">
        <v>1056</v>
      </c>
      <c r="B1011" s="1" t="s">
        <v>32</v>
      </c>
      <c r="C1011">
        <v>56</v>
      </c>
      <c r="D1011" s="1" t="s">
        <v>30</v>
      </c>
      <c r="E1011" s="1" t="s">
        <v>17</v>
      </c>
      <c r="F1011" s="1" t="s">
        <v>18</v>
      </c>
      <c r="G1011" s="1" t="s">
        <v>41</v>
      </c>
      <c r="H1011" s="1" t="s">
        <v>20</v>
      </c>
      <c r="I1011" s="2">
        <v>45357</v>
      </c>
      <c r="J1011">
        <v>4354</v>
      </c>
      <c r="K1011" s="2">
        <v>45869</v>
      </c>
      <c r="L1011">
        <v>20821</v>
      </c>
      <c r="M1011">
        <v>25175</v>
      </c>
      <c r="N1011">
        <v>0</v>
      </c>
    </row>
    <row r="1012" spans="1:14" x14ac:dyDescent="0.3">
      <c r="A1012" s="1" t="s">
        <v>1057</v>
      </c>
      <c r="B1012" s="1" t="s">
        <v>71</v>
      </c>
      <c r="C1012">
        <v>39</v>
      </c>
      <c r="D1012" s="1" t="s">
        <v>23</v>
      </c>
      <c r="E1012" s="1" t="s">
        <v>24</v>
      </c>
      <c r="F1012" s="1" t="s">
        <v>18</v>
      </c>
      <c r="G1012" s="1" t="s">
        <v>19</v>
      </c>
      <c r="H1012" s="1" t="s">
        <v>20</v>
      </c>
      <c r="I1012" s="2">
        <v>44736</v>
      </c>
      <c r="J1012">
        <v>8154</v>
      </c>
      <c r="K1012" s="2">
        <v>45868</v>
      </c>
      <c r="L1012">
        <v>-121</v>
      </c>
      <c r="M1012">
        <v>8033</v>
      </c>
      <c r="N1012">
        <v>0</v>
      </c>
    </row>
    <row r="1013" spans="1:14" x14ac:dyDescent="0.3">
      <c r="A1013" s="1" t="s">
        <v>1058</v>
      </c>
      <c r="B1013" s="1" t="s">
        <v>48</v>
      </c>
      <c r="C1013">
        <v>43</v>
      </c>
      <c r="D1013" s="1" t="s">
        <v>16</v>
      </c>
      <c r="E1013" s="1" t="s">
        <v>17</v>
      </c>
      <c r="F1013" s="1" t="s">
        <v>25</v>
      </c>
      <c r="G1013" s="1" t="s">
        <v>19</v>
      </c>
      <c r="H1013" s="1" t="s">
        <v>20</v>
      </c>
      <c r="I1013" s="2">
        <v>45153</v>
      </c>
      <c r="J1013">
        <v>2696</v>
      </c>
      <c r="K1013" s="2">
        <v>45826</v>
      </c>
      <c r="L1013">
        <v>2744</v>
      </c>
      <c r="M1013">
        <v>5440</v>
      </c>
      <c r="N1013">
        <v>0</v>
      </c>
    </row>
    <row r="1014" spans="1:14" x14ac:dyDescent="0.3">
      <c r="A1014" s="1" t="s">
        <v>1059</v>
      </c>
      <c r="B1014" s="1" t="s">
        <v>79</v>
      </c>
      <c r="C1014">
        <v>61</v>
      </c>
      <c r="D1014" s="1" t="s">
        <v>23</v>
      </c>
      <c r="E1014" s="1" t="s">
        <v>17</v>
      </c>
      <c r="F1014" s="1" t="s">
        <v>25</v>
      </c>
      <c r="G1014" s="1" t="s">
        <v>19</v>
      </c>
      <c r="H1014" s="1" t="s">
        <v>20</v>
      </c>
      <c r="I1014" s="2">
        <v>45797</v>
      </c>
      <c r="J1014">
        <v>52227</v>
      </c>
      <c r="K1014" s="2">
        <v>45868</v>
      </c>
      <c r="L1014">
        <v>25965</v>
      </c>
      <c r="M1014">
        <v>78192</v>
      </c>
      <c r="N1014">
        <v>0</v>
      </c>
    </row>
    <row r="1015" spans="1:14" x14ac:dyDescent="0.3">
      <c r="A1015" s="1" t="s">
        <v>1060</v>
      </c>
      <c r="B1015" s="1" t="s">
        <v>59</v>
      </c>
      <c r="C1015">
        <v>42</v>
      </c>
      <c r="D1015" s="1" t="s">
        <v>16</v>
      </c>
      <c r="E1015" s="1" t="s">
        <v>35</v>
      </c>
      <c r="F1015" s="1" t="s">
        <v>25</v>
      </c>
      <c r="G1015" s="1" t="s">
        <v>19</v>
      </c>
      <c r="H1015" s="1" t="s">
        <v>20</v>
      </c>
      <c r="I1015" s="2">
        <v>44698</v>
      </c>
      <c r="J1015">
        <v>7471</v>
      </c>
      <c r="K1015" s="2">
        <v>45857</v>
      </c>
      <c r="L1015">
        <v>17529</v>
      </c>
      <c r="M1015">
        <v>25000</v>
      </c>
      <c r="N1015">
        <v>0</v>
      </c>
    </row>
    <row r="1016" spans="1:14" x14ac:dyDescent="0.3">
      <c r="A1016" s="1" t="s">
        <v>1061</v>
      </c>
      <c r="B1016" s="1" t="s">
        <v>32</v>
      </c>
      <c r="C1016">
        <v>34</v>
      </c>
      <c r="D1016" s="1" t="s">
        <v>16</v>
      </c>
      <c r="E1016" s="1" t="s">
        <v>38</v>
      </c>
      <c r="F1016" s="1" t="s">
        <v>25</v>
      </c>
      <c r="G1016" s="1" t="s">
        <v>19</v>
      </c>
      <c r="H1016" s="1" t="s">
        <v>20</v>
      </c>
      <c r="I1016" s="2">
        <v>45853</v>
      </c>
      <c r="J1016">
        <v>18980</v>
      </c>
      <c r="K1016" s="2">
        <v>45869</v>
      </c>
      <c r="L1016">
        <v>25089</v>
      </c>
      <c r="M1016">
        <v>44069</v>
      </c>
      <c r="N1016">
        <v>0</v>
      </c>
    </row>
    <row r="1017" spans="1:14" x14ac:dyDescent="0.3">
      <c r="A1017" s="1" t="s">
        <v>1062</v>
      </c>
      <c r="B1017" s="1" t="s">
        <v>32</v>
      </c>
      <c r="C1017">
        <v>30</v>
      </c>
      <c r="D1017" s="1" t="s">
        <v>23</v>
      </c>
      <c r="E1017" s="1" t="s">
        <v>24</v>
      </c>
      <c r="F1017" s="1" t="s">
        <v>18</v>
      </c>
      <c r="G1017" s="1" t="s">
        <v>19</v>
      </c>
      <c r="H1017" s="1" t="s">
        <v>20</v>
      </c>
      <c r="I1017" s="2">
        <v>45255</v>
      </c>
      <c r="J1017">
        <v>26265</v>
      </c>
      <c r="K1017" s="2">
        <v>45849</v>
      </c>
      <c r="L1017">
        <v>16234</v>
      </c>
      <c r="M1017">
        <v>42499</v>
      </c>
      <c r="N1017">
        <v>0</v>
      </c>
    </row>
    <row r="1018" spans="1:14" x14ac:dyDescent="0.3">
      <c r="A1018" s="1" t="s">
        <v>1063</v>
      </c>
      <c r="B1018" s="1" t="s">
        <v>29</v>
      </c>
      <c r="C1018">
        <v>37</v>
      </c>
      <c r="D1018" s="1" t="s">
        <v>23</v>
      </c>
      <c r="E1018" s="1" t="s">
        <v>35</v>
      </c>
      <c r="F1018" s="1" t="s">
        <v>18</v>
      </c>
      <c r="G1018" s="1" t="s">
        <v>19</v>
      </c>
      <c r="H1018" s="1" t="s">
        <v>20</v>
      </c>
      <c r="I1018" s="2">
        <v>44602</v>
      </c>
      <c r="J1018">
        <v>5984</v>
      </c>
      <c r="K1018" s="2">
        <v>45786</v>
      </c>
      <c r="L1018">
        <v>12673</v>
      </c>
      <c r="M1018">
        <v>18657</v>
      </c>
      <c r="N1018">
        <v>0</v>
      </c>
    </row>
    <row r="1019" spans="1:14" x14ac:dyDescent="0.3">
      <c r="A1019" s="1" t="s">
        <v>1064</v>
      </c>
      <c r="B1019" s="1" t="s">
        <v>56</v>
      </c>
      <c r="C1019">
        <v>42</v>
      </c>
      <c r="D1019" s="1" t="s">
        <v>23</v>
      </c>
      <c r="E1019" s="1" t="s">
        <v>17</v>
      </c>
      <c r="F1019" s="1" t="s">
        <v>18</v>
      </c>
      <c r="G1019" s="1" t="s">
        <v>41</v>
      </c>
      <c r="H1019" s="1" t="s">
        <v>20</v>
      </c>
      <c r="I1019" s="2">
        <v>44927</v>
      </c>
      <c r="J1019">
        <v>1990</v>
      </c>
      <c r="K1019" s="2">
        <v>45843</v>
      </c>
      <c r="L1019">
        <v>7452</v>
      </c>
      <c r="M1019">
        <v>9442</v>
      </c>
      <c r="N1019">
        <v>0</v>
      </c>
    </row>
    <row r="1020" spans="1:14" x14ac:dyDescent="0.3">
      <c r="A1020" s="1" t="s">
        <v>1065</v>
      </c>
      <c r="B1020" s="1" t="s">
        <v>34</v>
      </c>
      <c r="C1020">
        <v>21</v>
      </c>
      <c r="D1020" s="1" t="s">
        <v>23</v>
      </c>
      <c r="E1020" s="1" t="s">
        <v>24</v>
      </c>
      <c r="F1020" s="1" t="s">
        <v>18</v>
      </c>
      <c r="G1020" s="1" t="s">
        <v>19</v>
      </c>
      <c r="H1020" s="1" t="s">
        <v>20</v>
      </c>
      <c r="I1020" s="2">
        <v>45435</v>
      </c>
      <c r="J1020">
        <v>10727</v>
      </c>
      <c r="K1020" s="2">
        <v>45862</v>
      </c>
      <c r="L1020">
        <v>2330</v>
      </c>
      <c r="M1020">
        <v>13057</v>
      </c>
      <c r="N1020">
        <v>0</v>
      </c>
    </row>
    <row r="1021" spans="1:14" x14ac:dyDescent="0.3">
      <c r="A1021" s="1" t="s">
        <v>1066</v>
      </c>
      <c r="B1021" s="1" t="s">
        <v>27</v>
      </c>
      <c r="C1021">
        <v>27</v>
      </c>
      <c r="D1021" s="1" t="s">
        <v>16</v>
      </c>
      <c r="E1021" s="1" t="s">
        <v>24</v>
      </c>
      <c r="F1021" s="1" t="s">
        <v>25</v>
      </c>
      <c r="G1021" s="1" t="s">
        <v>19</v>
      </c>
      <c r="H1021" s="1" t="s">
        <v>20</v>
      </c>
      <c r="I1021" s="2">
        <v>44943</v>
      </c>
      <c r="J1021">
        <v>10553</v>
      </c>
      <c r="K1021" s="2">
        <v>45862</v>
      </c>
      <c r="L1021">
        <v>2527</v>
      </c>
      <c r="M1021">
        <v>13080</v>
      </c>
      <c r="N1021">
        <v>0</v>
      </c>
    </row>
    <row r="1022" spans="1:14" x14ac:dyDescent="0.3">
      <c r="A1022" s="1" t="s">
        <v>1067</v>
      </c>
      <c r="B1022" s="1" t="s">
        <v>71</v>
      </c>
      <c r="C1022">
        <v>20</v>
      </c>
      <c r="D1022" s="1" t="s">
        <v>23</v>
      </c>
      <c r="E1022" s="1" t="s">
        <v>24</v>
      </c>
      <c r="F1022" s="1" t="s">
        <v>18</v>
      </c>
      <c r="G1022" s="1" t="s">
        <v>19</v>
      </c>
      <c r="H1022" s="1" t="s">
        <v>49</v>
      </c>
      <c r="I1022" s="2">
        <v>44311</v>
      </c>
      <c r="J1022">
        <v>12575</v>
      </c>
      <c r="K1022" s="2">
        <v>45788</v>
      </c>
      <c r="L1022">
        <v>34968</v>
      </c>
      <c r="M1022">
        <v>47543</v>
      </c>
      <c r="N1022">
        <v>0</v>
      </c>
    </row>
    <row r="1023" spans="1:14" x14ac:dyDescent="0.3">
      <c r="A1023" s="1" t="s">
        <v>1068</v>
      </c>
      <c r="B1023" s="1" t="s">
        <v>61</v>
      </c>
      <c r="C1023">
        <v>58</v>
      </c>
      <c r="D1023" s="1" t="s">
        <v>16</v>
      </c>
      <c r="E1023" s="1" t="s">
        <v>24</v>
      </c>
      <c r="F1023" s="1" t="s">
        <v>25</v>
      </c>
      <c r="G1023" s="1" t="s">
        <v>19</v>
      </c>
      <c r="H1023" s="1" t="s">
        <v>20</v>
      </c>
      <c r="I1023" s="2">
        <v>44479</v>
      </c>
      <c r="J1023">
        <v>12645</v>
      </c>
      <c r="K1023" s="2">
        <v>45733</v>
      </c>
      <c r="L1023">
        <v>-2193</v>
      </c>
      <c r="M1023">
        <v>10452</v>
      </c>
      <c r="N1023">
        <v>0</v>
      </c>
    </row>
    <row r="1024" spans="1:14" x14ac:dyDescent="0.3">
      <c r="A1024" s="1" t="s">
        <v>1069</v>
      </c>
      <c r="B1024" s="1" t="s">
        <v>56</v>
      </c>
      <c r="C1024">
        <v>62</v>
      </c>
      <c r="D1024" s="1" t="s">
        <v>16</v>
      </c>
      <c r="E1024" s="1" t="s">
        <v>24</v>
      </c>
      <c r="F1024" s="1" t="s">
        <v>18</v>
      </c>
      <c r="G1024" s="1" t="s">
        <v>19</v>
      </c>
      <c r="H1024" s="1" t="s">
        <v>20</v>
      </c>
      <c r="I1024" s="2">
        <v>45520</v>
      </c>
      <c r="J1024">
        <v>8113</v>
      </c>
      <c r="K1024" s="2">
        <v>45846</v>
      </c>
      <c r="L1024">
        <v>5861</v>
      </c>
      <c r="M1024">
        <v>13974</v>
      </c>
      <c r="N1024">
        <v>0</v>
      </c>
    </row>
    <row r="1025" spans="1:14" x14ac:dyDescent="0.3">
      <c r="A1025" s="1" t="s">
        <v>1070</v>
      </c>
      <c r="B1025" s="1" t="s">
        <v>27</v>
      </c>
      <c r="C1025">
        <v>35</v>
      </c>
      <c r="D1025" s="1" t="s">
        <v>16</v>
      </c>
      <c r="E1025" s="1" t="s">
        <v>24</v>
      </c>
      <c r="F1025" s="1" t="s">
        <v>25</v>
      </c>
      <c r="G1025" s="1" t="s">
        <v>19</v>
      </c>
      <c r="H1025" s="1" t="s">
        <v>20</v>
      </c>
      <c r="I1025" s="2">
        <v>45281</v>
      </c>
      <c r="J1025">
        <v>7805</v>
      </c>
      <c r="K1025" s="2">
        <v>45869</v>
      </c>
      <c r="L1025">
        <v>24304</v>
      </c>
      <c r="M1025">
        <v>32109</v>
      </c>
      <c r="N1025">
        <v>0</v>
      </c>
    </row>
    <row r="1026" spans="1:14" x14ac:dyDescent="0.3">
      <c r="A1026" s="1" t="s">
        <v>1071</v>
      </c>
      <c r="B1026" s="1" t="s">
        <v>59</v>
      </c>
      <c r="C1026">
        <v>64</v>
      </c>
      <c r="D1026" s="1" t="s">
        <v>23</v>
      </c>
      <c r="E1026" s="1" t="s">
        <v>38</v>
      </c>
      <c r="F1026" s="1" t="s">
        <v>25</v>
      </c>
      <c r="G1026" s="1" t="s">
        <v>19</v>
      </c>
      <c r="H1026" s="1" t="s">
        <v>20</v>
      </c>
      <c r="I1026" s="2">
        <v>45150</v>
      </c>
      <c r="J1026">
        <v>17992</v>
      </c>
      <c r="K1026" s="2">
        <v>45835</v>
      </c>
      <c r="L1026">
        <v>9903</v>
      </c>
      <c r="M1026">
        <v>27895</v>
      </c>
      <c r="N1026">
        <v>0</v>
      </c>
    </row>
    <row r="1027" spans="1:14" x14ac:dyDescent="0.3">
      <c r="A1027" s="1" t="s">
        <v>1072</v>
      </c>
      <c r="B1027" s="1" t="s">
        <v>79</v>
      </c>
      <c r="C1027">
        <v>53</v>
      </c>
      <c r="D1027" s="1" t="s">
        <v>23</v>
      </c>
      <c r="E1027" s="1" t="s">
        <v>17</v>
      </c>
      <c r="F1027" s="1" t="s">
        <v>25</v>
      </c>
      <c r="G1027" s="1" t="s">
        <v>19</v>
      </c>
      <c r="H1027" s="1" t="s">
        <v>20</v>
      </c>
      <c r="I1027" s="2">
        <v>44477</v>
      </c>
      <c r="J1027">
        <v>5861</v>
      </c>
      <c r="K1027" s="2">
        <v>45845</v>
      </c>
      <c r="L1027">
        <v>6545</v>
      </c>
      <c r="M1027">
        <v>12406</v>
      </c>
      <c r="N1027">
        <v>0</v>
      </c>
    </row>
    <row r="1028" spans="1:14" x14ac:dyDescent="0.3">
      <c r="A1028" s="1" t="s">
        <v>1073</v>
      </c>
      <c r="B1028" s="1" t="s">
        <v>34</v>
      </c>
      <c r="C1028">
        <v>64</v>
      </c>
      <c r="D1028" s="1" t="s">
        <v>16</v>
      </c>
      <c r="E1028" s="1" t="s">
        <v>17</v>
      </c>
      <c r="F1028" s="1" t="s">
        <v>25</v>
      </c>
      <c r="G1028" s="1" t="s">
        <v>19</v>
      </c>
      <c r="H1028" s="1" t="s">
        <v>20</v>
      </c>
      <c r="I1028" s="2">
        <v>45598</v>
      </c>
      <c r="J1028">
        <v>12145</v>
      </c>
      <c r="K1028" s="2">
        <v>45855</v>
      </c>
      <c r="L1028">
        <v>-49</v>
      </c>
      <c r="M1028">
        <v>12096</v>
      </c>
      <c r="N1028">
        <v>0</v>
      </c>
    </row>
    <row r="1029" spans="1:14" x14ac:dyDescent="0.3">
      <c r="A1029" s="1" t="s">
        <v>1074</v>
      </c>
      <c r="B1029" s="1" t="s">
        <v>64</v>
      </c>
      <c r="C1029">
        <v>39</v>
      </c>
      <c r="D1029" s="1" t="s">
        <v>30</v>
      </c>
      <c r="E1029" s="1" t="s">
        <v>17</v>
      </c>
      <c r="F1029" s="1" t="s">
        <v>18</v>
      </c>
      <c r="G1029" s="1" t="s">
        <v>19</v>
      </c>
      <c r="H1029" s="1" t="s">
        <v>20</v>
      </c>
      <c r="I1029" s="2">
        <v>45804</v>
      </c>
      <c r="J1029">
        <v>7609</v>
      </c>
      <c r="K1029" s="2">
        <v>45868</v>
      </c>
      <c r="L1029">
        <v>-6915</v>
      </c>
      <c r="M1029">
        <v>694</v>
      </c>
      <c r="N1029">
        <v>0</v>
      </c>
    </row>
    <row r="1030" spans="1:14" x14ac:dyDescent="0.3">
      <c r="A1030" s="1" t="s">
        <v>1075</v>
      </c>
      <c r="B1030" s="1" t="s">
        <v>75</v>
      </c>
      <c r="C1030">
        <v>51</v>
      </c>
      <c r="D1030" s="1" t="s">
        <v>23</v>
      </c>
      <c r="E1030" s="1" t="s">
        <v>24</v>
      </c>
      <c r="F1030" s="1" t="s">
        <v>25</v>
      </c>
      <c r="G1030" s="1" t="s">
        <v>41</v>
      </c>
      <c r="H1030" s="1" t="s">
        <v>20</v>
      </c>
      <c r="I1030" s="2">
        <v>44265</v>
      </c>
      <c r="J1030">
        <v>17955</v>
      </c>
      <c r="K1030" s="2">
        <v>45864</v>
      </c>
      <c r="L1030">
        <v>3500</v>
      </c>
      <c r="M1030">
        <v>21455</v>
      </c>
      <c r="N1030">
        <v>0</v>
      </c>
    </row>
    <row r="1031" spans="1:14" x14ac:dyDescent="0.3">
      <c r="A1031" s="1" t="s">
        <v>1076</v>
      </c>
      <c r="B1031" s="1" t="s">
        <v>32</v>
      </c>
      <c r="C1031">
        <v>64</v>
      </c>
      <c r="D1031" s="1" t="s">
        <v>23</v>
      </c>
      <c r="E1031" s="1" t="s">
        <v>24</v>
      </c>
      <c r="F1031" s="1" t="s">
        <v>25</v>
      </c>
      <c r="G1031" s="1" t="s">
        <v>19</v>
      </c>
      <c r="H1031" s="1" t="s">
        <v>20</v>
      </c>
      <c r="I1031" s="2">
        <v>44327</v>
      </c>
      <c r="J1031">
        <v>40481</v>
      </c>
      <c r="K1031" s="2">
        <v>45866</v>
      </c>
      <c r="L1031">
        <v>-9222</v>
      </c>
      <c r="M1031">
        <v>31259</v>
      </c>
      <c r="N1031">
        <v>0</v>
      </c>
    </row>
    <row r="1032" spans="1:14" x14ac:dyDescent="0.3">
      <c r="A1032" s="1" t="s">
        <v>1077</v>
      </c>
      <c r="B1032" s="1" t="s">
        <v>59</v>
      </c>
      <c r="C1032">
        <v>25</v>
      </c>
      <c r="D1032" s="1" t="s">
        <v>16</v>
      </c>
      <c r="E1032" s="1" t="s">
        <v>17</v>
      </c>
      <c r="F1032" s="1" t="s">
        <v>25</v>
      </c>
      <c r="G1032" s="1" t="s">
        <v>19</v>
      </c>
      <c r="H1032" s="1" t="s">
        <v>20</v>
      </c>
      <c r="I1032" s="2">
        <v>45677</v>
      </c>
      <c r="J1032">
        <v>42166</v>
      </c>
      <c r="K1032" s="2">
        <v>45867</v>
      </c>
      <c r="L1032">
        <v>30490</v>
      </c>
      <c r="M1032">
        <v>72656</v>
      </c>
      <c r="N1032">
        <v>0</v>
      </c>
    </row>
    <row r="1033" spans="1:14" x14ac:dyDescent="0.3">
      <c r="A1033" s="1" t="s">
        <v>1078</v>
      </c>
      <c r="B1033" s="1" t="s">
        <v>29</v>
      </c>
      <c r="C1033">
        <v>57</v>
      </c>
      <c r="D1033" s="1" t="s">
        <v>30</v>
      </c>
      <c r="E1033" s="1" t="s">
        <v>38</v>
      </c>
      <c r="F1033" s="1" t="s">
        <v>25</v>
      </c>
      <c r="G1033" s="1" t="s">
        <v>19</v>
      </c>
      <c r="H1033" s="1" t="s">
        <v>20</v>
      </c>
      <c r="I1033" s="2">
        <v>45561</v>
      </c>
      <c r="J1033">
        <v>48499</v>
      </c>
      <c r="K1033" s="2">
        <v>45864</v>
      </c>
      <c r="L1033">
        <v>19956</v>
      </c>
      <c r="M1033">
        <v>68455</v>
      </c>
      <c r="N1033">
        <v>0</v>
      </c>
    </row>
    <row r="1034" spans="1:14" x14ac:dyDescent="0.3">
      <c r="A1034" s="1" t="s">
        <v>1079</v>
      </c>
      <c r="B1034" s="1" t="s">
        <v>71</v>
      </c>
      <c r="C1034">
        <v>66</v>
      </c>
      <c r="D1034" s="1" t="s">
        <v>23</v>
      </c>
      <c r="E1034" s="1" t="s">
        <v>24</v>
      </c>
      <c r="F1034" s="1" t="s">
        <v>25</v>
      </c>
      <c r="G1034" s="1" t="s">
        <v>19</v>
      </c>
      <c r="H1034" s="1" t="s">
        <v>20</v>
      </c>
      <c r="I1034" s="2">
        <v>45230</v>
      </c>
      <c r="J1034">
        <v>9565</v>
      </c>
      <c r="K1034" s="2">
        <v>45863</v>
      </c>
      <c r="L1034">
        <v>11146</v>
      </c>
      <c r="M1034">
        <v>20711</v>
      </c>
      <c r="N1034">
        <v>0</v>
      </c>
    </row>
    <row r="1035" spans="1:14" x14ac:dyDescent="0.3">
      <c r="A1035" s="1" t="s">
        <v>1080</v>
      </c>
      <c r="B1035" s="1" t="s">
        <v>22</v>
      </c>
      <c r="C1035">
        <v>61</v>
      </c>
      <c r="D1035" s="1" t="s">
        <v>23</v>
      </c>
      <c r="E1035" s="1" t="s">
        <v>17</v>
      </c>
      <c r="F1035" s="1" t="s">
        <v>25</v>
      </c>
      <c r="G1035" s="1" t="s">
        <v>19</v>
      </c>
      <c r="H1035" s="1" t="s">
        <v>20</v>
      </c>
      <c r="I1035" s="2">
        <v>45777</v>
      </c>
      <c r="J1035">
        <v>10404</v>
      </c>
      <c r="K1035" s="2">
        <v>45869</v>
      </c>
      <c r="L1035">
        <v>24989</v>
      </c>
      <c r="M1035">
        <v>35393</v>
      </c>
      <c r="N1035">
        <v>0</v>
      </c>
    </row>
    <row r="1036" spans="1:14" x14ac:dyDescent="0.3">
      <c r="A1036" s="1" t="s">
        <v>1081</v>
      </c>
      <c r="B1036" s="1" t="s">
        <v>61</v>
      </c>
      <c r="C1036">
        <v>36</v>
      </c>
      <c r="D1036" s="1" t="s">
        <v>16</v>
      </c>
      <c r="E1036" s="1" t="s">
        <v>38</v>
      </c>
      <c r="F1036" s="1" t="s">
        <v>18</v>
      </c>
      <c r="G1036" s="1" t="s">
        <v>19</v>
      </c>
      <c r="H1036" s="1" t="s">
        <v>20</v>
      </c>
      <c r="I1036" s="2">
        <v>45278</v>
      </c>
      <c r="J1036">
        <v>3756</v>
      </c>
      <c r="K1036" s="2">
        <v>45822</v>
      </c>
      <c r="L1036">
        <v>8012</v>
      </c>
      <c r="M1036">
        <v>11768</v>
      </c>
      <c r="N1036">
        <v>0</v>
      </c>
    </row>
    <row r="1037" spans="1:14" x14ac:dyDescent="0.3">
      <c r="A1037" s="1" t="s">
        <v>1082</v>
      </c>
      <c r="B1037" s="1" t="s">
        <v>43</v>
      </c>
      <c r="C1037">
        <v>59</v>
      </c>
      <c r="D1037" s="1" t="s">
        <v>23</v>
      </c>
      <c r="E1037" s="1" t="s">
        <v>17</v>
      </c>
      <c r="F1037" s="1" t="s">
        <v>25</v>
      </c>
      <c r="G1037" s="1" t="s">
        <v>19</v>
      </c>
      <c r="H1037" s="1" t="s">
        <v>49</v>
      </c>
      <c r="I1037" s="2">
        <v>44558</v>
      </c>
      <c r="J1037">
        <v>9485</v>
      </c>
      <c r="K1037" s="2">
        <v>45768</v>
      </c>
      <c r="L1037">
        <v>-797</v>
      </c>
      <c r="M1037">
        <v>8688</v>
      </c>
      <c r="N1037">
        <v>0</v>
      </c>
    </row>
    <row r="1038" spans="1:14" x14ac:dyDescent="0.3">
      <c r="A1038" s="1" t="s">
        <v>1083</v>
      </c>
      <c r="B1038" s="1" t="s">
        <v>71</v>
      </c>
      <c r="C1038">
        <v>58</v>
      </c>
      <c r="D1038" s="1" t="s">
        <v>23</v>
      </c>
      <c r="E1038" s="1" t="s">
        <v>24</v>
      </c>
      <c r="F1038" s="1" t="s">
        <v>18</v>
      </c>
      <c r="G1038" s="1" t="s">
        <v>19</v>
      </c>
      <c r="H1038" s="1" t="s">
        <v>20</v>
      </c>
      <c r="I1038" s="2">
        <v>45416</v>
      </c>
      <c r="J1038">
        <v>9830</v>
      </c>
      <c r="K1038" s="2">
        <v>45858</v>
      </c>
      <c r="L1038">
        <v>-1391</v>
      </c>
      <c r="M1038">
        <v>8439</v>
      </c>
      <c r="N1038">
        <v>0</v>
      </c>
    </row>
    <row r="1039" spans="1:14" x14ac:dyDescent="0.3">
      <c r="A1039" s="1" t="s">
        <v>1084</v>
      </c>
      <c r="B1039" s="1" t="s">
        <v>48</v>
      </c>
      <c r="C1039">
        <v>54</v>
      </c>
      <c r="D1039" s="1" t="s">
        <v>16</v>
      </c>
      <c r="E1039" s="1" t="s">
        <v>38</v>
      </c>
      <c r="F1039" s="1" t="s">
        <v>18</v>
      </c>
      <c r="G1039" s="1" t="s">
        <v>19</v>
      </c>
      <c r="H1039" s="1" t="s">
        <v>20</v>
      </c>
      <c r="I1039" s="2">
        <v>45277</v>
      </c>
      <c r="J1039">
        <v>7207</v>
      </c>
      <c r="K1039" s="2">
        <v>45864</v>
      </c>
      <c r="L1039">
        <v>4743</v>
      </c>
      <c r="M1039">
        <v>11950</v>
      </c>
      <c r="N1039">
        <v>0</v>
      </c>
    </row>
    <row r="1040" spans="1:14" x14ac:dyDescent="0.3">
      <c r="A1040" s="1" t="s">
        <v>1085</v>
      </c>
      <c r="B1040" s="1" t="s">
        <v>32</v>
      </c>
      <c r="C1040">
        <v>23</v>
      </c>
      <c r="D1040" s="1" t="s">
        <v>16</v>
      </c>
      <c r="E1040" s="1" t="s">
        <v>17</v>
      </c>
      <c r="F1040" s="1" t="s">
        <v>18</v>
      </c>
      <c r="G1040" s="1" t="s">
        <v>19</v>
      </c>
      <c r="H1040" s="1" t="s">
        <v>20</v>
      </c>
      <c r="I1040" s="2">
        <v>45846</v>
      </c>
      <c r="J1040">
        <v>7174</v>
      </c>
      <c r="K1040" s="2">
        <v>45869</v>
      </c>
      <c r="L1040">
        <v>2580</v>
      </c>
      <c r="M1040">
        <v>9754</v>
      </c>
      <c r="N1040">
        <v>0</v>
      </c>
    </row>
    <row r="1041" spans="1:14" x14ac:dyDescent="0.3">
      <c r="A1041" s="1" t="s">
        <v>1086</v>
      </c>
      <c r="B1041" s="1" t="s">
        <v>64</v>
      </c>
      <c r="C1041">
        <v>69</v>
      </c>
      <c r="D1041" s="1" t="s">
        <v>23</v>
      </c>
      <c r="E1041" s="1" t="s">
        <v>17</v>
      </c>
      <c r="F1041" s="1" t="s">
        <v>18</v>
      </c>
      <c r="G1041" s="1" t="s">
        <v>19</v>
      </c>
      <c r="H1041" s="1" t="s">
        <v>49</v>
      </c>
      <c r="I1041" s="2">
        <v>44554</v>
      </c>
      <c r="J1041">
        <v>2446</v>
      </c>
      <c r="K1041" s="2">
        <v>45866</v>
      </c>
      <c r="L1041">
        <v>24282</v>
      </c>
      <c r="M1041">
        <v>26728</v>
      </c>
      <c r="N1041">
        <v>0</v>
      </c>
    </row>
    <row r="1042" spans="1:14" x14ac:dyDescent="0.3">
      <c r="A1042" s="1" t="s">
        <v>1087</v>
      </c>
      <c r="B1042" s="1" t="s">
        <v>48</v>
      </c>
      <c r="C1042">
        <v>43</v>
      </c>
      <c r="D1042" s="1" t="s">
        <v>16</v>
      </c>
      <c r="E1042" s="1" t="s">
        <v>24</v>
      </c>
      <c r="F1042" s="1" t="s">
        <v>18</v>
      </c>
      <c r="G1042" s="1" t="s">
        <v>19</v>
      </c>
      <c r="H1042" s="1" t="s">
        <v>20</v>
      </c>
      <c r="I1042" s="2">
        <v>45197</v>
      </c>
      <c r="J1042">
        <v>3492</v>
      </c>
      <c r="K1042" s="2">
        <v>45858</v>
      </c>
      <c r="L1042">
        <v>2896</v>
      </c>
      <c r="M1042">
        <v>6388</v>
      </c>
      <c r="N1042">
        <v>0</v>
      </c>
    </row>
    <row r="1043" spans="1:14" x14ac:dyDescent="0.3">
      <c r="A1043" s="1" t="s">
        <v>1088</v>
      </c>
      <c r="B1043" s="1" t="s">
        <v>37</v>
      </c>
      <c r="C1043">
        <v>51</v>
      </c>
      <c r="D1043" s="1" t="s">
        <v>16</v>
      </c>
      <c r="E1043" s="1" t="s">
        <v>17</v>
      </c>
      <c r="F1043" s="1" t="s">
        <v>18</v>
      </c>
      <c r="G1043" s="1" t="s">
        <v>41</v>
      </c>
      <c r="H1043" s="1" t="s">
        <v>20</v>
      </c>
      <c r="I1043" s="2">
        <v>45502</v>
      </c>
      <c r="J1043">
        <v>13968</v>
      </c>
      <c r="K1043" s="2">
        <v>45857</v>
      </c>
      <c r="L1043">
        <v>6050</v>
      </c>
      <c r="M1043">
        <v>20018</v>
      </c>
      <c r="N1043">
        <v>0</v>
      </c>
    </row>
    <row r="1044" spans="1:14" x14ac:dyDescent="0.3">
      <c r="A1044" s="1" t="s">
        <v>1089</v>
      </c>
      <c r="B1044" s="1" t="s">
        <v>87</v>
      </c>
      <c r="C1044">
        <v>62</v>
      </c>
      <c r="D1044" s="1" t="s">
        <v>16</v>
      </c>
      <c r="E1044" s="1" t="s">
        <v>17</v>
      </c>
      <c r="F1044" s="1" t="s">
        <v>18</v>
      </c>
      <c r="G1044" s="1" t="s">
        <v>19</v>
      </c>
      <c r="H1044" s="1" t="s">
        <v>49</v>
      </c>
      <c r="I1044" s="2">
        <v>44764</v>
      </c>
      <c r="J1044">
        <v>14502</v>
      </c>
      <c r="K1044" s="2">
        <v>45823</v>
      </c>
      <c r="L1044">
        <v>17144</v>
      </c>
      <c r="M1044">
        <v>31646</v>
      </c>
      <c r="N1044">
        <v>0</v>
      </c>
    </row>
    <row r="1045" spans="1:14" x14ac:dyDescent="0.3">
      <c r="A1045" s="1" t="s">
        <v>1090</v>
      </c>
      <c r="B1045" s="1" t="s">
        <v>22</v>
      </c>
      <c r="C1045">
        <v>23</v>
      </c>
      <c r="D1045" s="1" t="s">
        <v>16</v>
      </c>
      <c r="E1045" s="1" t="s">
        <v>24</v>
      </c>
      <c r="F1045" s="1" t="s">
        <v>18</v>
      </c>
      <c r="G1045" s="1" t="s">
        <v>41</v>
      </c>
      <c r="H1045" s="1" t="s">
        <v>20</v>
      </c>
      <c r="I1045" s="2">
        <v>44832</v>
      </c>
      <c r="J1045">
        <v>21656</v>
      </c>
      <c r="K1045" s="2">
        <v>45749</v>
      </c>
      <c r="L1045">
        <v>32369</v>
      </c>
      <c r="M1045">
        <v>54025</v>
      </c>
      <c r="N1045">
        <v>0</v>
      </c>
    </row>
    <row r="1046" spans="1:14" x14ac:dyDescent="0.3">
      <c r="A1046" s="1" t="s">
        <v>1091</v>
      </c>
      <c r="B1046" s="1" t="s">
        <v>34</v>
      </c>
      <c r="C1046">
        <v>54</v>
      </c>
      <c r="D1046" s="1" t="s">
        <v>16</v>
      </c>
      <c r="E1046" s="1" t="s">
        <v>24</v>
      </c>
      <c r="F1046" s="1" t="s">
        <v>18</v>
      </c>
      <c r="G1046" s="1" t="s">
        <v>19</v>
      </c>
      <c r="H1046" s="1" t="s">
        <v>20</v>
      </c>
      <c r="I1046" s="2">
        <v>45682</v>
      </c>
      <c r="J1046">
        <v>10312</v>
      </c>
      <c r="K1046" s="2">
        <v>45849</v>
      </c>
      <c r="L1046">
        <v>22691</v>
      </c>
      <c r="M1046">
        <v>33003</v>
      </c>
      <c r="N1046">
        <v>0</v>
      </c>
    </row>
    <row r="1047" spans="1:14" x14ac:dyDescent="0.3">
      <c r="A1047" s="1" t="s">
        <v>1092</v>
      </c>
      <c r="B1047" s="1" t="s">
        <v>59</v>
      </c>
      <c r="C1047">
        <v>50</v>
      </c>
      <c r="D1047" s="1" t="s">
        <v>23</v>
      </c>
      <c r="E1047" s="1" t="s">
        <v>24</v>
      </c>
      <c r="F1047" s="1" t="s">
        <v>25</v>
      </c>
      <c r="G1047" s="1" t="s">
        <v>19</v>
      </c>
      <c r="H1047" s="1" t="s">
        <v>20</v>
      </c>
      <c r="I1047" s="2">
        <v>44873</v>
      </c>
      <c r="J1047">
        <v>13516</v>
      </c>
      <c r="K1047" s="2">
        <v>45843</v>
      </c>
      <c r="L1047">
        <v>7826</v>
      </c>
      <c r="M1047">
        <v>21342</v>
      </c>
      <c r="N1047">
        <v>0</v>
      </c>
    </row>
    <row r="1048" spans="1:14" x14ac:dyDescent="0.3">
      <c r="A1048" s="1" t="s">
        <v>1093</v>
      </c>
      <c r="B1048" s="1" t="s">
        <v>75</v>
      </c>
      <c r="C1048">
        <v>39</v>
      </c>
      <c r="D1048" s="1" t="s">
        <v>16</v>
      </c>
      <c r="E1048" s="1" t="s">
        <v>38</v>
      </c>
      <c r="F1048" s="1" t="s">
        <v>25</v>
      </c>
      <c r="G1048" s="1" t="s">
        <v>19</v>
      </c>
      <c r="H1048" s="1" t="s">
        <v>20</v>
      </c>
      <c r="I1048" s="2">
        <v>45242</v>
      </c>
      <c r="J1048">
        <v>46654</v>
      </c>
      <c r="K1048" s="2">
        <v>45869</v>
      </c>
      <c r="L1048">
        <v>34738</v>
      </c>
      <c r="M1048">
        <v>81392</v>
      </c>
      <c r="N1048">
        <v>0</v>
      </c>
    </row>
    <row r="1049" spans="1:14" x14ac:dyDescent="0.3">
      <c r="A1049" s="1" t="s">
        <v>1094</v>
      </c>
      <c r="B1049" s="1" t="s">
        <v>75</v>
      </c>
      <c r="C1049">
        <v>38</v>
      </c>
      <c r="D1049" s="1" t="s">
        <v>16</v>
      </c>
      <c r="E1049" s="1" t="s">
        <v>24</v>
      </c>
      <c r="F1049" s="1" t="s">
        <v>25</v>
      </c>
      <c r="G1049" s="1" t="s">
        <v>19</v>
      </c>
      <c r="H1049" s="1" t="s">
        <v>20</v>
      </c>
      <c r="I1049" s="2">
        <v>45684</v>
      </c>
      <c r="J1049">
        <v>12671</v>
      </c>
      <c r="K1049" s="2">
        <v>45867</v>
      </c>
      <c r="L1049">
        <v>-16199</v>
      </c>
      <c r="M1049">
        <v>-3528</v>
      </c>
      <c r="N1049">
        <v>0</v>
      </c>
    </row>
    <row r="1050" spans="1:14" x14ac:dyDescent="0.3">
      <c r="A1050" s="1" t="s">
        <v>1095</v>
      </c>
      <c r="B1050" s="1" t="s">
        <v>48</v>
      </c>
      <c r="C1050">
        <v>23</v>
      </c>
      <c r="D1050" s="1" t="s">
        <v>16</v>
      </c>
      <c r="E1050" s="1" t="s">
        <v>17</v>
      </c>
      <c r="F1050" s="1" t="s">
        <v>25</v>
      </c>
      <c r="G1050" s="1" t="s">
        <v>19</v>
      </c>
      <c r="H1050" s="1" t="s">
        <v>20</v>
      </c>
      <c r="I1050" s="2">
        <v>44548</v>
      </c>
      <c r="J1050">
        <v>7101</v>
      </c>
      <c r="K1050" s="2">
        <v>45671</v>
      </c>
      <c r="L1050">
        <v>-1489</v>
      </c>
      <c r="M1050">
        <v>5612</v>
      </c>
      <c r="N1050">
        <v>1</v>
      </c>
    </row>
    <row r="1051" spans="1:14" x14ac:dyDescent="0.3">
      <c r="A1051" s="1" t="s">
        <v>1096</v>
      </c>
      <c r="B1051" s="1" t="s">
        <v>64</v>
      </c>
      <c r="C1051">
        <v>23</v>
      </c>
      <c r="D1051" s="1" t="s">
        <v>16</v>
      </c>
      <c r="E1051" s="1" t="s">
        <v>17</v>
      </c>
      <c r="F1051" s="1" t="s">
        <v>25</v>
      </c>
      <c r="G1051" s="1" t="s">
        <v>19</v>
      </c>
      <c r="H1051" s="1" t="s">
        <v>20</v>
      </c>
      <c r="I1051" s="2">
        <v>45839</v>
      </c>
      <c r="J1051">
        <v>4060</v>
      </c>
      <c r="K1051" s="2">
        <v>45869</v>
      </c>
      <c r="L1051">
        <v>20280</v>
      </c>
      <c r="M1051">
        <v>24340</v>
      </c>
      <c r="N1051">
        <v>0</v>
      </c>
    </row>
    <row r="1052" spans="1:14" x14ac:dyDescent="0.3">
      <c r="A1052" s="1" t="s">
        <v>1097</v>
      </c>
      <c r="B1052" s="1" t="s">
        <v>40</v>
      </c>
      <c r="C1052">
        <v>65</v>
      </c>
      <c r="D1052" s="1" t="s">
        <v>23</v>
      </c>
      <c r="E1052" s="1" t="s">
        <v>38</v>
      </c>
      <c r="F1052" s="1" t="s">
        <v>18</v>
      </c>
      <c r="G1052" s="1" t="s">
        <v>19</v>
      </c>
      <c r="H1052" s="1" t="s">
        <v>20</v>
      </c>
      <c r="I1052" s="2">
        <v>45371</v>
      </c>
      <c r="J1052">
        <v>29658</v>
      </c>
      <c r="K1052" s="2">
        <v>45820</v>
      </c>
      <c r="L1052">
        <v>13842</v>
      </c>
      <c r="M1052">
        <v>43500</v>
      </c>
      <c r="N1052">
        <v>0</v>
      </c>
    </row>
    <row r="1053" spans="1:14" x14ac:dyDescent="0.3">
      <c r="A1053" s="1" t="s">
        <v>1098</v>
      </c>
      <c r="B1053" s="1" t="s">
        <v>34</v>
      </c>
      <c r="C1053">
        <v>21</v>
      </c>
      <c r="D1053" s="1" t="s">
        <v>16</v>
      </c>
      <c r="E1053" s="1" t="s">
        <v>24</v>
      </c>
      <c r="F1053" s="1" t="s">
        <v>25</v>
      </c>
      <c r="G1053" s="1" t="s">
        <v>41</v>
      </c>
      <c r="H1053" s="1" t="s">
        <v>20</v>
      </c>
      <c r="I1053" s="2">
        <v>45027</v>
      </c>
      <c r="J1053">
        <v>2432</v>
      </c>
      <c r="K1053" s="2">
        <v>45863</v>
      </c>
      <c r="L1053">
        <v>-2941</v>
      </c>
      <c r="M1053">
        <v>-509</v>
      </c>
      <c r="N1053">
        <v>0</v>
      </c>
    </row>
    <row r="1054" spans="1:14" x14ac:dyDescent="0.3">
      <c r="A1054" s="1" t="s">
        <v>1099</v>
      </c>
      <c r="B1054" s="1" t="s">
        <v>15</v>
      </c>
      <c r="C1054">
        <v>47</v>
      </c>
      <c r="D1054" s="1" t="s">
        <v>16</v>
      </c>
      <c r="E1054" s="1" t="s">
        <v>38</v>
      </c>
      <c r="F1054" s="1" t="s">
        <v>25</v>
      </c>
      <c r="G1054" s="1" t="s">
        <v>19</v>
      </c>
      <c r="H1054" s="1" t="s">
        <v>20</v>
      </c>
      <c r="I1054" s="2">
        <v>44917</v>
      </c>
      <c r="J1054">
        <v>5777</v>
      </c>
      <c r="K1054" s="2">
        <v>45849</v>
      </c>
      <c r="L1054">
        <v>22415</v>
      </c>
      <c r="M1054">
        <v>28192</v>
      </c>
      <c r="N1054">
        <v>0</v>
      </c>
    </row>
    <row r="1055" spans="1:14" x14ac:dyDescent="0.3">
      <c r="A1055" s="1" t="s">
        <v>1100</v>
      </c>
      <c r="B1055" s="1" t="s">
        <v>56</v>
      </c>
      <c r="C1055">
        <v>28</v>
      </c>
      <c r="D1055" s="1" t="s">
        <v>23</v>
      </c>
      <c r="E1055" s="1" t="s">
        <v>24</v>
      </c>
      <c r="F1055" s="1" t="s">
        <v>18</v>
      </c>
      <c r="G1055" s="1" t="s">
        <v>19</v>
      </c>
      <c r="H1055" s="1" t="s">
        <v>20</v>
      </c>
      <c r="I1055" s="2">
        <v>45793</v>
      </c>
      <c r="J1055">
        <v>20304</v>
      </c>
      <c r="K1055" s="2">
        <v>45865</v>
      </c>
      <c r="L1055">
        <v>16520</v>
      </c>
      <c r="M1055">
        <v>36824</v>
      </c>
      <c r="N1055">
        <v>0</v>
      </c>
    </row>
    <row r="1056" spans="1:14" x14ac:dyDescent="0.3">
      <c r="A1056" s="1" t="s">
        <v>1101</v>
      </c>
      <c r="B1056" s="1" t="s">
        <v>32</v>
      </c>
      <c r="C1056">
        <v>47</v>
      </c>
      <c r="D1056" s="1" t="s">
        <v>16</v>
      </c>
      <c r="E1056" s="1" t="s">
        <v>24</v>
      </c>
      <c r="F1056" s="1" t="s">
        <v>18</v>
      </c>
      <c r="G1056" s="1" t="s">
        <v>19</v>
      </c>
      <c r="H1056" s="1" t="s">
        <v>20</v>
      </c>
      <c r="I1056" s="2">
        <v>44541</v>
      </c>
      <c r="J1056">
        <v>1985</v>
      </c>
      <c r="K1056" s="2">
        <v>45851</v>
      </c>
      <c r="L1056">
        <v>3475</v>
      </c>
      <c r="M1056">
        <v>5460</v>
      </c>
      <c r="N1056">
        <v>0</v>
      </c>
    </row>
    <row r="1057" spans="1:14" x14ac:dyDescent="0.3">
      <c r="A1057" s="1" t="s">
        <v>1102</v>
      </c>
      <c r="B1057" s="1" t="s">
        <v>43</v>
      </c>
      <c r="C1057">
        <v>48</v>
      </c>
      <c r="D1057" s="1" t="s">
        <v>23</v>
      </c>
      <c r="E1057" s="1" t="s">
        <v>24</v>
      </c>
      <c r="F1057" s="1" t="s">
        <v>25</v>
      </c>
      <c r="G1057" s="1" t="s">
        <v>19</v>
      </c>
      <c r="H1057" s="1" t="s">
        <v>20</v>
      </c>
      <c r="I1057" s="2">
        <v>44718</v>
      </c>
      <c r="J1057">
        <v>7227</v>
      </c>
      <c r="K1057" s="2">
        <v>45813</v>
      </c>
      <c r="L1057">
        <v>690</v>
      </c>
      <c r="M1057">
        <v>7917</v>
      </c>
      <c r="N1057">
        <v>0</v>
      </c>
    </row>
    <row r="1058" spans="1:14" x14ac:dyDescent="0.3">
      <c r="A1058" s="1" t="s">
        <v>1103</v>
      </c>
      <c r="B1058" s="1" t="s">
        <v>75</v>
      </c>
      <c r="C1058">
        <v>41</v>
      </c>
      <c r="D1058" s="1" t="s">
        <v>23</v>
      </c>
      <c r="E1058" s="1" t="s">
        <v>24</v>
      </c>
      <c r="F1058" s="1" t="s">
        <v>18</v>
      </c>
      <c r="G1058" s="1" t="s">
        <v>19</v>
      </c>
      <c r="H1058" s="1" t="s">
        <v>20</v>
      </c>
      <c r="I1058" s="2">
        <v>44711</v>
      </c>
      <c r="J1058">
        <v>15202</v>
      </c>
      <c r="K1058" s="2">
        <v>45760</v>
      </c>
      <c r="L1058">
        <v>11777</v>
      </c>
      <c r="M1058">
        <v>26979</v>
      </c>
      <c r="N1058">
        <v>0</v>
      </c>
    </row>
    <row r="1059" spans="1:14" x14ac:dyDescent="0.3">
      <c r="A1059" s="1" t="s">
        <v>1104</v>
      </c>
      <c r="B1059" s="1" t="s">
        <v>79</v>
      </c>
      <c r="C1059">
        <v>26</v>
      </c>
      <c r="D1059" s="1" t="s">
        <v>23</v>
      </c>
      <c r="E1059" s="1" t="s">
        <v>24</v>
      </c>
      <c r="F1059" s="1" t="s">
        <v>25</v>
      </c>
      <c r="G1059" s="1" t="s">
        <v>19</v>
      </c>
      <c r="H1059" s="1" t="s">
        <v>20</v>
      </c>
      <c r="I1059" s="2">
        <v>44680</v>
      </c>
      <c r="J1059">
        <v>9106</v>
      </c>
      <c r="K1059" s="2">
        <v>45869</v>
      </c>
      <c r="L1059">
        <v>4529</v>
      </c>
      <c r="M1059">
        <v>13635</v>
      </c>
      <c r="N1059">
        <v>0</v>
      </c>
    </row>
    <row r="1060" spans="1:14" x14ac:dyDescent="0.3">
      <c r="A1060" s="1" t="s">
        <v>1105</v>
      </c>
      <c r="B1060" s="1" t="s">
        <v>79</v>
      </c>
      <c r="C1060">
        <v>20</v>
      </c>
      <c r="D1060" s="1" t="s">
        <v>23</v>
      </c>
      <c r="E1060" s="1" t="s">
        <v>24</v>
      </c>
      <c r="F1060" s="1" t="s">
        <v>18</v>
      </c>
      <c r="G1060" s="1" t="s">
        <v>19</v>
      </c>
      <c r="H1060" s="1" t="s">
        <v>20</v>
      </c>
      <c r="I1060" s="2">
        <v>44980</v>
      </c>
      <c r="J1060">
        <v>5001</v>
      </c>
      <c r="K1060" s="2">
        <v>45851</v>
      </c>
      <c r="L1060">
        <v>26412</v>
      </c>
      <c r="M1060">
        <v>31413</v>
      </c>
      <c r="N1060">
        <v>0</v>
      </c>
    </row>
    <row r="1061" spans="1:14" x14ac:dyDescent="0.3">
      <c r="A1061" s="1" t="s">
        <v>1106</v>
      </c>
      <c r="B1061" s="1" t="s">
        <v>69</v>
      </c>
      <c r="C1061">
        <v>68</v>
      </c>
      <c r="D1061" s="1" t="s">
        <v>23</v>
      </c>
      <c r="E1061" s="1" t="s">
        <v>17</v>
      </c>
      <c r="F1061" s="1" t="s">
        <v>18</v>
      </c>
      <c r="G1061" s="1" t="s">
        <v>19</v>
      </c>
      <c r="H1061" s="1" t="s">
        <v>20</v>
      </c>
      <c r="I1061" s="2">
        <v>45851</v>
      </c>
      <c r="J1061">
        <v>7380</v>
      </c>
      <c r="K1061" s="2">
        <v>45869</v>
      </c>
      <c r="L1061">
        <v>24724</v>
      </c>
      <c r="M1061">
        <v>32104</v>
      </c>
      <c r="N1061">
        <v>0</v>
      </c>
    </row>
    <row r="1062" spans="1:14" x14ac:dyDescent="0.3">
      <c r="A1062" s="1" t="s">
        <v>1107</v>
      </c>
      <c r="B1062" s="1" t="s">
        <v>75</v>
      </c>
      <c r="C1062">
        <v>48</v>
      </c>
      <c r="D1062" s="1" t="s">
        <v>16</v>
      </c>
      <c r="E1062" s="1" t="s">
        <v>24</v>
      </c>
      <c r="F1062" s="1" t="s">
        <v>18</v>
      </c>
      <c r="G1062" s="1" t="s">
        <v>19</v>
      </c>
      <c r="H1062" s="1" t="s">
        <v>20</v>
      </c>
      <c r="I1062" s="2">
        <v>45683</v>
      </c>
      <c r="J1062">
        <v>30242</v>
      </c>
      <c r="K1062" s="2">
        <v>45869</v>
      </c>
      <c r="L1062">
        <v>38206</v>
      </c>
      <c r="M1062">
        <v>68448</v>
      </c>
      <c r="N1062">
        <v>0</v>
      </c>
    </row>
    <row r="1063" spans="1:14" x14ac:dyDescent="0.3">
      <c r="A1063" s="1" t="s">
        <v>1108</v>
      </c>
      <c r="B1063" s="1" t="s">
        <v>15</v>
      </c>
      <c r="C1063">
        <v>57</v>
      </c>
      <c r="D1063" s="1" t="s">
        <v>23</v>
      </c>
      <c r="E1063" s="1" t="s">
        <v>38</v>
      </c>
      <c r="F1063" s="1" t="s">
        <v>18</v>
      </c>
      <c r="G1063" s="1" t="s">
        <v>41</v>
      </c>
      <c r="H1063" s="1" t="s">
        <v>20</v>
      </c>
      <c r="I1063" s="2">
        <v>44745</v>
      </c>
      <c r="J1063">
        <v>83398</v>
      </c>
      <c r="K1063" s="2">
        <v>45782</v>
      </c>
      <c r="L1063">
        <v>36192</v>
      </c>
      <c r="M1063">
        <v>119590</v>
      </c>
      <c r="N1063">
        <v>0</v>
      </c>
    </row>
    <row r="1064" spans="1:14" x14ac:dyDescent="0.3">
      <c r="A1064" s="1" t="s">
        <v>1109</v>
      </c>
      <c r="B1064" s="1" t="s">
        <v>56</v>
      </c>
      <c r="C1064">
        <v>54</v>
      </c>
      <c r="D1064" s="1" t="s">
        <v>16</v>
      </c>
      <c r="E1064" s="1" t="s">
        <v>35</v>
      </c>
      <c r="F1064" s="1" t="s">
        <v>18</v>
      </c>
      <c r="G1064" s="1" t="s">
        <v>19</v>
      </c>
      <c r="H1064" s="1" t="s">
        <v>20</v>
      </c>
      <c r="I1064" s="2">
        <v>44904</v>
      </c>
      <c r="J1064">
        <v>15359</v>
      </c>
      <c r="K1064" s="2">
        <v>45829</v>
      </c>
      <c r="L1064">
        <v>5186</v>
      </c>
      <c r="M1064">
        <v>20545</v>
      </c>
      <c r="N1064">
        <v>0</v>
      </c>
    </row>
    <row r="1065" spans="1:14" x14ac:dyDescent="0.3">
      <c r="A1065" s="1" t="s">
        <v>1110</v>
      </c>
      <c r="B1065" s="1" t="s">
        <v>34</v>
      </c>
      <c r="C1065">
        <v>53</v>
      </c>
      <c r="D1065" s="1" t="s">
        <v>16</v>
      </c>
      <c r="E1065" s="1" t="s">
        <v>24</v>
      </c>
      <c r="F1065" s="1" t="s">
        <v>25</v>
      </c>
      <c r="G1065" s="1" t="s">
        <v>19</v>
      </c>
      <c r="H1065" s="1" t="s">
        <v>20</v>
      </c>
      <c r="I1065" s="2">
        <v>45317</v>
      </c>
      <c r="J1065">
        <v>1829</v>
      </c>
      <c r="K1065" s="2">
        <v>45865</v>
      </c>
      <c r="L1065">
        <v>24224</v>
      </c>
      <c r="M1065">
        <v>26053</v>
      </c>
      <c r="N1065">
        <v>0</v>
      </c>
    </row>
    <row r="1066" spans="1:14" x14ac:dyDescent="0.3">
      <c r="A1066" s="1" t="s">
        <v>1111</v>
      </c>
      <c r="B1066" s="1" t="s">
        <v>64</v>
      </c>
      <c r="C1066">
        <v>41</v>
      </c>
      <c r="D1066" s="1" t="s">
        <v>16</v>
      </c>
      <c r="E1066" s="1" t="s">
        <v>24</v>
      </c>
      <c r="F1066" s="1" t="s">
        <v>25</v>
      </c>
      <c r="G1066" s="1" t="s">
        <v>19</v>
      </c>
      <c r="H1066" s="1" t="s">
        <v>20</v>
      </c>
      <c r="I1066" s="2">
        <v>44225</v>
      </c>
      <c r="J1066">
        <v>23579</v>
      </c>
      <c r="K1066" s="2">
        <v>45857</v>
      </c>
      <c r="L1066">
        <v>9803</v>
      </c>
      <c r="M1066">
        <v>33382</v>
      </c>
      <c r="N1066">
        <v>0</v>
      </c>
    </row>
    <row r="1067" spans="1:14" x14ac:dyDescent="0.3">
      <c r="A1067" s="1" t="s">
        <v>1112</v>
      </c>
      <c r="B1067" s="1" t="s">
        <v>43</v>
      </c>
      <c r="C1067">
        <v>48</v>
      </c>
      <c r="D1067" s="1" t="s">
        <v>16</v>
      </c>
      <c r="E1067" s="1" t="s">
        <v>17</v>
      </c>
      <c r="F1067" s="1" t="s">
        <v>25</v>
      </c>
      <c r="G1067" s="1" t="s">
        <v>41</v>
      </c>
      <c r="H1067" s="1" t="s">
        <v>20</v>
      </c>
      <c r="I1067" s="2">
        <v>45569</v>
      </c>
      <c r="J1067">
        <v>8988</v>
      </c>
      <c r="K1067" s="2">
        <v>45855</v>
      </c>
      <c r="L1067">
        <v>7508</v>
      </c>
      <c r="M1067">
        <v>16496</v>
      </c>
      <c r="N1067">
        <v>0</v>
      </c>
    </row>
    <row r="1068" spans="1:14" x14ac:dyDescent="0.3">
      <c r="A1068" s="1" t="s">
        <v>1113</v>
      </c>
      <c r="B1068" s="1" t="s">
        <v>64</v>
      </c>
      <c r="C1068">
        <v>23</v>
      </c>
      <c r="D1068" s="1" t="s">
        <v>23</v>
      </c>
      <c r="E1068" s="1" t="s">
        <v>38</v>
      </c>
      <c r="F1068" s="1" t="s">
        <v>18</v>
      </c>
      <c r="G1068" s="1" t="s">
        <v>19</v>
      </c>
      <c r="H1068" s="1" t="s">
        <v>20</v>
      </c>
      <c r="I1068" s="2">
        <v>45668</v>
      </c>
      <c r="J1068">
        <v>4467</v>
      </c>
      <c r="K1068" s="2">
        <v>45862</v>
      </c>
      <c r="L1068">
        <v>-1705</v>
      </c>
      <c r="M1068">
        <v>2762</v>
      </c>
      <c r="N1068">
        <v>0</v>
      </c>
    </row>
    <row r="1069" spans="1:14" x14ac:dyDescent="0.3">
      <c r="A1069" s="1" t="s">
        <v>1114</v>
      </c>
      <c r="B1069" s="1" t="s">
        <v>29</v>
      </c>
      <c r="C1069">
        <v>19</v>
      </c>
      <c r="D1069" s="1" t="s">
        <v>16</v>
      </c>
      <c r="E1069" s="1" t="s">
        <v>24</v>
      </c>
      <c r="F1069" s="1" t="s">
        <v>25</v>
      </c>
      <c r="G1069" s="1" t="s">
        <v>41</v>
      </c>
      <c r="H1069" s="1" t="s">
        <v>20</v>
      </c>
      <c r="I1069" s="2">
        <v>45631</v>
      </c>
      <c r="J1069">
        <v>6001</v>
      </c>
      <c r="K1069" s="2">
        <v>45850</v>
      </c>
      <c r="L1069">
        <v>9770</v>
      </c>
      <c r="M1069">
        <v>15771</v>
      </c>
      <c r="N1069">
        <v>0</v>
      </c>
    </row>
    <row r="1070" spans="1:14" x14ac:dyDescent="0.3">
      <c r="A1070" s="1" t="s">
        <v>1115</v>
      </c>
      <c r="B1070" s="1" t="s">
        <v>52</v>
      </c>
      <c r="C1070">
        <v>37</v>
      </c>
      <c r="D1070" s="1" t="s">
        <v>23</v>
      </c>
      <c r="E1070" s="1" t="s">
        <v>35</v>
      </c>
      <c r="F1070" s="1" t="s">
        <v>18</v>
      </c>
      <c r="G1070" s="1" t="s">
        <v>41</v>
      </c>
      <c r="H1070" s="1" t="s">
        <v>20</v>
      </c>
      <c r="I1070" s="2">
        <v>44824</v>
      </c>
      <c r="J1070">
        <v>6262</v>
      </c>
      <c r="K1070" s="2">
        <v>45846</v>
      </c>
      <c r="L1070">
        <v>-1799</v>
      </c>
      <c r="M1070">
        <v>4463</v>
      </c>
      <c r="N1070">
        <v>0</v>
      </c>
    </row>
    <row r="1071" spans="1:14" x14ac:dyDescent="0.3">
      <c r="A1071" s="1" t="s">
        <v>1116</v>
      </c>
      <c r="B1071" s="1" t="s">
        <v>29</v>
      </c>
      <c r="C1071">
        <v>45</v>
      </c>
      <c r="D1071" s="1" t="s">
        <v>16</v>
      </c>
      <c r="E1071" s="1" t="s">
        <v>24</v>
      </c>
      <c r="F1071" s="1" t="s">
        <v>18</v>
      </c>
      <c r="G1071" s="1" t="s">
        <v>41</v>
      </c>
      <c r="H1071" s="1" t="s">
        <v>20</v>
      </c>
      <c r="I1071" s="2">
        <v>44969</v>
      </c>
      <c r="J1071">
        <v>3259</v>
      </c>
      <c r="K1071" s="2">
        <v>45869</v>
      </c>
      <c r="L1071">
        <v>15506</v>
      </c>
      <c r="M1071">
        <v>18765</v>
      </c>
      <c r="N1071">
        <v>0</v>
      </c>
    </row>
    <row r="1072" spans="1:14" x14ac:dyDescent="0.3">
      <c r="A1072" s="1" t="s">
        <v>1117</v>
      </c>
      <c r="B1072" s="1" t="s">
        <v>34</v>
      </c>
      <c r="C1072">
        <v>28</v>
      </c>
      <c r="D1072" s="1" t="s">
        <v>16</v>
      </c>
      <c r="E1072" s="1" t="s">
        <v>24</v>
      </c>
      <c r="F1072" s="1" t="s">
        <v>18</v>
      </c>
      <c r="G1072" s="1" t="s">
        <v>19</v>
      </c>
      <c r="H1072" s="1" t="s">
        <v>20</v>
      </c>
      <c r="I1072" s="2">
        <v>44217</v>
      </c>
      <c r="J1072">
        <v>12543</v>
      </c>
      <c r="K1072" s="2">
        <v>45847</v>
      </c>
      <c r="L1072">
        <v>-2415</v>
      </c>
      <c r="M1072">
        <v>10128</v>
      </c>
      <c r="N1072">
        <v>0</v>
      </c>
    </row>
    <row r="1073" spans="1:14" x14ac:dyDescent="0.3">
      <c r="A1073" s="1" t="s">
        <v>1118</v>
      </c>
      <c r="B1073" s="1" t="s">
        <v>15</v>
      </c>
      <c r="C1073">
        <v>21</v>
      </c>
      <c r="D1073" s="1" t="s">
        <v>23</v>
      </c>
      <c r="E1073" s="1" t="s">
        <v>24</v>
      </c>
      <c r="F1073" s="1" t="s">
        <v>18</v>
      </c>
      <c r="G1073" s="1" t="s">
        <v>19</v>
      </c>
      <c r="H1073" s="1" t="s">
        <v>20</v>
      </c>
      <c r="I1073" s="2">
        <v>44865</v>
      </c>
      <c r="J1073">
        <v>83129</v>
      </c>
      <c r="K1073" s="2">
        <v>45852</v>
      </c>
      <c r="L1073">
        <v>-8936</v>
      </c>
      <c r="M1073">
        <v>74193</v>
      </c>
      <c r="N1073">
        <v>0</v>
      </c>
    </row>
    <row r="1074" spans="1:14" x14ac:dyDescent="0.3">
      <c r="A1074" s="1" t="s">
        <v>1119</v>
      </c>
      <c r="B1074" s="1" t="s">
        <v>71</v>
      </c>
      <c r="C1074">
        <v>32</v>
      </c>
      <c r="D1074" s="1" t="s">
        <v>23</v>
      </c>
      <c r="E1074" s="1" t="s">
        <v>38</v>
      </c>
      <c r="F1074" s="1" t="s">
        <v>18</v>
      </c>
      <c r="G1074" s="1" t="s">
        <v>19</v>
      </c>
      <c r="H1074" s="1" t="s">
        <v>20</v>
      </c>
      <c r="I1074" s="2">
        <v>44967</v>
      </c>
      <c r="J1074">
        <v>4451</v>
      </c>
      <c r="K1074" s="2">
        <v>45860</v>
      </c>
      <c r="L1074">
        <v>-2553</v>
      </c>
      <c r="M1074">
        <v>1898</v>
      </c>
      <c r="N1074">
        <v>0</v>
      </c>
    </row>
    <row r="1075" spans="1:14" x14ac:dyDescent="0.3">
      <c r="A1075" s="1" t="s">
        <v>1120</v>
      </c>
      <c r="B1075" s="1" t="s">
        <v>37</v>
      </c>
      <c r="C1075">
        <v>23</v>
      </c>
      <c r="D1075" s="1" t="s">
        <v>16</v>
      </c>
      <c r="E1075" s="1" t="s">
        <v>24</v>
      </c>
      <c r="F1075" s="1" t="s">
        <v>18</v>
      </c>
      <c r="G1075" s="1" t="s">
        <v>19</v>
      </c>
      <c r="H1075" s="1" t="s">
        <v>20</v>
      </c>
      <c r="I1075" s="2">
        <v>45714</v>
      </c>
      <c r="J1075">
        <v>80608</v>
      </c>
      <c r="K1075" s="2">
        <v>45826</v>
      </c>
      <c r="L1075">
        <v>936</v>
      </c>
      <c r="M1075">
        <v>81544</v>
      </c>
      <c r="N1075">
        <v>0</v>
      </c>
    </row>
    <row r="1076" spans="1:14" x14ac:dyDescent="0.3">
      <c r="A1076" s="1" t="s">
        <v>1121</v>
      </c>
      <c r="B1076" s="1" t="s">
        <v>40</v>
      </c>
      <c r="C1076">
        <v>66</v>
      </c>
      <c r="D1076" s="1" t="s">
        <v>16</v>
      </c>
      <c r="E1076" s="1" t="s">
        <v>24</v>
      </c>
      <c r="F1076" s="1" t="s">
        <v>25</v>
      </c>
      <c r="G1076" s="1" t="s">
        <v>19</v>
      </c>
      <c r="H1076" s="1" t="s">
        <v>20</v>
      </c>
      <c r="I1076" s="2">
        <v>45692</v>
      </c>
      <c r="J1076">
        <v>16451</v>
      </c>
      <c r="K1076" s="2">
        <v>45867</v>
      </c>
      <c r="L1076">
        <v>6442</v>
      </c>
      <c r="M1076">
        <v>22893</v>
      </c>
      <c r="N1076">
        <v>0</v>
      </c>
    </row>
    <row r="1077" spans="1:14" x14ac:dyDescent="0.3">
      <c r="A1077" s="1" t="s">
        <v>1122</v>
      </c>
      <c r="B1077" s="1" t="s">
        <v>37</v>
      </c>
      <c r="C1077">
        <v>47</v>
      </c>
      <c r="D1077" s="1" t="s">
        <v>16</v>
      </c>
      <c r="E1077" s="1" t="s">
        <v>35</v>
      </c>
      <c r="F1077" s="1" t="s">
        <v>25</v>
      </c>
      <c r="G1077" s="1" t="s">
        <v>19</v>
      </c>
      <c r="H1077" s="1" t="s">
        <v>20</v>
      </c>
      <c r="I1077" s="2">
        <v>45813</v>
      </c>
      <c r="J1077">
        <v>12175</v>
      </c>
      <c r="K1077" s="2">
        <v>45864</v>
      </c>
      <c r="L1077">
        <v>7081</v>
      </c>
      <c r="M1077">
        <v>19256</v>
      </c>
      <c r="N1077">
        <v>0</v>
      </c>
    </row>
    <row r="1078" spans="1:14" x14ac:dyDescent="0.3">
      <c r="A1078" s="1" t="s">
        <v>1123</v>
      </c>
      <c r="B1078" s="1" t="s">
        <v>56</v>
      </c>
      <c r="C1078">
        <v>55</v>
      </c>
      <c r="D1078" s="1" t="s">
        <v>23</v>
      </c>
      <c r="E1078" s="1" t="s">
        <v>17</v>
      </c>
      <c r="F1078" s="1" t="s">
        <v>18</v>
      </c>
      <c r="G1078" s="1" t="s">
        <v>19</v>
      </c>
      <c r="H1078" s="1" t="s">
        <v>20</v>
      </c>
      <c r="I1078" s="2">
        <v>45677</v>
      </c>
      <c r="J1078">
        <v>9682</v>
      </c>
      <c r="K1078" s="2">
        <v>45868</v>
      </c>
      <c r="L1078">
        <v>12339</v>
      </c>
      <c r="M1078">
        <v>22021</v>
      </c>
      <c r="N1078">
        <v>0</v>
      </c>
    </row>
    <row r="1079" spans="1:14" x14ac:dyDescent="0.3">
      <c r="A1079" s="1" t="s">
        <v>1124</v>
      </c>
      <c r="B1079" s="1" t="s">
        <v>27</v>
      </c>
      <c r="C1079">
        <v>68</v>
      </c>
      <c r="D1079" s="1" t="s">
        <v>16</v>
      </c>
      <c r="E1079" s="1" t="s">
        <v>38</v>
      </c>
      <c r="F1079" s="1" t="s">
        <v>18</v>
      </c>
      <c r="G1079" s="1" t="s">
        <v>19</v>
      </c>
      <c r="H1079" s="1" t="s">
        <v>20</v>
      </c>
      <c r="I1079" s="2">
        <v>44210</v>
      </c>
      <c r="J1079">
        <v>5966</v>
      </c>
      <c r="K1079" s="2">
        <v>45744</v>
      </c>
      <c r="L1079">
        <v>-3521</v>
      </c>
      <c r="M1079">
        <v>2445</v>
      </c>
      <c r="N1079">
        <v>0</v>
      </c>
    </row>
    <row r="1080" spans="1:14" x14ac:dyDescent="0.3">
      <c r="A1080" s="1" t="s">
        <v>1125</v>
      </c>
      <c r="B1080" s="1" t="s">
        <v>56</v>
      </c>
      <c r="C1080">
        <v>19</v>
      </c>
      <c r="D1080" s="1" t="s">
        <v>23</v>
      </c>
      <c r="E1080" s="1" t="s">
        <v>17</v>
      </c>
      <c r="F1080" s="1" t="s">
        <v>18</v>
      </c>
      <c r="G1080" s="1" t="s">
        <v>19</v>
      </c>
      <c r="H1080" s="1" t="s">
        <v>20</v>
      </c>
      <c r="I1080" s="2">
        <v>45270</v>
      </c>
      <c r="J1080">
        <v>17887</v>
      </c>
      <c r="K1080" s="2">
        <v>45794</v>
      </c>
      <c r="L1080">
        <v>12641</v>
      </c>
      <c r="M1080">
        <v>30528</v>
      </c>
      <c r="N1080">
        <v>0</v>
      </c>
    </row>
    <row r="1081" spans="1:14" x14ac:dyDescent="0.3">
      <c r="A1081" s="1" t="s">
        <v>1126</v>
      </c>
      <c r="B1081" s="1" t="s">
        <v>75</v>
      </c>
      <c r="C1081">
        <v>32</v>
      </c>
      <c r="D1081" s="1" t="s">
        <v>16</v>
      </c>
      <c r="E1081" s="1" t="s">
        <v>38</v>
      </c>
      <c r="F1081" s="1" t="s">
        <v>18</v>
      </c>
      <c r="G1081" s="1" t="s">
        <v>19</v>
      </c>
      <c r="H1081" s="1" t="s">
        <v>49</v>
      </c>
      <c r="I1081" s="2">
        <v>44311</v>
      </c>
      <c r="J1081">
        <v>22516</v>
      </c>
      <c r="K1081" s="2">
        <v>45771</v>
      </c>
      <c r="L1081">
        <v>25933</v>
      </c>
      <c r="M1081">
        <v>48449</v>
      </c>
      <c r="N1081">
        <v>0</v>
      </c>
    </row>
    <row r="1082" spans="1:14" x14ac:dyDescent="0.3">
      <c r="A1082" s="1" t="s">
        <v>1127</v>
      </c>
      <c r="B1082" s="1" t="s">
        <v>61</v>
      </c>
      <c r="C1082">
        <v>28</v>
      </c>
      <c r="D1082" s="1" t="s">
        <v>30</v>
      </c>
      <c r="E1082" s="1" t="s">
        <v>24</v>
      </c>
      <c r="F1082" s="1" t="s">
        <v>25</v>
      </c>
      <c r="G1082" s="1" t="s">
        <v>19</v>
      </c>
      <c r="H1082" s="1" t="s">
        <v>20</v>
      </c>
      <c r="I1082" s="2">
        <v>44653</v>
      </c>
      <c r="J1082">
        <v>1182</v>
      </c>
      <c r="K1082" s="2">
        <v>45865</v>
      </c>
      <c r="L1082">
        <v>4990</v>
      </c>
      <c r="M1082">
        <v>6172</v>
      </c>
      <c r="N1082">
        <v>0</v>
      </c>
    </row>
    <row r="1083" spans="1:14" x14ac:dyDescent="0.3">
      <c r="A1083" s="1" t="s">
        <v>1128</v>
      </c>
      <c r="B1083" s="1" t="s">
        <v>22</v>
      </c>
      <c r="C1083">
        <v>25</v>
      </c>
      <c r="D1083" s="1" t="s">
        <v>16</v>
      </c>
      <c r="E1083" s="1" t="s">
        <v>24</v>
      </c>
      <c r="F1083" s="1" t="s">
        <v>18</v>
      </c>
      <c r="G1083" s="1" t="s">
        <v>19</v>
      </c>
      <c r="H1083" s="1" t="s">
        <v>20</v>
      </c>
      <c r="I1083" s="2">
        <v>45164</v>
      </c>
      <c r="J1083">
        <v>169912</v>
      </c>
      <c r="K1083" s="2">
        <v>45844</v>
      </c>
      <c r="L1083">
        <v>48036</v>
      </c>
      <c r="M1083">
        <v>217948</v>
      </c>
      <c r="N1083">
        <v>0</v>
      </c>
    </row>
    <row r="1084" spans="1:14" x14ac:dyDescent="0.3">
      <c r="A1084" s="1" t="s">
        <v>1129</v>
      </c>
      <c r="B1084" s="1" t="s">
        <v>75</v>
      </c>
      <c r="C1084">
        <v>43</v>
      </c>
      <c r="D1084" s="1" t="s">
        <v>16</v>
      </c>
      <c r="E1084" s="1" t="s">
        <v>38</v>
      </c>
      <c r="F1084" s="1" t="s">
        <v>25</v>
      </c>
      <c r="G1084" s="1" t="s">
        <v>19</v>
      </c>
      <c r="H1084" s="1" t="s">
        <v>20</v>
      </c>
      <c r="I1084" s="2">
        <v>45369</v>
      </c>
      <c r="J1084">
        <v>2184</v>
      </c>
      <c r="K1084" s="2">
        <v>45845</v>
      </c>
      <c r="L1084">
        <v>35450</v>
      </c>
      <c r="M1084">
        <v>37634</v>
      </c>
      <c r="N1084">
        <v>0</v>
      </c>
    </row>
    <row r="1085" spans="1:14" x14ac:dyDescent="0.3">
      <c r="A1085" s="1" t="s">
        <v>1130</v>
      </c>
      <c r="B1085" s="1" t="s">
        <v>32</v>
      </c>
      <c r="C1085">
        <v>68</v>
      </c>
      <c r="D1085" s="1" t="s">
        <v>23</v>
      </c>
      <c r="E1085" s="1" t="s">
        <v>17</v>
      </c>
      <c r="F1085" s="1" t="s">
        <v>25</v>
      </c>
      <c r="G1085" s="1" t="s">
        <v>41</v>
      </c>
      <c r="H1085" s="1" t="s">
        <v>20</v>
      </c>
      <c r="I1085" s="2">
        <v>45292</v>
      </c>
      <c r="J1085">
        <v>7924</v>
      </c>
      <c r="K1085" s="2">
        <v>45801</v>
      </c>
      <c r="L1085">
        <v>6333</v>
      </c>
      <c r="M1085">
        <v>14257</v>
      </c>
      <c r="N1085">
        <v>0</v>
      </c>
    </row>
    <row r="1086" spans="1:14" x14ac:dyDescent="0.3">
      <c r="A1086" s="1" t="s">
        <v>1131</v>
      </c>
      <c r="B1086" s="1" t="s">
        <v>61</v>
      </c>
      <c r="C1086">
        <v>62</v>
      </c>
      <c r="D1086" s="1" t="s">
        <v>16</v>
      </c>
      <c r="E1086" s="1" t="s">
        <v>17</v>
      </c>
      <c r="F1086" s="1" t="s">
        <v>18</v>
      </c>
      <c r="G1086" s="1" t="s">
        <v>19</v>
      </c>
      <c r="H1086" s="1" t="s">
        <v>20</v>
      </c>
      <c r="I1086" s="2">
        <v>44279</v>
      </c>
      <c r="J1086">
        <v>1035</v>
      </c>
      <c r="K1086" s="2">
        <v>45829</v>
      </c>
      <c r="L1086">
        <v>11400</v>
      </c>
      <c r="M1086">
        <v>12435</v>
      </c>
      <c r="N1086">
        <v>0</v>
      </c>
    </row>
    <row r="1087" spans="1:14" x14ac:dyDescent="0.3">
      <c r="A1087" s="1" t="s">
        <v>1132</v>
      </c>
      <c r="B1087" s="1" t="s">
        <v>32</v>
      </c>
      <c r="C1087">
        <v>61</v>
      </c>
      <c r="D1087" s="1" t="s">
        <v>16</v>
      </c>
      <c r="E1087" s="1" t="s">
        <v>24</v>
      </c>
      <c r="F1087" s="1" t="s">
        <v>25</v>
      </c>
      <c r="G1087" s="1" t="s">
        <v>19</v>
      </c>
      <c r="H1087" s="1" t="s">
        <v>20</v>
      </c>
      <c r="I1087" s="2">
        <v>44370</v>
      </c>
      <c r="J1087">
        <v>10220</v>
      </c>
      <c r="K1087" s="2">
        <v>45778</v>
      </c>
      <c r="L1087">
        <v>9828</v>
      </c>
      <c r="M1087">
        <v>20048</v>
      </c>
      <c r="N1087">
        <v>0</v>
      </c>
    </row>
    <row r="1088" spans="1:14" x14ac:dyDescent="0.3">
      <c r="A1088" s="1" t="s">
        <v>1133</v>
      </c>
      <c r="B1088" s="1" t="s">
        <v>69</v>
      </c>
      <c r="C1088">
        <v>22</v>
      </c>
      <c r="D1088" s="1" t="s">
        <v>23</v>
      </c>
      <c r="E1088" s="1" t="s">
        <v>24</v>
      </c>
      <c r="F1088" s="1" t="s">
        <v>18</v>
      </c>
      <c r="G1088" s="1" t="s">
        <v>19</v>
      </c>
      <c r="H1088" s="1" t="s">
        <v>20</v>
      </c>
      <c r="I1088" s="2">
        <v>44412</v>
      </c>
      <c r="J1088">
        <v>8421</v>
      </c>
      <c r="K1088" s="2">
        <v>45862</v>
      </c>
      <c r="L1088">
        <v>12272</v>
      </c>
      <c r="M1088">
        <v>20693</v>
      </c>
      <c r="N1088">
        <v>0</v>
      </c>
    </row>
    <row r="1089" spans="1:14" x14ac:dyDescent="0.3">
      <c r="A1089" s="1" t="s">
        <v>1134</v>
      </c>
      <c r="B1089" s="1" t="s">
        <v>48</v>
      </c>
      <c r="C1089">
        <v>23</v>
      </c>
      <c r="D1089" s="1" t="s">
        <v>16</v>
      </c>
      <c r="E1089" s="1" t="s">
        <v>24</v>
      </c>
      <c r="F1089" s="1" t="s">
        <v>18</v>
      </c>
      <c r="G1089" s="1" t="s">
        <v>19</v>
      </c>
      <c r="H1089" s="1" t="s">
        <v>20</v>
      </c>
      <c r="I1089" s="2">
        <v>44349</v>
      </c>
      <c r="J1089">
        <v>8009</v>
      </c>
      <c r="K1089" s="2">
        <v>45857</v>
      </c>
      <c r="L1089">
        <v>40276</v>
      </c>
      <c r="M1089">
        <v>48285</v>
      </c>
      <c r="N1089">
        <v>0</v>
      </c>
    </row>
    <row r="1090" spans="1:14" x14ac:dyDescent="0.3">
      <c r="A1090" s="1" t="s">
        <v>1135</v>
      </c>
      <c r="B1090" s="1" t="s">
        <v>87</v>
      </c>
      <c r="C1090">
        <v>43</v>
      </c>
      <c r="D1090" s="1" t="s">
        <v>23</v>
      </c>
      <c r="E1090" s="1" t="s">
        <v>17</v>
      </c>
      <c r="F1090" s="1" t="s">
        <v>18</v>
      </c>
      <c r="G1090" s="1" t="s">
        <v>19</v>
      </c>
      <c r="H1090" s="1" t="s">
        <v>20</v>
      </c>
      <c r="I1090" s="2">
        <v>44495</v>
      </c>
      <c r="J1090">
        <v>18112</v>
      </c>
      <c r="K1090" s="2">
        <v>45862</v>
      </c>
      <c r="L1090">
        <v>11710</v>
      </c>
      <c r="M1090">
        <v>29822</v>
      </c>
      <c r="N1090">
        <v>0</v>
      </c>
    </row>
    <row r="1091" spans="1:14" x14ac:dyDescent="0.3">
      <c r="A1091" s="1" t="s">
        <v>1136</v>
      </c>
      <c r="B1091" s="1" t="s">
        <v>61</v>
      </c>
      <c r="C1091">
        <v>21</v>
      </c>
      <c r="D1091" s="1" t="s">
        <v>16</v>
      </c>
      <c r="E1091" s="1" t="s">
        <v>17</v>
      </c>
      <c r="F1091" s="1" t="s">
        <v>18</v>
      </c>
      <c r="G1091" s="1" t="s">
        <v>19</v>
      </c>
      <c r="H1091" s="1" t="s">
        <v>20</v>
      </c>
      <c r="I1091" s="2">
        <v>45348</v>
      </c>
      <c r="J1091">
        <v>10469</v>
      </c>
      <c r="K1091" s="2">
        <v>45844</v>
      </c>
      <c r="L1091">
        <v>878</v>
      </c>
      <c r="M1091">
        <v>11347</v>
      </c>
      <c r="N1091">
        <v>0</v>
      </c>
    </row>
    <row r="1092" spans="1:14" x14ac:dyDescent="0.3">
      <c r="A1092" s="1" t="s">
        <v>1137</v>
      </c>
      <c r="B1092" s="1" t="s">
        <v>40</v>
      </c>
      <c r="C1092">
        <v>36</v>
      </c>
      <c r="D1092" s="1" t="s">
        <v>16</v>
      </c>
      <c r="E1092" s="1" t="s">
        <v>17</v>
      </c>
      <c r="F1092" s="1" t="s">
        <v>18</v>
      </c>
      <c r="G1092" s="1" t="s">
        <v>19</v>
      </c>
      <c r="H1092" s="1" t="s">
        <v>20</v>
      </c>
      <c r="I1092" s="2">
        <v>45586</v>
      </c>
      <c r="J1092">
        <v>22889</v>
      </c>
      <c r="K1092" s="2">
        <v>45868</v>
      </c>
      <c r="L1092">
        <v>16109</v>
      </c>
      <c r="M1092">
        <v>38998</v>
      </c>
      <c r="N1092">
        <v>0</v>
      </c>
    </row>
    <row r="1093" spans="1:14" x14ac:dyDescent="0.3">
      <c r="A1093" s="1" t="s">
        <v>1138</v>
      </c>
      <c r="B1093" s="1" t="s">
        <v>40</v>
      </c>
      <c r="C1093">
        <v>37</v>
      </c>
      <c r="D1093" s="1" t="s">
        <v>16</v>
      </c>
      <c r="E1093" s="1" t="s">
        <v>17</v>
      </c>
      <c r="F1093" s="1" t="s">
        <v>18</v>
      </c>
      <c r="G1093" s="1" t="s">
        <v>19</v>
      </c>
      <c r="H1093" s="1" t="s">
        <v>49</v>
      </c>
      <c r="I1093" s="2">
        <v>44880</v>
      </c>
      <c r="J1093">
        <v>3876</v>
      </c>
      <c r="K1093" s="2">
        <v>45801</v>
      </c>
      <c r="L1093">
        <v>11162</v>
      </c>
      <c r="M1093">
        <v>15038</v>
      </c>
      <c r="N1093">
        <v>0</v>
      </c>
    </row>
    <row r="1094" spans="1:14" x14ac:dyDescent="0.3">
      <c r="A1094" s="1" t="s">
        <v>1139</v>
      </c>
      <c r="B1094" s="1" t="s">
        <v>40</v>
      </c>
      <c r="C1094">
        <v>50</v>
      </c>
      <c r="D1094" s="1" t="s">
        <v>23</v>
      </c>
      <c r="E1094" s="1" t="s">
        <v>24</v>
      </c>
      <c r="F1094" s="1" t="s">
        <v>25</v>
      </c>
      <c r="G1094" s="1" t="s">
        <v>19</v>
      </c>
      <c r="H1094" s="1" t="s">
        <v>20</v>
      </c>
      <c r="I1094" s="2">
        <v>45356</v>
      </c>
      <c r="J1094">
        <v>14435</v>
      </c>
      <c r="K1094" s="2">
        <v>45838</v>
      </c>
      <c r="L1094">
        <v>24779</v>
      </c>
      <c r="M1094">
        <v>39214</v>
      </c>
      <c r="N1094">
        <v>0</v>
      </c>
    </row>
    <row r="1095" spans="1:14" x14ac:dyDescent="0.3">
      <c r="A1095" s="1" t="s">
        <v>1140</v>
      </c>
      <c r="B1095" s="1" t="s">
        <v>56</v>
      </c>
      <c r="C1095">
        <v>37</v>
      </c>
      <c r="D1095" s="1" t="s">
        <v>16</v>
      </c>
      <c r="E1095" s="1" t="s">
        <v>38</v>
      </c>
      <c r="F1095" s="1" t="s">
        <v>25</v>
      </c>
      <c r="G1095" s="1" t="s">
        <v>19</v>
      </c>
      <c r="H1095" s="1" t="s">
        <v>20</v>
      </c>
      <c r="I1095" s="2">
        <v>44531</v>
      </c>
      <c r="J1095">
        <v>7103</v>
      </c>
      <c r="K1095" s="2">
        <v>45862</v>
      </c>
      <c r="L1095">
        <v>23494</v>
      </c>
      <c r="M1095">
        <v>30597</v>
      </c>
      <c r="N1095">
        <v>0</v>
      </c>
    </row>
    <row r="1096" spans="1:14" x14ac:dyDescent="0.3">
      <c r="A1096" s="1" t="s">
        <v>1141</v>
      </c>
      <c r="B1096" s="1" t="s">
        <v>15</v>
      </c>
      <c r="C1096">
        <v>66</v>
      </c>
      <c r="D1096" s="1" t="s">
        <v>16</v>
      </c>
      <c r="E1096" s="1" t="s">
        <v>35</v>
      </c>
      <c r="F1096" s="1" t="s">
        <v>25</v>
      </c>
      <c r="G1096" s="1" t="s">
        <v>19</v>
      </c>
      <c r="H1096" s="1" t="s">
        <v>20</v>
      </c>
      <c r="I1096" s="2">
        <v>45825</v>
      </c>
      <c r="J1096">
        <v>9225</v>
      </c>
      <c r="K1096" s="2">
        <v>45868</v>
      </c>
      <c r="L1096">
        <v>26807</v>
      </c>
      <c r="M1096">
        <v>36032</v>
      </c>
      <c r="N1096">
        <v>0</v>
      </c>
    </row>
    <row r="1097" spans="1:14" x14ac:dyDescent="0.3">
      <c r="A1097" s="1" t="s">
        <v>1142</v>
      </c>
      <c r="B1097" s="1" t="s">
        <v>64</v>
      </c>
      <c r="C1097">
        <v>29</v>
      </c>
      <c r="D1097" s="1" t="s">
        <v>16</v>
      </c>
      <c r="E1097" s="1" t="s">
        <v>38</v>
      </c>
      <c r="F1097" s="1" t="s">
        <v>18</v>
      </c>
      <c r="G1097" s="1" t="s">
        <v>19</v>
      </c>
      <c r="H1097" s="1" t="s">
        <v>20</v>
      </c>
      <c r="I1097" s="2">
        <v>44782</v>
      </c>
      <c r="J1097">
        <v>17507</v>
      </c>
      <c r="K1097" s="2">
        <v>45842</v>
      </c>
      <c r="L1097">
        <v>9896</v>
      </c>
      <c r="M1097">
        <v>27403</v>
      </c>
      <c r="N1097">
        <v>0</v>
      </c>
    </row>
    <row r="1098" spans="1:14" x14ac:dyDescent="0.3">
      <c r="A1098" s="1" t="s">
        <v>1143</v>
      </c>
      <c r="B1098" s="1" t="s">
        <v>61</v>
      </c>
      <c r="C1098">
        <v>64</v>
      </c>
      <c r="D1098" s="1" t="s">
        <v>23</v>
      </c>
      <c r="E1098" s="1" t="s">
        <v>17</v>
      </c>
      <c r="F1098" s="1" t="s">
        <v>25</v>
      </c>
      <c r="G1098" s="1" t="s">
        <v>19</v>
      </c>
      <c r="H1098" s="1" t="s">
        <v>49</v>
      </c>
      <c r="I1098" s="2">
        <v>45612</v>
      </c>
      <c r="J1098">
        <v>8068</v>
      </c>
      <c r="K1098" s="2">
        <v>45862</v>
      </c>
      <c r="L1098">
        <v>-12664</v>
      </c>
      <c r="M1098">
        <v>-4596</v>
      </c>
      <c r="N1098">
        <v>0</v>
      </c>
    </row>
    <row r="1099" spans="1:14" x14ac:dyDescent="0.3">
      <c r="A1099" s="1" t="s">
        <v>1144</v>
      </c>
      <c r="B1099" s="1" t="s">
        <v>34</v>
      </c>
      <c r="C1099">
        <v>18</v>
      </c>
      <c r="D1099" s="1" t="s">
        <v>23</v>
      </c>
      <c r="E1099" s="1" t="s">
        <v>24</v>
      </c>
      <c r="F1099" s="1" t="s">
        <v>25</v>
      </c>
      <c r="G1099" s="1" t="s">
        <v>19</v>
      </c>
      <c r="H1099" s="1" t="s">
        <v>20</v>
      </c>
      <c r="I1099" s="2">
        <v>45778</v>
      </c>
      <c r="J1099">
        <v>12026</v>
      </c>
      <c r="K1099" s="2">
        <v>45862</v>
      </c>
      <c r="L1099">
        <v>7954</v>
      </c>
      <c r="M1099">
        <v>19980</v>
      </c>
      <c r="N1099">
        <v>0</v>
      </c>
    </row>
    <row r="1100" spans="1:14" x14ac:dyDescent="0.3">
      <c r="A1100" s="1" t="s">
        <v>1145</v>
      </c>
      <c r="B1100" s="1" t="s">
        <v>69</v>
      </c>
      <c r="C1100">
        <v>43</v>
      </c>
      <c r="D1100" s="1" t="s">
        <v>16</v>
      </c>
      <c r="E1100" s="1" t="s">
        <v>17</v>
      </c>
      <c r="F1100" s="1" t="s">
        <v>25</v>
      </c>
      <c r="G1100" s="1" t="s">
        <v>19</v>
      </c>
      <c r="H1100" s="1" t="s">
        <v>20</v>
      </c>
      <c r="I1100" s="2">
        <v>45643</v>
      </c>
      <c r="J1100">
        <v>4212</v>
      </c>
      <c r="K1100" s="2">
        <v>45853</v>
      </c>
      <c r="L1100">
        <v>11895</v>
      </c>
      <c r="M1100">
        <v>16107</v>
      </c>
      <c r="N1100">
        <v>0</v>
      </c>
    </row>
    <row r="1101" spans="1:14" x14ac:dyDescent="0.3">
      <c r="A1101" s="1" t="s">
        <v>1146</v>
      </c>
      <c r="B1101" s="1" t="s">
        <v>87</v>
      </c>
      <c r="C1101">
        <v>31</v>
      </c>
      <c r="D1101" s="1" t="s">
        <v>23</v>
      </c>
      <c r="E1101" s="1" t="s">
        <v>24</v>
      </c>
      <c r="F1101" s="1" t="s">
        <v>25</v>
      </c>
      <c r="G1101" s="1" t="s">
        <v>41</v>
      </c>
      <c r="H1101" s="1" t="s">
        <v>49</v>
      </c>
      <c r="I1101" s="2">
        <v>44309</v>
      </c>
      <c r="J1101">
        <v>39955</v>
      </c>
      <c r="K1101" s="2">
        <v>45795</v>
      </c>
      <c r="L1101">
        <v>15255</v>
      </c>
      <c r="M1101">
        <v>55210</v>
      </c>
      <c r="N1101">
        <v>0</v>
      </c>
    </row>
    <row r="1102" spans="1:14" x14ac:dyDescent="0.3">
      <c r="A1102" s="1" t="s">
        <v>1147</v>
      </c>
      <c r="B1102" s="1" t="s">
        <v>34</v>
      </c>
      <c r="C1102">
        <v>55</v>
      </c>
      <c r="D1102" s="1" t="s">
        <v>16</v>
      </c>
      <c r="E1102" s="1" t="s">
        <v>24</v>
      </c>
      <c r="F1102" s="1" t="s">
        <v>25</v>
      </c>
      <c r="G1102" s="1" t="s">
        <v>19</v>
      </c>
      <c r="H1102" s="1" t="s">
        <v>20</v>
      </c>
      <c r="I1102" s="2">
        <v>45284</v>
      </c>
      <c r="J1102">
        <v>27679</v>
      </c>
      <c r="K1102" s="2">
        <v>45736</v>
      </c>
      <c r="L1102">
        <v>41124</v>
      </c>
      <c r="M1102">
        <v>68803</v>
      </c>
      <c r="N1102">
        <v>0</v>
      </c>
    </row>
    <row r="1103" spans="1:14" x14ac:dyDescent="0.3">
      <c r="A1103" s="1" t="s">
        <v>1148</v>
      </c>
      <c r="B1103" s="1" t="s">
        <v>15</v>
      </c>
      <c r="C1103">
        <v>54</v>
      </c>
      <c r="D1103" s="1" t="s">
        <v>16</v>
      </c>
      <c r="E1103" s="1" t="s">
        <v>17</v>
      </c>
      <c r="F1103" s="1" t="s">
        <v>18</v>
      </c>
      <c r="G1103" s="1" t="s">
        <v>19</v>
      </c>
      <c r="H1103" s="1" t="s">
        <v>20</v>
      </c>
      <c r="I1103" s="2">
        <v>44397</v>
      </c>
      <c r="J1103">
        <v>14765</v>
      </c>
      <c r="K1103" s="2">
        <v>45853</v>
      </c>
      <c r="L1103">
        <v>9268</v>
      </c>
      <c r="M1103">
        <v>24033</v>
      </c>
      <c r="N1103">
        <v>0</v>
      </c>
    </row>
    <row r="1104" spans="1:14" x14ac:dyDescent="0.3">
      <c r="A1104" s="1" t="s">
        <v>1149</v>
      </c>
      <c r="B1104" s="1" t="s">
        <v>64</v>
      </c>
      <c r="C1104">
        <v>28</v>
      </c>
      <c r="D1104" s="1" t="s">
        <v>16</v>
      </c>
      <c r="E1104" s="1" t="s">
        <v>17</v>
      </c>
      <c r="F1104" s="1" t="s">
        <v>25</v>
      </c>
      <c r="G1104" s="1" t="s">
        <v>41</v>
      </c>
      <c r="H1104" s="1" t="s">
        <v>20</v>
      </c>
      <c r="I1104" s="2">
        <v>44206</v>
      </c>
      <c r="J1104">
        <v>10481</v>
      </c>
      <c r="K1104" s="2">
        <v>45697</v>
      </c>
      <c r="L1104">
        <v>5707</v>
      </c>
      <c r="M1104">
        <v>16188</v>
      </c>
      <c r="N1104">
        <v>0</v>
      </c>
    </row>
    <row r="1105" spans="1:14" x14ac:dyDescent="0.3">
      <c r="A1105" s="1" t="s">
        <v>1150</v>
      </c>
      <c r="B1105" s="1" t="s">
        <v>29</v>
      </c>
      <c r="C1105">
        <v>53</v>
      </c>
      <c r="D1105" s="1" t="s">
        <v>16</v>
      </c>
      <c r="E1105" s="1" t="s">
        <v>35</v>
      </c>
      <c r="F1105" s="1" t="s">
        <v>18</v>
      </c>
      <c r="G1105" s="1" t="s">
        <v>19</v>
      </c>
      <c r="H1105" s="1" t="s">
        <v>20</v>
      </c>
      <c r="I1105" s="2">
        <v>44283</v>
      </c>
      <c r="J1105">
        <v>12036</v>
      </c>
      <c r="K1105" s="2">
        <v>45817</v>
      </c>
      <c r="L1105">
        <v>-8645</v>
      </c>
      <c r="M1105">
        <v>3391</v>
      </c>
      <c r="N1105">
        <v>0</v>
      </c>
    </row>
    <row r="1106" spans="1:14" x14ac:dyDescent="0.3">
      <c r="A1106" s="1" t="s">
        <v>1151</v>
      </c>
      <c r="B1106" s="1" t="s">
        <v>59</v>
      </c>
      <c r="C1106">
        <v>30</v>
      </c>
      <c r="D1106" s="1" t="s">
        <v>16</v>
      </c>
      <c r="E1106" s="1" t="s">
        <v>24</v>
      </c>
      <c r="F1106" s="1" t="s">
        <v>25</v>
      </c>
      <c r="G1106" s="1" t="s">
        <v>19</v>
      </c>
      <c r="H1106" s="1" t="s">
        <v>20</v>
      </c>
      <c r="I1106" s="2">
        <v>45729</v>
      </c>
      <c r="J1106">
        <v>39106</v>
      </c>
      <c r="K1106" s="2">
        <v>45867</v>
      </c>
      <c r="L1106">
        <v>28400</v>
      </c>
      <c r="M1106">
        <v>67506</v>
      </c>
      <c r="N1106">
        <v>0</v>
      </c>
    </row>
    <row r="1107" spans="1:14" x14ac:dyDescent="0.3">
      <c r="A1107" s="1" t="s">
        <v>1152</v>
      </c>
      <c r="B1107" s="1" t="s">
        <v>40</v>
      </c>
      <c r="C1107">
        <v>60</v>
      </c>
      <c r="D1107" s="1" t="s">
        <v>23</v>
      </c>
      <c r="E1107" s="1" t="s">
        <v>24</v>
      </c>
      <c r="F1107" s="1" t="s">
        <v>18</v>
      </c>
      <c r="G1107" s="1" t="s">
        <v>41</v>
      </c>
      <c r="H1107" s="1" t="s">
        <v>20</v>
      </c>
      <c r="I1107" s="2">
        <v>45716</v>
      </c>
      <c r="J1107">
        <v>25786</v>
      </c>
      <c r="K1107" s="2">
        <v>45865</v>
      </c>
      <c r="L1107">
        <v>4336</v>
      </c>
      <c r="M1107">
        <v>30122</v>
      </c>
      <c r="N1107">
        <v>0</v>
      </c>
    </row>
    <row r="1108" spans="1:14" x14ac:dyDescent="0.3">
      <c r="A1108" s="1" t="s">
        <v>1153</v>
      </c>
      <c r="B1108" s="1" t="s">
        <v>40</v>
      </c>
      <c r="C1108">
        <v>20</v>
      </c>
      <c r="D1108" s="1" t="s">
        <v>23</v>
      </c>
      <c r="E1108" s="1" t="s">
        <v>17</v>
      </c>
      <c r="F1108" s="1" t="s">
        <v>18</v>
      </c>
      <c r="G1108" s="1" t="s">
        <v>19</v>
      </c>
      <c r="H1108" s="1" t="s">
        <v>20</v>
      </c>
      <c r="I1108" s="2">
        <v>44574</v>
      </c>
      <c r="J1108">
        <v>39769</v>
      </c>
      <c r="K1108" s="2">
        <v>45861</v>
      </c>
      <c r="L1108">
        <v>36901</v>
      </c>
      <c r="M1108">
        <v>76670</v>
      </c>
      <c r="N1108">
        <v>0</v>
      </c>
    </row>
    <row r="1109" spans="1:14" x14ac:dyDescent="0.3">
      <c r="A1109" s="1" t="s">
        <v>1154</v>
      </c>
      <c r="B1109" s="1" t="s">
        <v>29</v>
      </c>
      <c r="C1109">
        <v>50</v>
      </c>
      <c r="D1109" s="1" t="s">
        <v>23</v>
      </c>
      <c r="E1109" s="1" t="s">
        <v>17</v>
      </c>
      <c r="F1109" s="1" t="s">
        <v>18</v>
      </c>
      <c r="G1109" s="1" t="s">
        <v>19</v>
      </c>
      <c r="H1109" s="1" t="s">
        <v>20</v>
      </c>
      <c r="I1109" s="2">
        <v>45112</v>
      </c>
      <c r="J1109">
        <v>9491</v>
      </c>
      <c r="K1109" s="2">
        <v>45789</v>
      </c>
      <c r="L1109">
        <v>18343</v>
      </c>
      <c r="M1109">
        <v>27834</v>
      </c>
      <c r="N1109">
        <v>0</v>
      </c>
    </row>
    <row r="1110" spans="1:14" x14ac:dyDescent="0.3">
      <c r="A1110" s="1" t="s">
        <v>1155</v>
      </c>
      <c r="B1110" s="1" t="s">
        <v>40</v>
      </c>
      <c r="C1110">
        <v>23</v>
      </c>
      <c r="D1110" s="1" t="s">
        <v>23</v>
      </c>
      <c r="E1110" s="1" t="s">
        <v>38</v>
      </c>
      <c r="F1110" s="1" t="s">
        <v>25</v>
      </c>
      <c r="G1110" s="1" t="s">
        <v>19</v>
      </c>
      <c r="H1110" s="1" t="s">
        <v>20</v>
      </c>
      <c r="I1110" s="2">
        <v>45794</v>
      </c>
      <c r="J1110">
        <v>21664</v>
      </c>
      <c r="K1110" s="2">
        <v>45869</v>
      </c>
      <c r="L1110">
        <v>19534</v>
      </c>
      <c r="M1110">
        <v>41198</v>
      </c>
      <c r="N1110">
        <v>0</v>
      </c>
    </row>
    <row r="1111" spans="1:14" x14ac:dyDescent="0.3">
      <c r="A1111" s="1" t="s">
        <v>1156</v>
      </c>
      <c r="B1111" s="1" t="s">
        <v>37</v>
      </c>
      <c r="C1111">
        <v>67</v>
      </c>
      <c r="D1111" s="1" t="s">
        <v>16</v>
      </c>
      <c r="E1111" s="1" t="s">
        <v>17</v>
      </c>
      <c r="F1111" s="1" t="s">
        <v>18</v>
      </c>
      <c r="G1111" s="1" t="s">
        <v>19</v>
      </c>
      <c r="H1111" s="1" t="s">
        <v>20</v>
      </c>
      <c r="I1111" s="2">
        <v>45027</v>
      </c>
      <c r="J1111">
        <v>43856</v>
      </c>
      <c r="K1111" s="2">
        <v>45860</v>
      </c>
      <c r="L1111">
        <v>31982</v>
      </c>
      <c r="M1111">
        <v>75838</v>
      </c>
      <c r="N1111">
        <v>0</v>
      </c>
    </row>
    <row r="1112" spans="1:14" x14ac:dyDescent="0.3">
      <c r="A1112" s="1" t="s">
        <v>1157</v>
      </c>
      <c r="B1112" s="1" t="s">
        <v>27</v>
      </c>
      <c r="C1112">
        <v>27</v>
      </c>
      <c r="D1112" s="1" t="s">
        <v>16</v>
      </c>
      <c r="E1112" s="1" t="s">
        <v>24</v>
      </c>
      <c r="F1112" s="1" t="s">
        <v>18</v>
      </c>
      <c r="G1112" s="1" t="s">
        <v>19</v>
      </c>
      <c r="H1112" s="1" t="s">
        <v>20</v>
      </c>
      <c r="I1112" s="2">
        <v>44855</v>
      </c>
      <c r="J1112">
        <v>5291</v>
      </c>
      <c r="K1112" s="2">
        <v>45777</v>
      </c>
      <c r="L1112">
        <v>12260</v>
      </c>
      <c r="M1112">
        <v>17551</v>
      </c>
      <c r="N1112">
        <v>0</v>
      </c>
    </row>
    <row r="1113" spans="1:14" x14ac:dyDescent="0.3">
      <c r="A1113" s="1" t="s">
        <v>1158</v>
      </c>
      <c r="B1113" s="1" t="s">
        <v>79</v>
      </c>
      <c r="C1113">
        <v>22</v>
      </c>
      <c r="D1113" s="1" t="s">
        <v>16</v>
      </c>
      <c r="E1113" s="1" t="s">
        <v>17</v>
      </c>
      <c r="F1113" s="1" t="s">
        <v>25</v>
      </c>
      <c r="G1113" s="1" t="s">
        <v>41</v>
      </c>
      <c r="H1113" s="1" t="s">
        <v>20</v>
      </c>
      <c r="I1113" s="2">
        <v>45005</v>
      </c>
      <c r="J1113">
        <v>4969</v>
      </c>
      <c r="K1113" s="2">
        <v>45855</v>
      </c>
      <c r="L1113">
        <v>-4769</v>
      </c>
      <c r="M1113">
        <v>200</v>
      </c>
      <c r="N1113">
        <v>0</v>
      </c>
    </row>
    <row r="1114" spans="1:14" x14ac:dyDescent="0.3">
      <c r="A1114" s="1" t="s">
        <v>1159</v>
      </c>
      <c r="B1114" s="1" t="s">
        <v>75</v>
      </c>
      <c r="C1114">
        <v>40</v>
      </c>
      <c r="D1114" s="1" t="s">
        <v>16</v>
      </c>
      <c r="E1114" s="1" t="s">
        <v>24</v>
      </c>
      <c r="F1114" s="1" t="s">
        <v>25</v>
      </c>
      <c r="G1114" s="1" t="s">
        <v>19</v>
      </c>
      <c r="H1114" s="1" t="s">
        <v>20</v>
      </c>
      <c r="I1114" s="2">
        <v>45519</v>
      </c>
      <c r="J1114">
        <v>17592</v>
      </c>
      <c r="K1114" s="2">
        <v>45868</v>
      </c>
      <c r="L1114">
        <v>6754</v>
      </c>
      <c r="M1114">
        <v>24346</v>
      </c>
      <c r="N1114">
        <v>0</v>
      </c>
    </row>
    <row r="1115" spans="1:14" x14ac:dyDescent="0.3">
      <c r="A1115" s="1" t="s">
        <v>1160</v>
      </c>
      <c r="B1115" s="1" t="s">
        <v>61</v>
      </c>
      <c r="C1115">
        <v>27</v>
      </c>
      <c r="D1115" s="1" t="s">
        <v>30</v>
      </c>
      <c r="E1115" s="1" t="s">
        <v>17</v>
      </c>
      <c r="F1115" s="1" t="s">
        <v>18</v>
      </c>
      <c r="G1115" s="1" t="s">
        <v>19</v>
      </c>
      <c r="H1115" s="1" t="s">
        <v>20</v>
      </c>
      <c r="I1115" s="2">
        <v>44995</v>
      </c>
      <c r="J1115">
        <v>3886</v>
      </c>
      <c r="K1115" s="2">
        <v>45844</v>
      </c>
      <c r="L1115">
        <v>17766</v>
      </c>
      <c r="M1115">
        <v>21652</v>
      </c>
      <c r="N1115">
        <v>0</v>
      </c>
    </row>
    <row r="1116" spans="1:14" x14ac:dyDescent="0.3">
      <c r="A1116" s="1" t="s">
        <v>1161</v>
      </c>
      <c r="B1116" s="1" t="s">
        <v>43</v>
      </c>
      <c r="C1116">
        <v>61</v>
      </c>
      <c r="D1116" s="1" t="s">
        <v>16</v>
      </c>
      <c r="E1116" s="1" t="s">
        <v>38</v>
      </c>
      <c r="F1116" s="1" t="s">
        <v>18</v>
      </c>
      <c r="G1116" s="1" t="s">
        <v>41</v>
      </c>
      <c r="H1116" s="1" t="s">
        <v>20</v>
      </c>
      <c r="I1116" s="2">
        <v>45507</v>
      </c>
      <c r="J1116">
        <v>2174</v>
      </c>
      <c r="K1116" s="2">
        <v>45847</v>
      </c>
      <c r="L1116">
        <v>18354</v>
      </c>
      <c r="M1116">
        <v>20528</v>
      </c>
      <c r="N1116">
        <v>0</v>
      </c>
    </row>
    <row r="1117" spans="1:14" x14ac:dyDescent="0.3">
      <c r="A1117" s="1" t="s">
        <v>1162</v>
      </c>
      <c r="B1117" s="1" t="s">
        <v>27</v>
      </c>
      <c r="C1117">
        <v>19</v>
      </c>
      <c r="D1117" s="1" t="s">
        <v>16</v>
      </c>
      <c r="E1117" s="1" t="s">
        <v>38</v>
      </c>
      <c r="F1117" s="1" t="s">
        <v>25</v>
      </c>
      <c r="G1117" s="1" t="s">
        <v>19</v>
      </c>
      <c r="H1117" s="1" t="s">
        <v>20</v>
      </c>
      <c r="I1117" s="2">
        <v>44919</v>
      </c>
      <c r="J1117">
        <v>43245</v>
      </c>
      <c r="K1117" s="2">
        <v>45849</v>
      </c>
      <c r="L1117">
        <v>4630</v>
      </c>
      <c r="M1117">
        <v>47875</v>
      </c>
      <c r="N1117">
        <v>0</v>
      </c>
    </row>
    <row r="1118" spans="1:14" x14ac:dyDescent="0.3">
      <c r="A1118" s="1" t="s">
        <v>1163</v>
      </c>
      <c r="B1118" s="1" t="s">
        <v>69</v>
      </c>
      <c r="C1118">
        <v>30</v>
      </c>
      <c r="D1118" s="1" t="s">
        <v>16</v>
      </c>
      <c r="E1118" s="1" t="s">
        <v>38</v>
      </c>
      <c r="F1118" s="1" t="s">
        <v>25</v>
      </c>
      <c r="G1118" s="1" t="s">
        <v>19</v>
      </c>
      <c r="H1118" s="1" t="s">
        <v>20</v>
      </c>
      <c r="I1118" s="2">
        <v>44618</v>
      </c>
      <c r="J1118">
        <v>51477</v>
      </c>
      <c r="K1118" s="2">
        <v>45858</v>
      </c>
      <c r="L1118">
        <v>9916</v>
      </c>
      <c r="M1118">
        <v>61393</v>
      </c>
      <c r="N1118">
        <v>0</v>
      </c>
    </row>
    <row r="1119" spans="1:14" x14ac:dyDescent="0.3">
      <c r="A1119" s="1" t="s">
        <v>1164</v>
      </c>
      <c r="B1119" s="1" t="s">
        <v>75</v>
      </c>
      <c r="C1119">
        <v>57</v>
      </c>
      <c r="D1119" s="1" t="s">
        <v>23</v>
      </c>
      <c r="E1119" s="1" t="s">
        <v>24</v>
      </c>
      <c r="F1119" s="1" t="s">
        <v>18</v>
      </c>
      <c r="G1119" s="1" t="s">
        <v>19</v>
      </c>
      <c r="H1119" s="1" t="s">
        <v>20</v>
      </c>
      <c r="I1119" s="2">
        <v>44743</v>
      </c>
      <c r="J1119">
        <v>4105</v>
      </c>
      <c r="K1119" s="2">
        <v>45797</v>
      </c>
      <c r="L1119">
        <v>28008</v>
      </c>
      <c r="M1119">
        <v>32113</v>
      </c>
      <c r="N1119">
        <v>0</v>
      </c>
    </row>
    <row r="1120" spans="1:14" x14ac:dyDescent="0.3">
      <c r="A1120" s="1" t="s">
        <v>1165</v>
      </c>
      <c r="B1120" s="1" t="s">
        <v>34</v>
      </c>
      <c r="C1120">
        <v>19</v>
      </c>
      <c r="D1120" s="1" t="s">
        <v>23</v>
      </c>
      <c r="E1120" s="1" t="s">
        <v>38</v>
      </c>
      <c r="F1120" s="1" t="s">
        <v>25</v>
      </c>
      <c r="G1120" s="1" t="s">
        <v>19</v>
      </c>
      <c r="H1120" s="1" t="s">
        <v>20</v>
      </c>
      <c r="I1120" s="2">
        <v>44327</v>
      </c>
      <c r="J1120">
        <v>3191</v>
      </c>
      <c r="K1120" s="2">
        <v>45843</v>
      </c>
      <c r="L1120">
        <v>15238</v>
      </c>
      <c r="M1120">
        <v>18429</v>
      </c>
      <c r="N1120">
        <v>0</v>
      </c>
    </row>
    <row r="1121" spans="1:14" x14ac:dyDescent="0.3">
      <c r="A1121" s="1" t="s">
        <v>1166</v>
      </c>
      <c r="B1121" s="1" t="s">
        <v>61</v>
      </c>
      <c r="C1121">
        <v>37</v>
      </c>
      <c r="D1121" s="1" t="s">
        <v>23</v>
      </c>
      <c r="E1121" s="1" t="s">
        <v>24</v>
      </c>
      <c r="F1121" s="1" t="s">
        <v>18</v>
      </c>
      <c r="G1121" s="1" t="s">
        <v>19</v>
      </c>
      <c r="H1121" s="1" t="s">
        <v>20</v>
      </c>
      <c r="I1121" s="2">
        <v>45029</v>
      </c>
      <c r="J1121">
        <v>6952</v>
      </c>
      <c r="K1121" s="2">
        <v>45864</v>
      </c>
      <c r="L1121">
        <v>1706</v>
      </c>
      <c r="M1121">
        <v>8658</v>
      </c>
      <c r="N1121">
        <v>0</v>
      </c>
    </row>
    <row r="1122" spans="1:14" x14ac:dyDescent="0.3">
      <c r="A1122" s="1" t="s">
        <v>1167</v>
      </c>
      <c r="B1122" s="1" t="s">
        <v>61</v>
      </c>
      <c r="C1122">
        <v>18</v>
      </c>
      <c r="D1122" s="1" t="s">
        <v>16</v>
      </c>
      <c r="E1122" s="1" t="s">
        <v>24</v>
      </c>
      <c r="F1122" s="1" t="s">
        <v>25</v>
      </c>
      <c r="G1122" s="1" t="s">
        <v>19</v>
      </c>
      <c r="H1122" s="1" t="s">
        <v>20</v>
      </c>
      <c r="I1122" s="2">
        <v>44444</v>
      </c>
      <c r="J1122">
        <v>46761</v>
      </c>
      <c r="K1122" s="2">
        <v>45841</v>
      </c>
      <c r="L1122">
        <v>7107</v>
      </c>
      <c r="M1122">
        <v>53868</v>
      </c>
      <c r="N1122">
        <v>0</v>
      </c>
    </row>
    <row r="1123" spans="1:14" x14ac:dyDescent="0.3">
      <c r="A1123" s="1" t="s">
        <v>1168</v>
      </c>
      <c r="B1123" s="1" t="s">
        <v>43</v>
      </c>
      <c r="C1123">
        <v>54</v>
      </c>
      <c r="D1123" s="1" t="s">
        <v>16</v>
      </c>
      <c r="E1123" s="1" t="s">
        <v>24</v>
      </c>
      <c r="F1123" s="1" t="s">
        <v>25</v>
      </c>
      <c r="G1123" s="1" t="s">
        <v>41</v>
      </c>
      <c r="H1123" s="1" t="s">
        <v>20</v>
      </c>
      <c r="I1123" s="2">
        <v>45554</v>
      </c>
      <c r="J1123">
        <v>8860</v>
      </c>
      <c r="K1123" s="2">
        <v>45858</v>
      </c>
      <c r="L1123">
        <v>4203</v>
      </c>
      <c r="M1123">
        <v>13063</v>
      </c>
      <c r="N1123">
        <v>0</v>
      </c>
    </row>
    <row r="1124" spans="1:14" x14ac:dyDescent="0.3">
      <c r="A1124" s="1" t="s">
        <v>1169</v>
      </c>
      <c r="B1124" s="1" t="s">
        <v>61</v>
      </c>
      <c r="C1124">
        <v>26</v>
      </c>
      <c r="D1124" s="1" t="s">
        <v>23</v>
      </c>
      <c r="E1124" s="1" t="s">
        <v>17</v>
      </c>
      <c r="F1124" s="1" t="s">
        <v>18</v>
      </c>
      <c r="G1124" s="1" t="s">
        <v>41</v>
      </c>
      <c r="H1124" s="1" t="s">
        <v>20</v>
      </c>
      <c r="I1124" s="2">
        <v>44900</v>
      </c>
      <c r="J1124">
        <v>14687</v>
      </c>
      <c r="K1124" s="2">
        <v>45839</v>
      </c>
      <c r="L1124">
        <v>26069</v>
      </c>
      <c r="M1124">
        <v>40756</v>
      </c>
      <c r="N1124">
        <v>0</v>
      </c>
    </row>
    <row r="1125" spans="1:14" x14ac:dyDescent="0.3">
      <c r="A1125" s="1" t="s">
        <v>1170</v>
      </c>
      <c r="B1125" s="1" t="s">
        <v>15</v>
      </c>
      <c r="C1125">
        <v>34</v>
      </c>
      <c r="D1125" s="1" t="s">
        <v>16</v>
      </c>
      <c r="E1125" s="1" t="s">
        <v>17</v>
      </c>
      <c r="F1125" s="1" t="s">
        <v>18</v>
      </c>
      <c r="G1125" s="1" t="s">
        <v>19</v>
      </c>
      <c r="H1125" s="1" t="s">
        <v>20</v>
      </c>
      <c r="I1125" s="2">
        <v>45476</v>
      </c>
      <c r="J1125">
        <v>18489</v>
      </c>
      <c r="K1125" s="2">
        <v>45861</v>
      </c>
      <c r="L1125">
        <v>-3984</v>
      </c>
      <c r="M1125">
        <v>14505</v>
      </c>
      <c r="N1125">
        <v>0</v>
      </c>
    </row>
    <row r="1126" spans="1:14" x14ac:dyDescent="0.3">
      <c r="A1126" s="1" t="s">
        <v>1171</v>
      </c>
      <c r="B1126" s="1" t="s">
        <v>87</v>
      </c>
      <c r="C1126">
        <v>26</v>
      </c>
      <c r="D1126" s="1" t="s">
        <v>16</v>
      </c>
      <c r="E1126" s="1" t="s">
        <v>38</v>
      </c>
      <c r="F1126" s="1" t="s">
        <v>25</v>
      </c>
      <c r="G1126" s="1" t="s">
        <v>19</v>
      </c>
      <c r="H1126" s="1" t="s">
        <v>20</v>
      </c>
      <c r="I1126" s="2">
        <v>45793</v>
      </c>
      <c r="J1126">
        <v>15896</v>
      </c>
      <c r="K1126" s="2">
        <v>45869</v>
      </c>
      <c r="L1126">
        <v>8727</v>
      </c>
      <c r="M1126">
        <v>24623</v>
      </c>
      <c r="N1126">
        <v>0</v>
      </c>
    </row>
    <row r="1127" spans="1:14" x14ac:dyDescent="0.3">
      <c r="A1127" s="1" t="s">
        <v>1172</v>
      </c>
      <c r="B1127" s="1" t="s">
        <v>34</v>
      </c>
      <c r="C1127">
        <v>28</v>
      </c>
      <c r="D1127" s="1" t="s">
        <v>23</v>
      </c>
      <c r="E1127" s="1" t="s">
        <v>17</v>
      </c>
      <c r="F1127" s="1" t="s">
        <v>25</v>
      </c>
      <c r="G1127" s="1" t="s">
        <v>19</v>
      </c>
      <c r="H1127" s="1" t="s">
        <v>49</v>
      </c>
      <c r="I1127" s="2">
        <v>45618</v>
      </c>
      <c r="J1127">
        <v>59520</v>
      </c>
      <c r="K1127" s="2">
        <v>45863</v>
      </c>
      <c r="L1127">
        <v>8738</v>
      </c>
      <c r="M1127">
        <v>68258</v>
      </c>
      <c r="N1127">
        <v>0</v>
      </c>
    </row>
    <row r="1128" spans="1:14" x14ac:dyDescent="0.3">
      <c r="A1128" s="1" t="s">
        <v>1173</v>
      </c>
      <c r="B1128" s="1" t="s">
        <v>40</v>
      </c>
      <c r="C1128">
        <v>32</v>
      </c>
      <c r="D1128" s="1" t="s">
        <v>23</v>
      </c>
      <c r="E1128" s="1" t="s">
        <v>24</v>
      </c>
      <c r="F1128" s="1" t="s">
        <v>18</v>
      </c>
      <c r="G1128" s="1" t="s">
        <v>19</v>
      </c>
      <c r="H1128" s="1" t="s">
        <v>20</v>
      </c>
      <c r="I1128" s="2">
        <v>45788</v>
      </c>
      <c r="J1128">
        <v>6504</v>
      </c>
      <c r="K1128" s="2">
        <v>45869</v>
      </c>
      <c r="L1128">
        <v>-3685</v>
      </c>
      <c r="M1128">
        <v>2819</v>
      </c>
      <c r="N1128">
        <v>0</v>
      </c>
    </row>
    <row r="1129" spans="1:14" x14ac:dyDescent="0.3">
      <c r="A1129" s="1" t="s">
        <v>1174</v>
      </c>
      <c r="B1129" s="1" t="s">
        <v>69</v>
      </c>
      <c r="C1129">
        <v>41</v>
      </c>
      <c r="D1129" s="1" t="s">
        <v>16</v>
      </c>
      <c r="E1129" s="1" t="s">
        <v>24</v>
      </c>
      <c r="F1129" s="1" t="s">
        <v>25</v>
      </c>
      <c r="G1129" s="1" t="s">
        <v>19</v>
      </c>
      <c r="H1129" s="1" t="s">
        <v>20</v>
      </c>
      <c r="I1129" s="2">
        <v>45147</v>
      </c>
      <c r="J1129">
        <v>12062</v>
      </c>
      <c r="K1129" s="2">
        <v>45833</v>
      </c>
      <c r="L1129">
        <v>2432</v>
      </c>
      <c r="M1129">
        <v>14494</v>
      </c>
      <c r="N1129">
        <v>0</v>
      </c>
    </row>
    <row r="1130" spans="1:14" x14ac:dyDescent="0.3">
      <c r="A1130" s="1" t="s">
        <v>1175</v>
      </c>
      <c r="B1130" s="1" t="s">
        <v>29</v>
      </c>
      <c r="C1130">
        <v>55</v>
      </c>
      <c r="D1130" s="1" t="s">
        <v>23</v>
      </c>
      <c r="E1130" s="1" t="s">
        <v>38</v>
      </c>
      <c r="F1130" s="1" t="s">
        <v>25</v>
      </c>
      <c r="G1130" s="1" t="s">
        <v>19</v>
      </c>
      <c r="H1130" s="1" t="s">
        <v>20</v>
      </c>
      <c r="I1130" s="2">
        <v>44473</v>
      </c>
      <c r="J1130">
        <v>16855</v>
      </c>
      <c r="K1130" s="2">
        <v>45869</v>
      </c>
      <c r="L1130">
        <v>27958</v>
      </c>
      <c r="M1130">
        <v>44813</v>
      </c>
      <c r="N1130">
        <v>0</v>
      </c>
    </row>
    <row r="1131" spans="1:14" x14ac:dyDescent="0.3">
      <c r="A1131" s="1" t="s">
        <v>1176</v>
      </c>
      <c r="B1131" s="1" t="s">
        <v>64</v>
      </c>
      <c r="C1131">
        <v>52</v>
      </c>
      <c r="D1131" s="1" t="s">
        <v>23</v>
      </c>
      <c r="E1131" s="1" t="s">
        <v>35</v>
      </c>
      <c r="F1131" s="1" t="s">
        <v>18</v>
      </c>
      <c r="G1131" s="1" t="s">
        <v>19</v>
      </c>
      <c r="H1131" s="1" t="s">
        <v>20</v>
      </c>
      <c r="I1131" s="2">
        <v>45761</v>
      </c>
      <c r="J1131">
        <v>12721</v>
      </c>
      <c r="K1131" s="2">
        <v>45868</v>
      </c>
      <c r="L1131">
        <v>14173</v>
      </c>
      <c r="M1131">
        <v>26894</v>
      </c>
      <c r="N1131">
        <v>0</v>
      </c>
    </row>
    <row r="1132" spans="1:14" x14ac:dyDescent="0.3">
      <c r="A1132" s="1" t="s">
        <v>1177</v>
      </c>
      <c r="B1132" s="1" t="s">
        <v>56</v>
      </c>
      <c r="C1132">
        <v>47</v>
      </c>
      <c r="D1132" s="1" t="s">
        <v>16</v>
      </c>
      <c r="E1132" s="1" t="s">
        <v>38</v>
      </c>
      <c r="F1132" s="1" t="s">
        <v>25</v>
      </c>
      <c r="G1132" s="1" t="s">
        <v>19</v>
      </c>
      <c r="H1132" s="1" t="s">
        <v>20</v>
      </c>
      <c r="I1132" s="2">
        <v>45650</v>
      </c>
      <c r="J1132">
        <v>3948</v>
      </c>
      <c r="K1132" s="2">
        <v>45862</v>
      </c>
      <c r="L1132">
        <v>9042</v>
      </c>
      <c r="M1132">
        <v>12990</v>
      </c>
      <c r="N1132">
        <v>0</v>
      </c>
    </row>
    <row r="1133" spans="1:14" x14ac:dyDescent="0.3">
      <c r="A1133" s="1" t="s">
        <v>1178</v>
      </c>
      <c r="B1133" s="1" t="s">
        <v>29</v>
      </c>
      <c r="C1133">
        <v>48</v>
      </c>
      <c r="D1133" s="1" t="s">
        <v>16</v>
      </c>
      <c r="E1133" s="1" t="s">
        <v>24</v>
      </c>
      <c r="F1133" s="1" t="s">
        <v>18</v>
      </c>
      <c r="G1133" s="1" t="s">
        <v>19</v>
      </c>
      <c r="H1133" s="1" t="s">
        <v>20</v>
      </c>
      <c r="I1133" s="2">
        <v>45643</v>
      </c>
      <c r="J1133">
        <v>3064</v>
      </c>
      <c r="K1133" s="2">
        <v>45836</v>
      </c>
      <c r="L1133">
        <v>-4612</v>
      </c>
      <c r="M1133">
        <v>-1548</v>
      </c>
      <c r="N1133">
        <v>0</v>
      </c>
    </row>
    <row r="1134" spans="1:14" x14ac:dyDescent="0.3">
      <c r="A1134" s="1" t="s">
        <v>1179</v>
      </c>
      <c r="B1134" s="1" t="s">
        <v>32</v>
      </c>
      <c r="C1134">
        <v>66</v>
      </c>
      <c r="D1134" s="1" t="s">
        <v>16</v>
      </c>
      <c r="E1134" s="1" t="s">
        <v>17</v>
      </c>
      <c r="F1134" s="1" t="s">
        <v>25</v>
      </c>
      <c r="G1134" s="1" t="s">
        <v>19</v>
      </c>
      <c r="H1134" s="1" t="s">
        <v>20</v>
      </c>
      <c r="I1134" s="2">
        <v>45356</v>
      </c>
      <c r="J1134">
        <v>3000</v>
      </c>
      <c r="K1134" s="2">
        <v>45837</v>
      </c>
      <c r="L1134">
        <v>13217</v>
      </c>
      <c r="M1134">
        <v>16217</v>
      </c>
      <c r="N1134">
        <v>0</v>
      </c>
    </row>
    <row r="1135" spans="1:14" x14ac:dyDescent="0.3">
      <c r="A1135" s="1" t="s">
        <v>1180</v>
      </c>
      <c r="B1135" s="1" t="s">
        <v>37</v>
      </c>
      <c r="C1135">
        <v>22</v>
      </c>
      <c r="D1135" s="1" t="s">
        <v>23</v>
      </c>
      <c r="E1135" s="1" t="s">
        <v>24</v>
      </c>
      <c r="F1135" s="1" t="s">
        <v>18</v>
      </c>
      <c r="G1135" s="1" t="s">
        <v>19</v>
      </c>
      <c r="H1135" s="1" t="s">
        <v>20</v>
      </c>
      <c r="I1135" s="2">
        <v>45242</v>
      </c>
      <c r="J1135">
        <v>27619</v>
      </c>
      <c r="K1135" s="2">
        <v>45867</v>
      </c>
      <c r="L1135">
        <v>-24</v>
      </c>
      <c r="M1135">
        <v>27595</v>
      </c>
      <c r="N1135">
        <v>0</v>
      </c>
    </row>
    <row r="1136" spans="1:14" x14ac:dyDescent="0.3">
      <c r="A1136" s="1" t="s">
        <v>1181</v>
      </c>
      <c r="B1136" s="1" t="s">
        <v>40</v>
      </c>
      <c r="C1136">
        <v>61</v>
      </c>
      <c r="D1136" s="1" t="s">
        <v>23</v>
      </c>
      <c r="E1136" s="1" t="s">
        <v>17</v>
      </c>
      <c r="F1136" s="1" t="s">
        <v>18</v>
      </c>
      <c r="G1136" s="1" t="s">
        <v>19</v>
      </c>
      <c r="H1136" s="1" t="s">
        <v>20</v>
      </c>
      <c r="I1136" s="2">
        <v>44221</v>
      </c>
      <c r="J1136">
        <v>5882</v>
      </c>
      <c r="K1136" s="2">
        <v>45763</v>
      </c>
      <c r="L1136">
        <v>-4817</v>
      </c>
      <c r="M1136">
        <v>1065</v>
      </c>
      <c r="N1136">
        <v>0</v>
      </c>
    </row>
    <row r="1137" spans="1:14" x14ac:dyDescent="0.3">
      <c r="A1137" s="1" t="s">
        <v>1182</v>
      </c>
      <c r="B1137" s="1" t="s">
        <v>79</v>
      </c>
      <c r="C1137">
        <v>67</v>
      </c>
      <c r="D1137" s="1" t="s">
        <v>16</v>
      </c>
      <c r="E1137" s="1" t="s">
        <v>17</v>
      </c>
      <c r="F1137" s="1" t="s">
        <v>18</v>
      </c>
      <c r="G1137" s="1" t="s">
        <v>19</v>
      </c>
      <c r="H1137" s="1" t="s">
        <v>20</v>
      </c>
      <c r="I1137" s="2">
        <v>45448</v>
      </c>
      <c r="J1137">
        <v>21360</v>
      </c>
      <c r="K1137" s="2">
        <v>45869</v>
      </c>
      <c r="L1137">
        <v>-4397</v>
      </c>
      <c r="M1137">
        <v>16963</v>
      </c>
      <c r="N1137">
        <v>0</v>
      </c>
    </row>
    <row r="1138" spans="1:14" x14ac:dyDescent="0.3">
      <c r="A1138" s="1" t="s">
        <v>1183</v>
      </c>
      <c r="B1138" s="1" t="s">
        <v>87</v>
      </c>
      <c r="C1138">
        <v>31</v>
      </c>
      <c r="D1138" s="1" t="s">
        <v>16</v>
      </c>
      <c r="E1138" s="1" t="s">
        <v>24</v>
      </c>
      <c r="F1138" s="1" t="s">
        <v>25</v>
      </c>
      <c r="G1138" s="1" t="s">
        <v>19</v>
      </c>
      <c r="H1138" s="1" t="s">
        <v>20</v>
      </c>
      <c r="I1138" s="2">
        <v>44350</v>
      </c>
      <c r="J1138">
        <v>14570</v>
      </c>
      <c r="K1138" s="2">
        <v>45816</v>
      </c>
      <c r="L1138">
        <v>24722</v>
      </c>
      <c r="M1138">
        <v>39292</v>
      </c>
      <c r="N1138">
        <v>0</v>
      </c>
    </row>
    <row r="1139" spans="1:14" x14ac:dyDescent="0.3">
      <c r="A1139" s="1" t="s">
        <v>1184</v>
      </c>
      <c r="B1139" s="1" t="s">
        <v>75</v>
      </c>
      <c r="C1139">
        <v>28</v>
      </c>
      <c r="D1139" s="1" t="s">
        <v>16</v>
      </c>
      <c r="E1139" s="1" t="s">
        <v>24</v>
      </c>
      <c r="F1139" s="1" t="s">
        <v>25</v>
      </c>
      <c r="G1139" s="1" t="s">
        <v>19</v>
      </c>
      <c r="H1139" s="1" t="s">
        <v>20</v>
      </c>
      <c r="I1139" s="2">
        <v>44631</v>
      </c>
      <c r="J1139">
        <v>5040</v>
      </c>
      <c r="K1139" s="2">
        <v>45851</v>
      </c>
      <c r="L1139">
        <v>19724</v>
      </c>
      <c r="M1139">
        <v>24764</v>
      </c>
      <c r="N1139">
        <v>0</v>
      </c>
    </row>
    <row r="1140" spans="1:14" x14ac:dyDescent="0.3">
      <c r="A1140" s="1" t="s">
        <v>1185</v>
      </c>
      <c r="B1140" s="1" t="s">
        <v>75</v>
      </c>
      <c r="C1140">
        <v>26</v>
      </c>
      <c r="D1140" s="1" t="s">
        <v>23</v>
      </c>
      <c r="E1140" s="1" t="s">
        <v>35</v>
      </c>
      <c r="F1140" s="1" t="s">
        <v>25</v>
      </c>
      <c r="G1140" s="1" t="s">
        <v>19</v>
      </c>
      <c r="H1140" s="1" t="s">
        <v>20</v>
      </c>
      <c r="I1140" s="2">
        <v>45119</v>
      </c>
      <c r="J1140">
        <v>5167</v>
      </c>
      <c r="K1140" s="2">
        <v>45828</v>
      </c>
      <c r="L1140">
        <v>-7914</v>
      </c>
      <c r="M1140">
        <v>-2747</v>
      </c>
      <c r="N1140">
        <v>0</v>
      </c>
    </row>
    <row r="1141" spans="1:14" x14ac:dyDescent="0.3">
      <c r="A1141" s="1" t="s">
        <v>1186</v>
      </c>
      <c r="B1141" s="1" t="s">
        <v>22</v>
      </c>
      <c r="C1141">
        <v>51</v>
      </c>
      <c r="D1141" s="1" t="s">
        <v>16</v>
      </c>
      <c r="E1141" s="1" t="s">
        <v>17</v>
      </c>
      <c r="F1141" s="1" t="s">
        <v>25</v>
      </c>
      <c r="G1141" s="1" t="s">
        <v>19</v>
      </c>
      <c r="H1141" s="1" t="s">
        <v>20</v>
      </c>
      <c r="I1141" s="2">
        <v>44952</v>
      </c>
      <c r="J1141">
        <v>15276</v>
      </c>
      <c r="K1141" s="2">
        <v>45852</v>
      </c>
      <c r="L1141">
        <v>13934</v>
      </c>
      <c r="M1141">
        <v>29210</v>
      </c>
      <c r="N1141">
        <v>0</v>
      </c>
    </row>
    <row r="1142" spans="1:14" x14ac:dyDescent="0.3">
      <c r="A1142" s="1" t="s">
        <v>1187</v>
      </c>
      <c r="B1142" s="1" t="s">
        <v>32</v>
      </c>
      <c r="C1142">
        <v>29</v>
      </c>
      <c r="D1142" s="1" t="s">
        <v>23</v>
      </c>
      <c r="E1142" s="1" t="s">
        <v>24</v>
      </c>
      <c r="F1142" s="1" t="s">
        <v>18</v>
      </c>
      <c r="G1142" s="1" t="s">
        <v>19</v>
      </c>
      <c r="H1142" s="1" t="s">
        <v>20</v>
      </c>
      <c r="I1142" s="2">
        <v>44223</v>
      </c>
      <c r="J1142">
        <v>14439</v>
      </c>
      <c r="K1142" s="2">
        <v>45826</v>
      </c>
      <c r="L1142">
        <v>11386</v>
      </c>
      <c r="M1142">
        <v>25825</v>
      </c>
      <c r="N1142">
        <v>0</v>
      </c>
    </row>
    <row r="1143" spans="1:14" x14ac:dyDescent="0.3">
      <c r="A1143" s="1" t="s">
        <v>1188</v>
      </c>
      <c r="B1143" s="1" t="s">
        <v>52</v>
      </c>
      <c r="C1143">
        <v>52</v>
      </c>
      <c r="D1143" s="1" t="s">
        <v>23</v>
      </c>
      <c r="E1143" s="1" t="s">
        <v>17</v>
      </c>
      <c r="F1143" s="1" t="s">
        <v>25</v>
      </c>
      <c r="G1143" s="1" t="s">
        <v>19</v>
      </c>
      <c r="H1143" s="1" t="s">
        <v>20</v>
      </c>
      <c r="I1143" s="2">
        <v>45575</v>
      </c>
      <c r="J1143">
        <v>21852</v>
      </c>
      <c r="K1143" s="2">
        <v>45850</v>
      </c>
      <c r="L1143">
        <v>36576</v>
      </c>
      <c r="M1143">
        <v>58428</v>
      </c>
      <c r="N1143">
        <v>0</v>
      </c>
    </row>
    <row r="1144" spans="1:14" x14ac:dyDescent="0.3">
      <c r="A1144" s="1" t="s">
        <v>1189</v>
      </c>
      <c r="B1144" s="1" t="s">
        <v>79</v>
      </c>
      <c r="C1144">
        <v>52</v>
      </c>
      <c r="D1144" s="1" t="s">
        <v>23</v>
      </c>
      <c r="E1144" s="1" t="s">
        <v>35</v>
      </c>
      <c r="F1144" s="1" t="s">
        <v>18</v>
      </c>
      <c r="G1144" s="1" t="s">
        <v>19</v>
      </c>
      <c r="H1144" s="1" t="s">
        <v>20</v>
      </c>
      <c r="I1144" s="2">
        <v>45667</v>
      </c>
      <c r="J1144">
        <v>8455</v>
      </c>
      <c r="K1144" s="2">
        <v>45863</v>
      </c>
      <c r="L1144">
        <v>9127</v>
      </c>
      <c r="M1144">
        <v>17582</v>
      </c>
      <c r="N1144">
        <v>0</v>
      </c>
    </row>
    <row r="1145" spans="1:14" x14ac:dyDescent="0.3">
      <c r="A1145" s="1" t="s">
        <v>1190</v>
      </c>
      <c r="B1145" s="1" t="s">
        <v>48</v>
      </c>
      <c r="C1145">
        <v>18</v>
      </c>
      <c r="D1145" s="1" t="s">
        <v>23</v>
      </c>
      <c r="E1145" s="1" t="s">
        <v>38</v>
      </c>
      <c r="F1145" s="1" t="s">
        <v>25</v>
      </c>
      <c r="G1145" s="1" t="s">
        <v>19</v>
      </c>
      <c r="H1145" s="1" t="s">
        <v>20</v>
      </c>
      <c r="I1145" s="2">
        <v>45337</v>
      </c>
      <c r="J1145">
        <v>5729</v>
      </c>
      <c r="K1145" s="2">
        <v>45852</v>
      </c>
      <c r="L1145">
        <v>19254</v>
      </c>
      <c r="M1145">
        <v>24983</v>
      </c>
      <c r="N1145">
        <v>0</v>
      </c>
    </row>
    <row r="1146" spans="1:14" x14ac:dyDescent="0.3">
      <c r="A1146" s="1" t="s">
        <v>1191</v>
      </c>
      <c r="B1146" s="1" t="s">
        <v>79</v>
      </c>
      <c r="C1146">
        <v>57</v>
      </c>
      <c r="D1146" s="1" t="s">
        <v>16</v>
      </c>
      <c r="E1146" s="1" t="s">
        <v>38</v>
      </c>
      <c r="F1146" s="1" t="s">
        <v>18</v>
      </c>
      <c r="G1146" s="1" t="s">
        <v>41</v>
      </c>
      <c r="H1146" s="1" t="s">
        <v>20</v>
      </c>
      <c r="I1146" s="2">
        <v>45102</v>
      </c>
      <c r="J1146">
        <v>14911</v>
      </c>
      <c r="K1146" s="2">
        <v>45807</v>
      </c>
      <c r="L1146">
        <v>11334</v>
      </c>
      <c r="M1146">
        <v>26245</v>
      </c>
      <c r="N1146">
        <v>0</v>
      </c>
    </row>
    <row r="1147" spans="1:14" x14ac:dyDescent="0.3">
      <c r="A1147" s="1" t="s">
        <v>1192</v>
      </c>
      <c r="B1147" s="1" t="s">
        <v>56</v>
      </c>
      <c r="C1147">
        <v>39</v>
      </c>
      <c r="D1147" s="1" t="s">
        <v>16</v>
      </c>
      <c r="E1147" s="1" t="s">
        <v>35</v>
      </c>
      <c r="F1147" s="1" t="s">
        <v>25</v>
      </c>
      <c r="G1147" s="1" t="s">
        <v>19</v>
      </c>
      <c r="H1147" s="1" t="s">
        <v>20</v>
      </c>
      <c r="I1147" s="2">
        <v>45804</v>
      </c>
      <c r="J1147">
        <v>55266</v>
      </c>
      <c r="K1147" s="2">
        <v>45867</v>
      </c>
      <c r="L1147">
        <v>-340</v>
      </c>
      <c r="M1147">
        <v>54926</v>
      </c>
      <c r="N1147">
        <v>0</v>
      </c>
    </row>
    <row r="1148" spans="1:14" x14ac:dyDescent="0.3">
      <c r="A1148" s="1" t="s">
        <v>1193</v>
      </c>
      <c r="B1148" s="1" t="s">
        <v>64</v>
      </c>
      <c r="C1148">
        <v>46</v>
      </c>
      <c r="D1148" s="1" t="s">
        <v>23</v>
      </c>
      <c r="E1148" s="1" t="s">
        <v>24</v>
      </c>
      <c r="F1148" s="1" t="s">
        <v>25</v>
      </c>
      <c r="G1148" s="1" t="s">
        <v>41</v>
      </c>
      <c r="H1148" s="1" t="s">
        <v>20</v>
      </c>
      <c r="I1148" s="2">
        <v>44397</v>
      </c>
      <c r="J1148">
        <v>2045</v>
      </c>
      <c r="K1148" s="2">
        <v>45839</v>
      </c>
      <c r="L1148">
        <v>38842</v>
      </c>
      <c r="M1148">
        <v>40887</v>
      </c>
      <c r="N1148">
        <v>0</v>
      </c>
    </row>
    <row r="1149" spans="1:14" x14ac:dyDescent="0.3">
      <c r="A1149" s="1" t="s">
        <v>1194</v>
      </c>
      <c r="B1149" s="1" t="s">
        <v>56</v>
      </c>
      <c r="C1149">
        <v>25</v>
      </c>
      <c r="D1149" s="1" t="s">
        <v>16</v>
      </c>
      <c r="E1149" s="1" t="s">
        <v>24</v>
      </c>
      <c r="F1149" s="1" t="s">
        <v>25</v>
      </c>
      <c r="G1149" s="1" t="s">
        <v>19</v>
      </c>
      <c r="H1149" s="1" t="s">
        <v>20</v>
      </c>
      <c r="I1149" s="2">
        <v>45431</v>
      </c>
      <c r="J1149">
        <v>6009</v>
      </c>
      <c r="K1149" s="2">
        <v>45839</v>
      </c>
      <c r="L1149">
        <v>26306</v>
      </c>
      <c r="M1149">
        <v>32315</v>
      </c>
      <c r="N1149">
        <v>0</v>
      </c>
    </row>
    <row r="1150" spans="1:14" x14ac:dyDescent="0.3">
      <c r="A1150" s="1" t="s">
        <v>1195</v>
      </c>
      <c r="B1150" s="1" t="s">
        <v>40</v>
      </c>
      <c r="C1150">
        <v>28</v>
      </c>
      <c r="D1150" s="1" t="s">
        <v>23</v>
      </c>
      <c r="E1150" s="1" t="s">
        <v>24</v>
      </c>
      <c r="F1150" s="1" t="s">
        <v>18</v>
      </c>
      <c r="G1150" s="1" t="s">
        <v>19</v>
      </c>
      <c r="H1150" s="1" t="s">
        <v>20</v>
      </c>
      <c r="I1150" s="2">
        <v>44411</v>
      </c>
      <c r="J1150">
        <v>24111</v>
      </c>
      <c r="K1150" s="2">
        <v>45863</v>
      </c>
      <c r="L1150">
        <v>5628</v>
      </c>
      <c r="M1150">
        <v>29739</v>
      </c>
      <c r="N1150">
        <v>0</v>
      </c>
    </row>
    <row r="1151" spans="1:14" x14ac:dyDescent="0.3">
      <c r="A1151" s="1" t="s">
        <v>1196</v>
      </c>
      <c r="B1151" s="1" t="s">
        <v>29</v>
      </c>
      <c r="C1151">
        <v>58</v>
      </c>
      <c r="D1151" s="1" t="s">
        <v>16</v>
      </c>
      <c r="E1151" s="1" t="s">
        <v>24</v>
      </c>
      <c r="F1151" s="1" t="s">
        <v>18</v>
      </c>
      <c r="G1151" s="1" t="s">
        <v>19</v>
      </c>
      <c r="H1151" s="1" t="s">
        <v>20</v>
      </c>
      <c r="I1151" s="2">
        <v>44835</v>
      </c>
      <c r="J1151">
        <v>16589</v>
      </c>
      <c r="K1151" s="2">
        <v>45794</v>
      </c>
      <c r="L1151">
        <v>28399</v>
      </c>
      <c r="M1151">
        <v>44988</v>
      </c>
      <c r="N1151">
        <v>0</v>
      </c>
    </row>
    <row r="1152" spans="1:14" x14ac:dyDescent="0.3">
      <c r="A1152" s="1" t="s">
        <v>1197</v>
      </c>
      <c r="B1152" s="1" t="s">
        <v>37</v>
      </c>
      <c r="C1152">
        <v>54</v>
      </c>
      <c r="D1152" s="1" t="s">
        <v>16</v>
      </c>
      <c r="E1152" s="1" t="s">
        <v>24</v>
      </c>
      <c r="F1152" s="1" t="s">
        <v>18</v>
      </c>
      <c r="G1152" s="1" t="s">
        <v>19</v>
      </c>
      <c r="H1152" s="1" t="s">
        <v>20</v>
      </c>
      <c r="I1152" s="2">
        <v>45176</v>
      </c>
      <c r="J1152">
        <v>24466</v>
      </c>
      <c r="K1152" s="2">
        <v>45847</v>
      </c>
      <c r="L1152">
        <v>-15888</v>
      </c>
      <c r="M1152">
        <v>8578</v>
      </c>
      <c r="N1152">
        <v>0</v>
      </c>
    </row>
    <row r="1153" spans="1:14" x14ac:dyDescent="0.3">
      <c r="A1153" s="1" t="s">
        <v>1198</v>
      </c>
      <c r="B1153" s="1" t="s">
        <v>87</v>
      </c>
      <c r="C1153">
        <v>31</v>
      </c>
      <c r="D1153" s="1" t="s">
        <v>23</v>
      </c>
      <c r="E1153" s="1" t="s">
        <v>24</v>
      </c>
      <c r="F1153" s="1" t="s">
        <v>25</v>
      </c>
      <c r="G1153" s="1" t="s">
        <v>19</v>
      </c>
      <c r="H1153" s="1" t="s">
        <v>20</v>
      </c>
      <c r="I1153" s="2">
        <v>45430</v>
      </c>
      <c r="J1153">
        <v>8694</v>
      </c>
      <c r="K1153" s="2">
        <v>45838</v>
      </c>
      <c r="L1153">
        <v>12808</v>
      </c>
      <c r="M1153">
        <v>21502</v>
      </c>
      <c r="N1153">
        <v>0</v>
      </c>
    </row>
    <row r="1154" spans="1:14" x14ac:dyDescent="0.3">
      <c r="A1154" s="1" t="s">
        <v>1199</v>
      </c>
      <c r="B1154" s="1" t="s">
        <v>15</v>
      </c>
      <c r="C1154">
        <v>47</v>
      </c>
      <c r="D1154" s="1" t="s">
        <v>16</v>
      </c>
      <c r="E1154" s="1" t="s">
        <v>35</v>
      </c>
      <c r="F1154" s="1" t="s">
        <v>18</v>
      </c>
      <c r="G1154" s="1" t="s">
        <v>19</v>
      </c>
      <c r="H1154" s="1" t="s">
        <v>20</v>
      </c>
      <c r="I1154" s="2">
        <v>44203</v>
      </c>
      <c r="J1154">
        <v>2665</v>
      </c>
      <c r="K1154" s="2">
        <v>45778</v>
      </c>
      <c r="L1154">
        <v>10577</v>
      </c>
      <c r="M1154">
        <v>13242</v>
      </c>
      <c r="N1154">
        <v>0</v>
      </c>
    </row>
    <row r="1155" spans="1:14" x14ac:dyDescent="0.3">
      <c r="A1155" s="1" t="s">
        <v>1200</v>
      </c>
      <c r="B1155" s="1" t="s">
        <v>29</v>
      </c>
      <c r="C1155">
        <v>52</v>
      </c>
      <c r="D1155" s="1" t="s">
        <v>23</v>
      </c>
      <c r="E1155" s="1" t="s">
        <v>35</v>
      </c>
      <c r="F1155" s="1" t="s">
        <v>25</v>
      </c>
      <c r="G1155" s="1" t="s">
        <v>19</v>
      </c>
      <c r="H1155" s="1" t="s">
        <v>20</v>
      </c>
      <c r="I1155" s="2">
        <v>44632</v>
      </c>
      <c r="J1155">
        <v>71075</v>
      </c>
      <c r="K1155" s="2">
        <v>45849</v>
      </c>
      <c r="L1155">
        <v>28038</v>
      </c>
      <c r="M1155">
        <v>99113</v>
      </c>
      <c r="N1155">
        <v>0</v>
      </c>
    </row>
    <row r="1156" spans="1:14" x14ac:dyDescent="0.3">
      <c r="A1156" s="1" t="s">
        <v>1201</v>
      </c>
      <c r="B1156" s="1" t="s">
        <v>61</v>
      </c>
      <c r="C1156">
        <v>38</v>
      </c>
      <c r="D1156" s="1" t="s">
        <v>23</v>
      </c>
      <c r="E1156" s="1" t="s">
        <v>38</v>
      </c>
      <c r="F1156" s="1" t="s">
        <v>18</v>
      </c>
      <c r="G1156" s="1" t="s">
        <v>19</v>
      </c>
      <c r="H1156" s="1" t="s">
        <v>20</v>
      </c>
      <c r="I1156" s="2">
        <v>45097</v>
      </c>
      <c r="J1156">
        <v>39491</v>
      </c>
      <c r="K1156" s="2">
        <v>45828</v>
      </c>
      <c r="L1156">
        <v>10035</v>
      </c>
      <c r="M1156">
        <v>49526</v>
      </c>
      <c r="N1156">
        <v>0</v>
      </c>
    </row>
    <row r="1157" spans="1:14" x14ac:dyDescent="0.3">
      <c r="A1157" s="1" t="s">
        <v>1202</v>
      </c>
      <c r="B1157" s="1" t="s">
        <v>64</v>
      </c>
      <c r="C1157">
        <v>54</v>
      </c>
      <c r="D1157" s="1" t="s">
        <v>23</v>
      </c>
      <c r="E1157" s="1" t="s">
        <v>38</v>
      </c>
      <c r="F1157" s="1" t="s">
        <v>18</v>
      </c>
      <c r="G1157" s="1" t="s">
        <v>19</v>
      </c>
      <c r="H1157" s="1" t="s">
        <v>49</v>
      </c>
      <c r="I1157" s="2">
        <v>45088</v>
      </c>
      <c r="J1157">
        <v>13041</v>
      </c>
      <c r="K1157" s="2">
        <v>45847</v>
      </c>
      <c r="L1157">
        <v>4321</v>
      </c>
      <c r="M1157">
        <v>17362</v>
      </c>
      <c r="N1157">
        <v>0</v>
      </c>
    </row>
    <row r="1158" spans="1:14" x14ac:dyDescent="0.3">
      <c r="A1158" s="1" t="s">
        <v>1203</v>
      </c>
      <c r="B1158" s="1" t="s">
        <v>40</v>
      </c>
      <c r="C1158">
        <v>22</v>
      </c>
      <c r="D1158" s="1" t="s">
        <v>16</v>
      </c>
      <c r="E1158" s="1" t="s">
        <v>38</v>
      </c>
      <c r="F1158" s="1" t="s">
        <v>25</v>
      </c>
      <c r="G1158" s="1" t="s">
        <v>19</v>
      </c>
      <c r="H1158" s="1" t="s">
        <v>20</v>
      </c>
      <c r="I1158" s="2">
        <v>45263</v>
      </c>
      <c r="J1158">
        <v>5758</v>
      </c>
      <c r="K1158" s="2">
        <v>45789</v>
      </c>
      <c r="L1158">
        <v>18039</v>
      </c>
      <c r="M1158">
        <v>23797</v>
      </c>
      <c r="N1158">
        <v>0</v>
      </c>
    </row>
    <row r="1159" spans="1:14" x14ac:dyDescent="0.3">
      <c r="A1159" s="1" t="s">
        <v>1204</v>
      </c>
      <c r="B1159" s="1" t="s">
        <v>75</v>
      </c>
      <c r="C1159">
        <v>36</v>
      </c>
      <c r="D1159" s="1" t="s">
        <v>16</v>
      </c>
      <c r="E1159" s="1" t="s">
        <v>17</v>
      </c>
      <c r="F1159" s="1" t="s">
        <v>18</v>
      </c>
      <c r="G1159" s="1" t="s">
        <v>19</v>
      </c>
      <c r="H1159" s="1" t="s">
        <v>20</v>
      </c>
      <c r="I1159" s="2">
        <v>44705</v>
      </c>
      <c r="J1159">
        <v>8180</v>
      </c>
      <c r="K1159" s="2">
        <v>45794</v>
      </c>
      <c r="L1159">
        <v>2063</v>
      </c>
      <c r="M1159">
        <v>10243</v>
      </c>
      <c r="N1159">
        <v>0</v>
      </c>
    </row>
    <row r="1160" spans="1:14" x14ac:dyDescent="0.3">
      <c r="A1160" s="1" t="s">
        <v>1205</v>
      </c>
      <c r="B1160" s="1" t="s">
        <v>32</v>
      </c>
      <c r="C1160">
        <v>31</v>
      </c>
      <c r="D1160" s="1" t="s">
        <v>23</v>
      </c>
      <c r="E1160" s="1" t="s">
        <v>17</v>
      </c>
      <c r="F1160" s="1" t="s">
        <v>25</v>
      </c>
      <c r="G1160" s="1" t="s">
        <v>19</v>
      </c>
      <c r="H1160" s="1" t="s">
        <v>20</v>
      </c>
      <c r="I1160" s="2">
        <v>45101</v>
      </c>
      <c r="J1160">
        <v>16799</v>
      </c>
      <c r="K1160" s="2">
        <v>45823</v>
      </c>
      <c r="L1160">
        <v>28053</v>
      </c>
      <c r="M1160">
        <v>44852</v>
      </c>
      <c r="N1160">
        <v>0</v>
      </c>
    </row>
    <row r="1161" spans="1:14" x14ac:dyDescent="0.3">
      <c r="A1161" s="1" t="s">
        <v>1206</v>
      </c>
      <c r="B1161" s="1" t="s">
        <v>22</v>
      </c>
      <c r="C1161">
        <v>43</v>
      </c>
      <c r="D1161" s="1" t="s">
        <v>16</v>
      </c>
      <c r="E1161" s="1" t="s">
        <v>38</v>
      </c>
      <c r="F1161" s="1" t="s">
        <v>25</v>
      </c>
      <c r="G1161" s="1" t="s">
        <v>19</v>
      </c>
      <c r="H1161" s="1" t="s">
        <v>20</v>
      </c>
      <c r="I1161" s="2">
        <v>44514</v>
      </c>
      <c r="J1161">
        <v>10388</v>
      </c>
      <c r="K1161" s="2">
        <v>45849</v>
      </c>
      <c r="L1161">
        <v>26388</v>
      </c>
      <c r="M1161">
        <v>36776</v>
      </c>
      <c r="N1161">
        <v>0</v>
      </c>
    </row>
    <row r="1162" spans="1:14" x14ac:dyDescent="0.3">
      <c r="A1162" s="1" t="s">
        <v>1207</v>
      </c>
      <c r="B1162" s="1" t="s">
        <v>69</v>
      </c>
      <c r="C1162">
        <v>21</v>
      </c>
      <c r="D1162" s="1" t="s">
        <v>16</v>
      </c>
      <c r="E1162" s="1" t="s">
        <v>38</v>
      </c>
      <c r="F1162" s="1" t="s">
        <v>18</v>
      </c>
      <c r="G1162" s="1" t="s">
        <v>41</v>
      </c>
      <c r="H1162" s="1" t="s">
        <v>20</v>
      </c>
      <c r="I1162" s="2">
        <v>44509</v>
      </c>
      <c r="J1162">
        <v>13167</v>
      </c>
      <c r="K1162" s="2">
        <v>45783</v>
      </c>
      <c r="L1162">
        <v>19246</v>
      </c>
      <c r="M1162">
        <v>32413</v>
      </c>
      <c r="N1162">
        <v>0</v>
      </c>
    </row>
    <row r="1163" spans="1:14" x14ac:dyDescent="0.3">
      <c r="A1163" s="1" t="s">
        <v>1208</v>
      </c>
      <c r="B1163" s="1" t="s">
        <v>48</v>
      </c>
      <c r="C1163">
        <v>42</v>
      </c>
      <c r="D1163" s="1" t="s">
        <v>16</v>
      </c>
      <c r="E1163" s="1" t="s">
        <v>17</v>
      </c>
      <c r="F1163" s="1" t="s">
        <v>18</v>
      </c>
      <c r="G1163" s="1" t="s">
        <v>19</v>
      </c>
      <c r="H1163" s="1" t="s">
        <v>20</v>
      </c>
      <c r="I1163" s="2">
        <v>45161</v>
      </c>
      <c r="J1163">
        <v>66845</v>
      </c>
      <c r="K1163" s="2">
        <v>45669</v>
      </c>
      <c r="L1163">
        <v>-325</v>
      </c>
      <c r="M1163">
        <v>66520</v>
      </c>
      <c r="N1163">
        <v>1</v>
      </c>
    </row>
    <row r="1164" spans="1:14" x14ac:dyDescent="0.3">
      <c r="A1164" s="1" t="s">
        <v>1209</v>
      </c>
      <c r="B1164" s="1" t="s">
        <v>27</v>
      </c>
      <c r="C1164">
        <v>62</v>
      </c>
      <c r="D1164" s="1" t="s">
        <v>16</v>
      </c>
      <c r="E1164" s="1" t="s">
        <v>35</v>
      </c>
      <c r="F1164" s="1" t="s">
        <v>18</v>
      </c>
      <c r="G1164" s="1" t="s">
        <v>19</v>
      </c>
      <c r="H1164" s="1" t="s">
        <v>20</v>
      </c>
      <c r="I1164" s="2">
        <v>45343</v>
      </c>
      <c r="J1164">
        <v>33647</v>
      </c>
      <c r="K1164" s="2">
        <v>45866</v>
      </c>
      <c r="L1164">
        <v>2518</v>
      </c>
      <c r="M1164">
        <v>36165</v>
      </c>
      <c r="N1164">
        <v>0</v>
      </c>
    </row>
    <row r="1165" spans="1:14" x14ac:dyDescent="0.3">
      <c r="A1165" s="1" t="s">
        <v>1210</v>
      </c>
      <c r="B1165" s="1" t="s">
        <v>75</v>
      </c>
      <c r="C1165">
        <v>59</v>
      </c>
      <c r="D1165" s="1" t="s">
        <v>16</v>
      </c>
      <c r="E1165" s="1" t="s">
        <v>17</v>
      </c>
      <c r="F1165" s="1" t="s">
        <v>18</v>
      </c>
      <c r="G1165" s="1" t="s">
        <v>19</v>
      </c>
      <c r="H1165" s="1" t="s">
        <v>20</v>
      </c>
      <c r="I1165" s="2">
        <v>44398</v>
      </c>
      <c r="J1165">
        <v>4143</v>
      </c>
      <c r="K1165" s="2">
        <v>45852</v>
      </c>
      <c r="L1165">
        <v>12698</v>
      </c>
      <c r="M1165">
        <v>16841</v>
      </c>
      <c r="N1165">
        <v>0</v>
      </c>
    </row>
    <row r="1166" spans="1:14" x14ac:dyDescent="0.3">
      <c r="A1166" s="1" t="s">
        <v>1211</v>
      </c>
      <c r="B1166" s="1" t="s">
        <v>59</v>
      </c>
      <c r="C1166">
        <v>42</v>
      </c>
      <c r="D1166" s="1" t="s">
        <v>23</v>
      </c>
      <c r="E1166" s="1" t="s">
        <v>24</v>
      </c>
      <c r="F1166" s="1" t="s">
        <v>25</v>
      </c>
      <c r="G1166" s="1" t="s">
        <v>19</v>
      </c>
      <c r="H1166" s="1" t="s">
        <v>20</v>
      </c>
      <c r="I1166" s="2">
        <v>44402</v>
      </c>
      <c r="J1166">
        <v>14428</v>
      </c>
      <c r="K1166" s="2">
        <v>45836</v>
      </c>
      <c r="L1166">
        <v>27122</v>
      </c>
      <c r="M1166">
        <v>41550</v>
      </c>
      <c r="N1166">
        <v>0</v>
      </c>
    </row>
    <row r="1167" spans="1:14" x14ac:dyDescent="0.3">
      <c r="A1167" s="1" t="s">
        <v>1212</v>
      </c>
      <c r="B1167" s="1" t="s">
        <v>48</v>
      </c>
      <c r="C1167">
        <v>35</v>
      </c>
      <c r="D1167" s="1" t="s">
        <v>23</v>
      </c>
      <c r="E1167" s="1" t="s">
        <v>38</v>
      </c>
      <c r="F1167" s="1" t="s">
        <v>18</v>
      </c>
      <c r="G1167" s="1" t="s">
        <v>19</v>
      </c>
      <c r="H1167" s="1" t="s">
        <v>20</v>
      </c>
      <c r="I1167" s="2">
        <v>45142</v>
      </c>
      <c r="J1167">
        <v>7940</v>
      </c>
      <c r="K1167" s="2">
        <v>45843</v>
      </c>
      <c r="L1167">
        <v>4789</v>
      </c>
      <c r="M1167">
        <v>12729</v>
      </c>
      <c r="N1167">
        <v>0</v>
      </c>
    </row>
    <row r="1168" spans="1:14" x14ac:dyDescent="0.3">
      <c r="A1168" s="1" t="s">
        <v>1213</v>
      </c>
      <c r="B1168" s="1" t="s">
        <v>79</v>
      </c>
      <c r="C1168">
        <v>57</v>
      </c>
      <c r="D1168" s="1" t="s">
        <v>30</v>
      </c>
      <c r="E1168" s="1" t="s">
        <v>17</v>
      </c>
      <c r="F1168" s="1" t="s">
        <v>18</v>
      </c>
      <c r="G1168" s="1" t="s">
        <v>41</v>
      </c>
      <c r="H1168" s="1" t="s">
        <v>49</v>
      </c>
      <c r="I1168" s="2">
        <v>44648</v>
      </c>
      <c r="J1168">
        <v>17997</v>
      </c>
      <c r="K1168" s="2">
        <v>45869</v>
      </c>
      <c r="L1168">
        <v>22448</v>
      </c>
      <c r="M1168">
        <v>40445</v>
      </c>
      <c r="N1168">
        <v>0</v>
      </c>
    </row>
    <row r="1169" spans="1:14" x14ac:dyDescent="0.3">
      <c r="A1169" s="1" t="s">
        <v>1214</v>
      </c>
      <c r="B1169" s="1" t="s">
        <v>29</v>
      </c>
      <c r="C1169">
        <v>25</v>
      </c>
      <c r="D1169" s="1" t="s">
        <v>23</v>
      </c>
      <c r="E1169" s="1" t="s">
        <v>17</v>
      </c>
      <c r="F1169" s="1" t="s">
        <v>18</v>
      </c>
      <c r="G1169" s="1" t="s">
        <v>19</v>
      </c>
      <c r="H1169" s="1" t="s">
        <v>20</v>
      </c>
      <c r="I1169" s="2">
        <v>44853</v>
      </c>
      <c r="J1169">
        <v>12540</v>
      </c>
      <c r="K1169" s="2">
        <v>45837</v>
      </c>
      <c r="L1169">
        <v>3613</v>
      </c>
      <c r="M1169">
        <v>16153</v>
      </c>
      <c r="N1169">
        <v>0</v>
      </c>
    </row>
    <row r="1170" spans="1:14" x14ac:dyDescent="0.3">
      <c r="A1170" s="1" t="s">
        <v>1215</v>
      </c>
      <c r="B1170" s="1" t="s">
        <v>61</v>
      </c>
      <c r="C1170">
        <v>56</v>
      </c>
      <c r="D1170" s="1" t="s">
        <v>30</v>
      </c>
      <c r="E1170" s="1" t="s">
        <v>24</v>
      </c>
      <c r="F1170" s="1" t="s">
        <v>18</v>
      </c>
      <c r="G1170" s="1" t="s">
        <v>19</v>
      </c>
      <c r="H1170" s="1" t="s">
        <v>20</v>
      </c>
      <c r="I1170" s="2">
        <v>44867</v>
      </c>
      <c r="J1170">
        <v>259808</v>
      </c>
      <c r="K1170" s="2">
        <v>45823</v>
      </c>
      <c r="L1170">
        <v>-16209</v>
      </c>
      <c r="M1170">
        <v>243599</v>
      </c>
      <c r="N1170">
        <v>0</v>
      </c>
    </row>
    <row r="1171" spans="1:14" x14ac:dyDescent="0.3">
      <c r="A1171" s="1" t="s">
        <v>1216</v>
      </c>
      <c r="B1171" s="1" t="s">
        <v>75</v>
      </c>
      <c r="C1171">
        <v>57</v>
      </c>
      <c r="D1171" s="1" t="s">
        <v>16</v>
      </c>
      <c r="E1171" s="1" t="s">
        <v>38</v>
      </c>
      <c r="F1171" s="1" t="s">
        <v>18</v>
      </c>
      <c r="G1171" s="1" t="s">
        <v>41</v>
      </c>
      <c r="H1171" s="1" t="s">
        <v>20</v>
      </c>
      <c r="I1171" s="2">
        <v>44495</v>
      </c>
      <c r="J1171">
        <v>20522</v>
      </c>
      <c r="K1171" s="2">
        <v>45841</v>
      </c>
      <c r="L1171">
        <v>35459</v>
      </c>
      <c r="M1171">
        <v>55981</v>
      </c>
      <c r="N1171">
        <v>0</v>
      </c>
    </row>
    <row r="1172" spans="1:14" x14ac:dyDescent="0.3">
      <c r="A1172" s="1" t="s">
        <v>1217</v>
      </c>
      <c r="B1172" s="1" t="s">
        <v>69</v>
      </c>
      <c r="C1172">
        <v>31</v>
      </c>
      <c r="D1172" s="1" t="s">
        <v>23</v>
      </c>
      <c r="E1172" s="1" t="s">
        <v>24</v>
      </c>
      <c r="F1172" s="1" t="s">
        <v>25</v>
      </c>
      <c r="G1172" s="1" t="s">
        <v>41</v>
      </c>
      <c r="H1172" s="1" t="s">
        <v>20</v>
      </c>
      <c r="I1172" s="2">
        <v>44199</v>
      </c>
      <c r="J1172">
        <v>11682</v>
      </c>
      <c r="K1172" s="2">
        <v>45869</v>
      </c>
      <c r="L1172">
        <v>19836</v>
      </c>
      <c r="M1172">
        <v>31518</v>
      </c>
      <c r="N1172">
        <v>0</v>
      </c>
    </row>
    <row r="1173" spans="1:14" x14ac:dyDescent="0.3">
      <c r="A1173" s="1" t="s">
        <v>1218</v>
      </c>
      <c r="B1173" s="1" t="s">
        <v>52</v>
      </c>
      <c r="C1173">
        <v>49</v>
      </c>
      <c r="D1173" s="1" t="s">
        <v>23</v>
      </c>
      <c r="E1173" s="1" t="s">
        <v>38</v>
      </c>
      <c r="F1173" s="1" t="s">
        <v>25</v>
      </c>
      <c r="G1173" s="1" t="s">
        <v>19</v>
      </c>
      <c r="H1173" s="1" t="s">
        <v>20</v>
      </c>
      <c r="I1173" s="2">
        <v>45624</v>
      </c>
      <c r="J1173">
        <v>84373</v>
      </c>
      <c r="K1173" s="2">
        <v>45857</v>
      </c>
      <c r="L1173">
        <v>10954</v>
      </c>
      <c r="M1173">
        <v>95327</v>
      </c>
      <c r="N1173">
        <v>0</v>
      </c>
    </row>
    <row r="1174" spans="1:14" x14ac:dyDescent="0.3">
      <c r="A1174" s="1" t="s">
        <v>1219</v>
      </c>
      <c r="B1174" s="1" t="s">
        <v>59</v>
      </c>
      <c r="C1174">
        <v>68</v>
      </c>
      <c r="D1174" s="1" t="s">
        <v>23</v>
      </c>
      <c r="E1174" s="1" t="s">
        <v>24</v>
      </c>
      <c r="F1174" s="1" t="s">
        <v>25</v>
      </c>
      <c r="G1174" s="1" t="s">
        <v>19</v>
      </c>
      <c r="H1174" s="1" t="s">
        <v>20</v>
      </c>
      <c r="I1174" s="2">
        <v>45393</v>
      </c>
      <c r="J1174">
        <v>16408</v>
      </c>
      <c r="K1174" s="2">
        <v>45860</v>
      </c>
      <c r="L1174">
        <v>41793</v>
      </c>
      <c r="M1174">
        <v>58201</v>
      </c>
      <c r="N1174">
        <v>0</v>
      </c>
    </row>
    <row r="1175" spans="1:14" x14ac:dyDescent="0.3">
      <c r="A1175" s="1" t="s">
        <v>1220</v>
      </c>
      <c r="B1175" s="1" t="s">
        <v>40</v>
      </c>
      <c r="C1175">
        <v>55</v>
      </c>
      <c r="D1175" s="1" t="s">
        <v>16</v>
      </c>
      <c r="E1175" s="1" t="s">
        <v>17</v>
      </c>
      <c r="F1175" s="1" t="s">
        <v>25</v>
      </c>
      <c r="G1175" s="1" t="s">
        <v>19</v>
      </c>
      <c r="H1175" s="1" t="s">
        <v>20</v>
      </c>
      <c r="I1175" s="2">
        <v>45352</v>
      </c>
      <c r="J1175">
        <v>2926</v>
      </c>
      <c r="K1175" s="2">
        <v>45846</v>
      </c>
      <c r="L1175">
        <v>2802</v>
      </c>
      <c r="M1175">
        <v>5728</v>
      </c>
      <c r="N1175">
        <v>0</v>
      </c>
    </row>
    <row r="1176" spans="1:14" x14ac:dyDescent="0.3">
      <c r="A1176" s="1" t="s">
        <v>1221</v>
      </c>
      <c r="B1176" s="1" t="s">
        <v>64</v>
      </c>
      <c r="C1176">
        <v>50</v>
      </c>
      <c r="D1176" s="1" t="s">
        <v>23</v>
      </c>
      <c r="E1176" s="1" t="s">
        <v>35</v>
      </c>
      <c r="F1176" s="1" t="s">
        <v>18</v>
      </c>
      <c r="G1176" s="1" t="s">
        <v>19</v>
      </c>
      <c r="H1176" s="1" t="s">
        <v>20</v>
      </c>
      <c r="I1176" s="2">
        <v>45111</v>
      </c>
      <c r="J1176">
        <v>11796</v>
      </c>
      <c r="K1176" s="2">
        <v>45856</v>
      </c>
      <c r="L1176">
        <v>5401</v>
      </c>
      <c r="M1176">
        <v>17197</v>
      </c>
      <c r="N1176">
        <v>0</v>
      </c>
    </row>
    <row r="1177" spans="1:14" x14ac:dyDescent="0.3">
      <c r="A1177" s="1" t="s">
        <v>1222</v>
      </c>
      <c r="B1177" s="1" t="s">
        <v>22</v>
      </c>
      <c r="C1177">
        <v>40</v>
      </c>
      <c r="D1177" s="1" t="s">
        <v>23</v>
      </c>
      <c r="E1177" s="1" t="s">
        <v>17</v>
      </c>
      <c r="F1177" s="1" t="s">
        <v>25</v>
      </c>
      <c r="G1177" s="1" t="s">
        <v>19</v>
      </c>
      <c r="H1177" s="1" t="s">
        <v>20</v>
      </c>
      <c r="I1177" s="2">
        <v>45369</v>
      </c>
      <c r="J1177">
        <v>24679</v>
      </c>
      <c r="K1177" s="2">
        <v>45869</v>
      </c>
      <c r="L1177">
        <v>298</v>
      </c>
      <c r="M1177">
        <v>24977</v>
      </c>
      <c r="N1177">
        <v>0</v>
      </c>
    </row>
    <row r="1178" spans="1:14" x14ac:dyDescent="0.3">
      <c r="A1178" s="1" t="s">
        <v>1223</v>
      </c>
      <c r="B1178" s="1" t="s">
        <v>43</v>
      </c>
      <c r="C1178">
        <v>32</v>
      </c>
      <c r="D1178" s="1" t="s">
        <v>23</v>
      </c>
      <c r="E1178" s="1" t="s">
        <v>35</v>
      </c>
      <c r="F1178" s="1" t="s">
        <v>18</v>
      </c>
      <c r="G1178" s="1" t="s">
        <v>19</v>
      </c>
      <c r="H1178" s="1" t="s">
        <v>20</v>
      </c>
      <c r="I1178" s="2">
        <v>45762</v>
      </c>
      <c r="J1178">
        <v>21688</v>
      </c>
      <c r="K1178" s="2">
        <v>45867</v>
      </c>
      <c r="L1178">
        <v>11915</v>
      </c>
      <c r="M1178">
        <v>33603</v>
      </c>
      <c r="N1178">
        <v>0</v>
      </c>
    </row>
    <row r="1179" spans="1:14" x14ac:dyDescent="0.3">
      <c r="A1179" s="1" t="s">
        <v>1224</v>
      </c>
      <c r="B1179" s="1" t="s">
        <v>64</v>
      </c>
      <c r="C1179">
        <v>50</v>
      </c>
      <c r="D1179" s="1" t="s">
        <v>23</v>
      </c>
      <c r="E1179" s="1" t="s">
        <v>24</v>
      </c>
      <c r="F1179" s="1" t="s">
        <v>18</v>
      </c>
      <c r="G1179" s="1" t="s">
        <v>41</v>
      </c>
      <c r="H1179" s="1" t="s">
        <v>20</v>
      </c>
      <c r="I1179" s="2">
        <v>45310</v>
      </c>
      <c r="J1179">
        <v>36504</v>
      </c>
      <c r="K1179" s="2">
        <v>45849</v>
      </c>
      <c r="L1179">
        <v>22205</v>
      </c>
      <c r="M1179">
        <v>58709</v>
      </c>
      <c r="N1179">
        <v>0</v>
      </c>
    </row>
    <row r="1180" spans="1:14" x14ac:dyDescent="0.3">
      <c r="A1180" s="1" t="s">
        <v>1225</v>
      </c>
      <c r="B1180" s="1" t="s">
        <v>71</v>
      </c>
      <c r="C1180">
        <v>42</v>
      </c>
      <c r="D1180" s="1" t="s">
        <v>16</v>
      </c>
      <c r="E1180" s="1" t="s">
        <v>35</v>
      </c>
      <c r="F1180" s="1" t="s">
        <v>18</v>
      </c>
      <c r="G1180" s="1" t="s">
        <v>19</v>
      </c>
      <c r="H1180" s="1" t="s">
        <v>20</v>
      </c>
      <c r="I1180" s="2">
        <v>44640</v>
      </c>
      <c r="J1180">
        <v>15580</v>
      </c>
      <c r="K1180" s="2">
        <v>45845</v>
      </c>
      <c r="L1180">
        <v>15951</v>
      </c>
      <c r="M1180">
        <v>31531</v>
      </c>
      <c r="N1180">
        <v>0</v>
      </c>
    </row>
    <row r="1181" spans="1:14" x14ac:dyDescent="0.3">
      <c r="A1181" s="1" t="s">
        <v>1226</v>
      </c>
      <c r="B1181" s="1" t="s">
        <v>34</v>
      </c>
      <c r="C1181">
        <v>34</v>
      </c>
      <c r="D1181" s="1" t="s">
        <v>23</v>
      </c>
      <c r="E1181" s="1" t="s">
        <v>17</v>
      </c>
      <c r="F1181" s="1" t="s">
        <v>18</v>
      </c>
      <c r="G1181" s="1" t="s">
        <v>19</v>
      </c>
      <c r="H1181" s="1" t="s">
        <v>20</v>
      </c>
      <c r="I1181" s="2">
        <v>45151</v>
      </c>
      <c r="J1181">
        <v>14518</v>
      </c>
      <c r="K1181" s="2">
        <v>45789</v>
      </c>
      <c r="L1181">
        <v>-12528</v>
      </c>
      <c r="M1181">
        <v>1990</v>
      </c>
      <c r="N1181">
        <v>0</v>
      </c>
    </row>
    <row r="1182" spans="1:14" x14ac:dyDescent="0.3">
      <c r="A1182" s="1" t="s">
        <v>1227</v>
      </c>
      <c r="B1182" s="1" t="s">
        <v>52</v>
      </c>
      <c r="C1182">
        <v>50</v>
      </c>
      <c r="D1182" s="1" t="s">
        <v>16</v>
      </c>
      <c r="E1182" s="1" t="s">
        <v>24</v>
      </c>
      <c r="F1182" s="1" t="s">
        <v>25</v>
      </c>
      <c r="G1182" s="1" t="s">
        <v>19</v>
      </c>
      <c r="H1182" s="1" t="s">
        <v>20</v>
      </c>
      <c r="I1182" s="2">
        <v>44937</v>
      </c>
      <c r="J1182">
        <v>3286</v>
      </c>
      <c r="K1182" s="2">
        <v>45860</v>
      </c>
      <c r="L1182">
        <v>7875</v>
      </c>
      <c r="M1182">
        <v>11161</v>
      </c>
      <c r="N1182">
        <v>0</v>
      </c>
    </row>
    <row r="1183" spans="1:14" x14ac:dyDescent="0.3">
      <c r="A1183" s="1" t="s">
        <v>1228</v>
      </c>
      <c r="B1183" s="1" t="s">
        <v>43</v>
      </c>
      <c r="C1183">
        <v>64</v>
      </c>
      <c r="D1183" s="1" t="s">
        <v>23</v>
      </c>
      <c r="E1183" s="1" t="s">
        <v>17</v>
      </c>
      <c r="F1183" s="1" t="s">
        <v>18</v>
      </c>
      <c r="G1183" s="1" t="s">
        <v>19</v>
      </c>
      <c r="H1183" s="1" t="s">
        <v>20</v>
      </c>
      <c r="I1183" s="2">
        <v>45127</v>
      </c>
      <c r="J1183">
        <v>61600</v>
      </c>
      <c r="K1183" s="2">
        <v>45846</v>
      </c>
      <c r="L1183">
        <v>13291</v>
      </c>
      <c r="M1183">
        <v>74891</v>
      </c>
      <c r="N1183">
        <v>0</v>
      </c>
    </row>
    <row r="1184" spans="1:14" x14ac:dyDescent="0.3">
      <c r="A1184" s="1" t="s">
        <v>1229</v>
      </c>
      <c r="B1184" s="1" t="s">
        <v>71</v>
      </c>
      <c r="C1184">
        <v>19</v>
      </c>
      <c r="D1184" s="1" t="s">
        <v>23</v>
      </c>
      <c r="E1184" s="1" t="s">
        <v>17</v>
      </c>
      <c r="F1184" s="1" t="s">
        <v>25</v>
      </c>
      <c r="G1184" s="1" t="s">
        <v>19</v>
      </c>
      <c r="H1184" s="1" t="s">
        <v>20</v>
      </c>
      <c r="I1184" s="2">
        <v>45062</v>
      </c>
      <c r="J1184">
        <v>9842</v>
      </c>
      <c r="K1184" s="2">
        <v>45817</v>
      </c>
      <c r="L1184">
        <v>-1498</v>
      </c>
      <c r="M1184">
        <v>8344</v>
      </c>
      <c r="N1184">
        <v>0</v>
      </c>
    </row>
    <row r="1185" spans="1:14" x14ac:dyDescent="0.3">
      <c r="A1185" s="1" t="s">
        <v>1230</v>
      </c>
      <c r="B1185" s="1" t="s">
        <v>71</v>
      </c>
      <c r="C1185">
        <v>31</v>
      </c>
      <c r="D1185" s="1" t="s">
        <v>16</v>
      </c>
      <c r="E1185" s="1" t="s">
        <v>24</v>
      </c>
      <c r="F1185" s="1" t="s">
        <v>18</v>
      </c>
      <c r="G1185" s="1" t="s">
        <v>41</v>
      </c>
      <c r="H1185" s="1" t="s">
        <v>20</v>
      </c>
      <c r="I1185" s="2">
        <v>45633</v>
      </c>
      <c r="J1185">
        <v>5016</v>
      </c>
      <c r="K1185" s="2">
        <v>45867</v>
      </c>
      <c r="L1185">
        <v>5768</v>
      </c>
      <c r="M1185">
        <v>10784</v>
      </c>
      <c r="N1185">
        <v>0</v>
      </c>
    </row>
    <row r="1186" spans="1:14" x14ac:dyDescent="0.3">
      <c r="A1186" s="1" t="s">
        <v>1231</v>
      </c>
      <c r="B1186" s="1" t="s">
        <v>56</v>
      </c>
      <c r="C1186">
        <v>57</v>
      </c>
      <c r="D1186" s="1" t="s">
        <v>23</v>
      </c>
      <c r="E1186" s="1" t="s">
        <v>17</v>
      </c>
      <c r="F1186" s="1" t="s">
        <v>18</v>
      </c>
      <c r="G1186" s="1" t="s">
        <v>19</v>
      </c>
      <c r="H1186" s="1" t="s">
        <v>20</v>
      </c>
      <c r="I1186" s="2">
        <v>45287</v>
      </c>
      <c r="J1186">
        <v>184962</v>
      </c>
      <c r="K1186" s="2">
        <v>45869</v>
      </c>
      <c r="L1186">
        <v>-3493</v>
      </c>
      <c r="M1186">
        <v>181469</v>
      </c>
      <c r="N1186">
        <v>0</v>
      </c>
    </row>
    <row r="1187" spans="1:14" x14ac:dyDescent="0.3">
      <c r="A1187" s="1" t="s">
        <v>1232</v>
      </c>
      <c r="B1187" s="1" t="s">
        <v>15</v>
      </c>
      <c r="C1187">
        <v>57</v>
      </c>
      <c r="D1187" s="1" t="s">
        <v>30</v>
      </c>
      <c r="E1187" s="1" t="s">
        <v>24</v>
      </c>
      <c r="F1187" s="1" t="s">
        <v>25</v>
      </c>
      <c r="G1187" s="1" t="s">
        <v>19</v>
      </c>
      <c r="H1187" s="1" t="s">
        <v>20</v>
      </c>
      <c r="I1187" s="2">
        <v>44512</v>
      </c>
      <c r="J1187">
        <v>71689</v>
      </c>
      <c r="K1187" s="2">
        <v>45853</v>
      </c>
      <c r="L1187">
        <v>18413</v>
      </c>
      <c r="M1187">
        <v>90102</v>
      </c>
      <c r="N1187">
        <v>0</v>
      </c>
    </row>
    <row r="1188" spans="1:14" x14ac:dyDescent="0.3">
      <c r="A1188" s="1" t="s">
        <v>1233</v>
      </c>
      <c r="B1188" s="1" t="s">
        <v>15</v>
      </c>
      <c r="C1188">
        <v>68</v>
      </c>
      <c r="D1188" s="1" t="s">
        <v>16</v>
      </c>
      <c r="E1188" s="1" t="s">
        <v>17</v>
      </c>
      <c r="F1188" s="1" t="s">
        <v>18</v>
      </c>
      <c r="G1188" s="1" t="s">
        <v>19</v>
      </c>
      <c r="H1188" s="1" t="s">
        <v>49</v>
      </c>
      <c r="I1188" s="2">
        <v>44302</v>
      </c>
      <c r="J1188">
        <v>8538</v>
      </c>
      <c r="K1188" s="2">
        <v>45836</v>
      </c>
      <c r="L1188">
        <v>15909</v>
      </c>
      <c r="M1188">
        <v>24447</v>
      </c>
      <c r="N1188">
        <v>0</v>
      </c>
    </row>
    <row r="1189" spans="1:14" x14ac:dyDescent="0.3">
      <c r="A1189" s="1" t="s">
        <v>1234</v>
      </c>
      <c r="B1189" s="1" t="s">
        <v>69</v>
      </c>
      <c r="C1189">
        <v>56</v>
      </c>
      <c r="D1189" s="1" t="s">
        <v>23</v>
      </c>
      <c r="E1189" s="1" t="s">
        <v>24</v>
      </c>
      <c r="F1189" s="1" t="s">
        <v>18</v>
      </c>
      <c r="G1189" s="1" t="s">
        <v>19</v>
      </c>
      <c r="H1189" s="1" t="s">
        <v>20</v>
      </c>
      <c r="I1189" s="2">
        <v>44906</v>
      </c>
      <c r="J1189">
        <v>2037</v>
      </c>
      <c r="K1189" s="2">
        <v>45853</v>
      </c>
      <c r="L1189">
        <v>11150</v>
      </c>
      <c r="M1189">
        <v>13187</v>
      </c>
      <c r="N1189">
        <v>0</v>
      </c>
    </row>
    <row r="1190" spans="1:14" x14ac:dyDescent="0.3">
      <c r="A1190" s="1" t="s">
        <v>1235</v>
      </c>
      <c r="B1190" s="1" t="s">
        <v>69</v>
      </c>
      <c r="C1190">
        <v>68</v>
      </c>
      <c r="D1190" s="1" t="s">
        <v>16</v>
      </c>
      <c r="E1190" s="1" t="s">
        <v>38</v>
      </c>
      <c r="F1190" s="1" t="s">
        <v>18</v>
      </c>
      <c r="G1190" s="1" t="s">
        <v>19</v>
      </c>
      <c r="H1190" s="1" t="s">
        <v>49</v>
      </c>
      <c r="I1190" s="2">
        <v>44223</v>
      </c>
      <c r="J1190">
        <v>6513</v>
      </c>
      <c r="K1190" s="2">
        <v>45687</v>
      </c>
      <c r="L1190">
        <v>8002</v>
      </c>
      <c r="M1190">
        <v>14515</v>
      </c>
      <c r="N1190">
        <v>1</v>
      </c>
    </row>
    <row r="1191" spans="1:14" x14ac:dyDescent="0.3">
      <c r="A1191" s="1" t="s">
        <v>1236</v>
      </c>
      <c r="B1191" s="1" t="s">
        <v>40</v>
      </c>
      <c r="C1191">
        <v>23</v>
      </c>
      <c r="D1191" s="1" t="s">
        <v>23</v>
      </c>
      <c r="E1191" s="1" t="s">
        <v>24</v>
      </c>
      <c r="F1191" s="1" t="s">
        <v>25</v>
      </c>
      <c r="G1191" s="1" t="s">
        <v>19</v>
      </c>
      <c r="H1191" s="1" t="s">
        <v>20</v>
      </c>
      <c r="I1191" s="2">
        <v>44729</v>
      </c>
      <c r="J1191">
        <v>64805</v>
      </c>
      <c r="K1191" s="2">
        <v>45747</v>
      </c>
      <c r="L1191">
        <v>7283</v>
      </c>
      <c r="M1191">
        <v>72088</v>
      </c>
      <c r="N1191">
        <v>0</v>
      </c>
    </row>
    <row r="1192" spans="1:14" x14ac:dyDescent="0.3">
      <c r="A1192" s="1" t="s">
        <v>1237</v>
      </c>
      <c r="B1192" s="1" t="s">
        <v>61</v>
      </c>
      <c r="C1192">
        <v>23</v>
      </c>
      <c r="D1192" s="1" t="s">
        <v>23</v>
      </c>
      <c r="E1192" s="1" t="s">
        <v>24</v>
      </c>
      <c r="F1192" s="1" t="s">
        <v>25</v>
      </c>
      <c r="G1192" s="1" t="s">
        <v>19</v>
      </c>
      <c r="H1192" s="1" t="s">
        <v>20</v>
      </c>
      <c r="I1192" s="2">
        <v>44812</v>
      </c>
      <c r="J1192">
        <v>15942</v>
      </c>
      <c r="K1192" s="2">
        <v>45845</v>
      </c>
      <c r="L1192">
        <v>55959</v>
      </c>
      <c r="M1192">
        <v>71901</v>
      </c>
      <c r="N1192">
        <v>0</v>
      </c>
    </row>
    <row r="1193" spans="1:14" x14ac:dyDescent="0.3">
      <c r="A1193" s="1" t="s">
        <v>1238</v>
      </c>
      <c r="B1193" s="1" t="s">
        <v>71</v>
      </c>
      <c r="C1193">
        <v>20</v>
      </c>
      <c r="D1193" s="1" t="s">
        <v>30</v>
      </c>
      <c r="E1193" s="1" t="s">
        <v>24</v>
      </c>
      <c r="F1193" s="1" t="s">
        <v>18</v>
      </c>
      <c r="G1193" s="1" t="s">
        <v>19</v>
      </c>
      <c r="H1193" s="1" t="s">
        <v>20</v>
      </c>
      <c r="I1193" s="2">
        <v>44825</v>
      </c>
      <c r="J1193">
        <v>3465</v>
      </c>
      <c r="K1193" s="2">
        <v>45829</v>
      </c>
      <c r="L1193">
        <v>12825</v>
      </c>
      <c r="M1193">
        <v>16290</v>
      </c>
      <c r="N1193">
        <v>0</v>
      </c>
    </row>
    <row r="1194" spans="1:14" x14ac:dyDescent="0.3">
      <c r="A1194" s="1" t="s">
        <v>1239</v>
      </c>
      <c r="B1194" s="1" t="s">
        <v>61</v>
      </c>
      <c r="C1194">
        <v>24</v>
      </c>
      <c r="D1194" s="1" t="s">
        <v>16</v>
      </c>
      <c r="E1194" s="1" t="s">
        <v>38</v>
      </c>
      <c r="F1194" s="1" t="s">
        <v>25</v>
      </c>
      <c r="G1194" s="1" t="s">
        <v>19</v>
      </c>
      <c r="H1194" s="1" t="s">
        <v>20</v>
      </c>
      <c r="I1194" s="2">
        <v>45835</v>
      </c>
      <c r="J1194">
        <v>29260</v>
      </c>
      <c r="K1194" s="2">
        <v>45867</v>
      </c>
      <c r="L1194">
        <v>17055</v>
      </c>
      <c r="M1194">
        <v>46315</v>
      </c>
      <c r="N1194">
        <v>0</v>
      </c>
    </row>
    <row r="1195" spans="1:14" x14ac:dyDescent="0.3">
      <c r="A1195" s="1" t="s">
        <v>1240</v>
      </c>
      <c r="B1195" s="1" t="s">
        <v>75</v>
      </c>
      <c r="C1195">
        <v>68</v>
      </c>
      <c r="D1195" s="1" t="s">
        <v>30</v>
      </c>
      <c r="E1195" s="1" t="s">
        <v>24</v>
      </c>
      <c r="F1195" s="1" t="s">
        <v>25</v>
      </c>
      <c r="G1195" s="1" t="s">
        <v>19</v>
      </c>
      <c r="H1195" s="1" t="s">
        <v>20</v>
      </c>
      <c r="I1195" s="2">
        <v>44705</v>
      </c>
      <c r="J1195">
        <v>10831</v>
      </c>
      <c r="K1195" s="2">
        <v>45780</v>
      </c>
      <c r="L1195">
        <v>14273</v>
      </c>
      <c r="M1195">
        <v>25104</v>
      </c>
      <c r="N1195">
        <v>0</v>
      </c>
    </row>
    <row r="1196" spans="1:14" x14ac:dyDescent="0.3">
      <c r="A1196" s="1" t="s">
        <v>1241</v>
      </c>
      <c r="B1196" s="1" t="s">
        <v>15</v>
      </c>
      <c r="C1196">
        <v>25</v>
      </c>
      <c r="D1196" s="1" t="s">
        <v>16</v>
      </c>
      <c r="E1196" s="1" t="s">
        <v>38</v>
      </c>
      <c r="F1196" s="1" t="s">
        <v>25</v>
      </c>
      <c r="G1196" s="1" t="s">
        <v>19</v>
      </c>
      <c r="H1196" s="1" t="s">
        <v>20</v>
      </c>
      <c r="I1196" s="2">
        <v>44640</v>
      </c>
      <c r="J1196">
        <v>6983</v>
      </c>
      <c r="K1196" s="2">
        <v>45840</v>
      </c>
      <c r="L1196">
        <v>38660</v>
      </c>
      <c r="M1196">
        <v>45643</v>
      </c>
      <c r="N1196">
        <v>0</v>
      </c>
    </row>
    <row r="1197" spans="1:14" x14ac:dyDescent="0.3">
      <c r="A1197" s="1" t="s">
        <v>1242</v>
      </c>
      <c r="B1197" s="1" t="s">
        <v>61</v>
      </c>
      <c r="C1197">
        <v>59</v>
      </c>
      <c r="D1197" s="1" t="s">
        <v>16</v>
      </c>
      <c r="E1197" s="1" t="s">
        <v>35</v>
      </c>
      <c r="F1197" s="1" t="s">
        <v>25</v>
      </c>
      <c r="G1197" s="1" t="s">
        <v>19</v>
      </c>
      <c r="H1197" s="1" t="s">
        <v>20</v>
      </c>
      <c r="I1197" s="2">
        <v>44413</v>
      </c>
      <c r="J1197">
        <v>7534</v>
      </c>
      <c r="K1197" s="2">
        <v>45766</v>
      </c>
      <c r="L1197">
        <v>607</v>
      </c>
      <c r="M1197">
        <v>8141</v>
      </c>
      <c r="N1197">
        <v>0</v>
      </c>
    </row>
    <row r="1198" spans="1:14" x14ac:dyDescent="0.3">
      <c r="A1198" s="1" t="s">
        <v>1243</v>
      </c>
      <c r="B1198" s="1" t="s">
        <v>69</v>
      </c>
      <c r="C1198">
        <v>69</v>
      </c>
      <c r="D1198" s="1" t="s">
        <v>23</v>
      </c>
      <c r="E1198" s="1" t="s">
        <v>38</v>
      </c>
      <c r="F1198" s="1" t="s">
        <v>18</v>
      </c>
      <c r="G1198" s="1" t="s">
        <v>19</v>
      </c>
      <c r="H1198" s="1" t="s">
        <v>20</v>
      </c>
      <c r="I1198" s="2">
        <v>45051</v>
      </c>
      <c r="J1198">
        <v>49335</v>
      </c>
      <c r="K1198" s="2">
        <v>45828</v>
      </c>
      <c r="L1198">
        <v>7722</v>
      </c>
      <c r="M1198">
        <v>57057</v>
      </c>
      <c r="N1198">
        <v>0</v>
      </c>
    </row>
    <row r="1199" spans="1:14" x14ac:dyDescent="0.3">
      <c r="A1199" s="1" t="s">
        <v>1244</v>
      </c>
      <c r="B1199" s="1" t="s">
        <v>29</v>
      </c>
      <c r="C1199">
        <v>32</v>
      </c>
      <c r="D1199" s="1" t="s">
        <v>23</v>
      </c>
      <c r="E1199" s="1" t="s">
        <v>24</v>
      </c>
      <c r="F1199" s="1" t="s">
        <v>25</v>
      </c>
      <c r="G1199" s="1" t="s">
        <v>19</v>
      </c>
      <c r="H1199" s="1" t="s">
        <v>20</v>
      </c>
      <c r="I1199" s="2">
        <v>44454</v>
      </c>
      <c r="J1199">
        <v>23078</v>
      </c>
      <c r="K1199" s="2">
        <v>45851</v>
      </c>
      <c r="L1199">
        <v>38781</v>
      </c>
      <c r="M1199">
        <v>61859</v>
      </c>
      <c r="N1199">
        <v>0</v>
      </c>
    </row>
    <row r="1200" spans="1:14" x14ac:dyDescent="0.3">
      <c r="A1200" s="1" t="s">
        <v>1245</v>
      </c>
      <c r="B1200" s="1" t="s">
        <v>56</v>
      </c>
      <c r="C1200">
        <v>64</v>
      </c>
      <c r="D1200" s="1" t="s">
        <v>16</v>
      </c>
      <c r="E1200" s="1" t="s">
        <v>24</v>
      </c>
      <c r="F1200" s="1" t="s">
        <v>18</v>
      </c>
      <c r="G1200" s="1" t="s">
        <v>19</v>
      </c>
      <c r="H1200" s="1" t="s">
        <v>20</v>
      </c>
      <c r="I1200" s="2">
        <v>45228</v>
      </c>
      <c r="J1200">
        <v>3023</v>
      </c>
      <c r="K1200" s="2">
        <v>45863</v>
      </c>
      <c r="L1200">
        <v>390</v>
      </c>
      <c r="M1200">
        <v>3413</v>
      </c>
      <c r="N1200">
        <v>0</v>
      </c>
    </row>
    <row r="1201" spans="1:14" x14ac:dyDescent="0.3">
      <c r="A1201" s="1" t="s">
        <v>1246</v>
      </c>
      <c r="B1201" s="1" t="s">
        <v>64</v>
      </c>
      <c r="C1201">
        <v>46</v>
      </c>
      <c r="D1201" s="1" t="s">
        <v>23</v>
      </c>
      <c r="E1201" s="1" t="s">
        <v>38</v>
      </c>
      <c r="F1201" s="1" t="s">
        <v>18</v>
      </c>
      <c r="G1201" s="1" t="s">
        <v>19</v>
      </c>
      <c r="H1201" s="1" t="s">
        <v>20</v>
      </c>
      <c r="I1201" s="2">
        <v>44456</v>
      </c>
      <c r="J1201">
        <v>19287</v>
      </c>
      <c r="K1201" s="2">
        <v>45865</v>
      </c>
      <c r="L1201">
        <v>14757</v>
      </c>
      <c r="M1201">
        <v>34044</v>
      </c>
      <c r="N1201">
        <v>0</v>
      </c>
    </row>
    <row r="1202" spans="1:14" x14ac:dyDescent="0.3">
      <c r="A1202" s="1" t="s">
        <v>1247</v>
      </c>
      <c r="B1202" s="1" t="s">
        <v>71</v>
      </c>
      <c r="C1202">
        <v>50</v>
      </c>
      <c r="D1202" s="1" t="s">
        <v>16</v>
      </c>
      <c r="E1202" s="1" t="s">
        <v>24</v>
      </c>
      <c r="F1202" s="1" t="s">
        <v>25</v>
      </c>
      <c r="G1202" s="1" t="s">
        <v>19</v>
      </c>
      <c r="H1202" s="1" t="s">
        <v>20</v>
      </c>
      <c r="I1202" s="2">
        <v>45161</v>
      </c>
      <c r="J1202">
        <v>14878</v>
      </c>
      <c r="K1202" s="2">
        <v>45852</v>
      </c>
      <c r="L1202">
        <v>10695</v>
      </c>
      <c r="M1202">
        <v>25573</v>
      </c>
      <c r="N1202">
        <v>0</v>
      </c>
    </row>
    <row r="1203" spans="1:14" x14ac:dyDescent="0.3">
      <c r="A1203" s="1" t="s">
        <v>1248</v>
      </c>
      <c r="B1203" s="1" t="s">
        <v>22</v>
      </c>
      <c r="C1203">
        <v>69</v>
      </c>
      <c r="D1203" s="1" t="s">
        <v>16</v>
      </c>
      <c r="E1203" s="1" t="s">
        <v>17</v>
      </c>
      <c r="F1203" s="1" t="s">
        <v>25</v>
      </c>
      <c r="G1203" s="1" t="s">
        <v>41</v>
      </c>
      <c r="H1203" s="1" t="s">
        <v>20</v>
      </c>
      <c r="I1203" s="2">
        <v>45579</v>
      </c>
      <c r="J1203">
        <v>8774</v>
      </c>
      <c r="K1203" s="2">
        <v>45850</v>
      </c>
      <c r="L1203">
        <v>-51</v>
      </c>
      <c r="M1203">
        <v>8723</v>
      </c>
      <c r="N1203">
        <v>0</v>
      </c>
    </row>
    <row r="1204" spans="1:14" x14ac:dyDescent="0.3">
      <c r="A1204" s="1" t="s">
        <v>1249</v>
      </c>
      <c r="B1204" s="1" t="s">
        <v>71</v>
      </c>
      <c r="C1204">
        <v>47</v>
      </c>
      <c r="D1204" s="1" t="s">
        <v>23</v>
      </c>
      <c r="E1204" s="1" t="s">
        <v>17</v>
      </c>
      <c r="F1204" s="1" t="s">
        <v>18</v>
      </c>
      <c r="G1204" s="1" t="s">
        <v>19</v>
      </c>
      <c r="H1204" s="1" t="s">
        <v>20</v>
      </c>
      <c r="I1204" s="2">
        <v>44268</v>
      </c>
      <c r="J1204">
        <v>9249</v>
      </c>
      <c r="K1204" s="2">
        <v>45804</v>
      </c>
      <c r="L1204">
        <v>16741</v>
      </c>
      <c r="M1204">
        <v>25990</v>
      </c>
      <c r="N1204">
        <v>0</v>
      </c>
    </row>
    <row r="1205" spans="1:14" x14ac:dyDescent="0.3">
      <c r="A1205" s="1" t="s">
        <v>1250</v>
      </c>
      <c r="B1205" s="1" t="s">
        <v>59</v>
      </c>
      <c r="C1205">
        <v>56</v>
      </c>
      <c r="D1205" s="1" t="s">
        <v>16</v>
      </c>
      <c r="E1205" s="1" t="s">
        <v>38</v>
      </c>
      <c r="F1205" s="1" t="s">
        <v>18</v>
      </c>
      <c r="G1205" s="1" t="s">
        <v>19</v>
      </c>
      <c r="H1205" s="1" t="s">
        <v>20</v>
      </c>
      <c r="I1205" s="2">
        <v>44899</v>
      </c>
      <c r="J1205">
        <v>5625</v>
      </c>
      <c r="K1205" s="2">
        <v>45800</v>
      </c>
      <c r="L1205">
        <v>-9915</v>
      </c>
      <c r="M1205">
        <v>-4290</v>
      </c>
      <c r="N1205">
        <v>0</v>
      </c>
    </row>
    <row r="1206" spans="1:14" x14ac:dyDescent="0.3">
      <c r="A1206" s="1" t="s">
        <v>1251</v>
      </c>
      <c r="B1206" s="1" t="s">
        <v>59</v>
      </c>
      <c r="C1206">
        <v>44</v>
      </c>
      <c r="D1206" s="1" t="s">
        <v>16</v>
      </c>
      <c r="E1206" s="1" t="s">
        <v>24</v>
      </c>
      <c r="F1206" s="1" t="s">
        <v>25</v>
      </c>
      <c r="G1206" s="1" t="s">
        <v>19</v>
      </c>
      <c r="H1206" s="1" t="s">
        <v>20</v>
      </c>
      <c r="I1206" s="2">
        <v>44968</v>
      </c>
      <c r="J1206">
        <v>6888</v>
      </c>
      <c r="K1206" s="2">
        <v>45865</v>
      </c>
      <c r="L1206">
        <v>24746</v>
      </c>
      <c r="M1206">
        <v>31634</v>
      </c>
      <c r="N1206">
        <v>0</v>
      </c>
    </row>
    <row r="1207" spans="1:14" x14ac:dyDescent="0.3">
      <c r="A1207" s="1" t="s">
        <v>1252</v>
      </c>
      <c r="B1207" s="1" t="s">
        <v>61</v>
      </c>
      <c r="C1207">
        <v>53</v>
      </c>
      <c r="D1207" s="1" t="s">
        <v>23</v>
      </c>
      <c r="E1207" s="1" t="s">
        <v>38</v>
      </c>
      <c r="F1207" s="1" t="s">
        <v>18</v>
      </c>
      <c r="G1207" s="1" t="s">
        <v>41</v>
      </c>
      <c r="H1207" s="1" t="s">
        <v>20</v>
      </c>
      <c r="I1207" s="2">
        <v>45520</v>
      </c>
      <c r="J1207">
        <v>17849</v>
      </c>
      <c r="K1207" s="2">
        <v>45867</v>
      </c>
      <c r="L1207">
        <v>4202</v>
      </c>
      <c r="M1207">
        <v>22051</v>
      </c>
      <c r="N1207">
        <v>0</v>
      </c>
    </row>
    <row r="1208" spans="1:14" x14ac:dyDescent="0.3">
      <c r="A1208" s="1" t="s">
        <v>1253</v>
      </c>
      <c r="B1208" s="1" t="s">
        <v>48</v>
      </c>
      <c r="C1208">
        <v>46</v>
      </c>
      <c r="D1208" s="1" t="s">
        <v>16</v>
      </c>
      <c r="E1208" s="1" t="s">
        <v>24</v>
      </c>
      <c r="F1208" s="1" t="s">
        <v>18</v>
      </c>
      <c r="G1208" s="1" t="s">
        <v>19</v>
      </c>
      <c r="H1208" s="1" t="s">
        <v>20</v>
      </c>
      <c r="I1208" s="2">
        <v>44979</v>
      </c>
      <c r="J1208">
        <v>10122</v>
      </c>
      <c r="K1208" s="2">
        <v>45846</v>
      </c>
      <c r="L1208">
        <v>-11220</v>
      </c>
      <c r="M1208">
        <v>-1098</v>
      </c>
      <c r="N1208">
        <v>0</v>
      </c>
    </row>
    <row r="1209" spans="1:14" x14ac:dyDescent="0.3">
      <c r="A1209" s="1" t="s">
        <v>1254</v>
      </c>
      <c r="B1209" s="1" t="s">
        <v>61</v>
      </c>
      <c r="C1209">
        <v>55</v>
      </c>
      <c r="D1209" s="1" t="s">
        <v>16</v>
      </c>
      <c r="E1209" s="1" t="s">
        <v>24</v>
      </c>
      <c r="F1209" s="1" t="s">
        <v>18</v>
      </c>
      <c r="G1209" s="1" t="s">
        <v>19</v>
      </c>
      <c r="H1209" s="1" t="s">
        <v>20</v>
      </c>
      <c r="I1209" s="2">
        <v>45146</v>
      </c>
      <c r="J1209">
        <v>23056</v>
      </c>
      <c r="K1209" s="2">
        <v>45793</v>
      </c>
      <c r="L1209">
        <v>9268</v>
      </c>
      <c r="M1209">
        <v>32324</v>
      </c>
      <c r="N1209">
        <v>0</v>
      </c>
    </row>
    <row r="1210" spans="1:14" x14ac:dyDescent="0.3">
      <c r="A1210" s="1" t="s">
        <v>1255</v>
      </c>
      <c r="B1210" s="1" t="s">
        <v>56</v>
      </c>
      <c r="C1210">
        <v>50</v>
      </c>
      <c r="D1210" s="1" t="s">
        <v>23</v>
      </c>
      <c r="E1210" s="1" t="s">
        <v>17</v>
      </c>
      <c r="F1210" s="1" t="s">
        <v>18</v>
      </c>
      <c r="G1210" s="1" t="s">
        <v>41</v>
      </c>
      <c r="H1210" s="1" t="s">
        <v>20</v>
      </c>
      <c r="I1210" s="2">
        <v>45520</v>
      </c>
      <c r="J1210">
        <v>6094</v>
      </c>
      <c r="K1210" s="2">
        <v>45856</v>
      </c>
      <c r="L1210">
        <v>16269</v>
      </c>
      <c r="M1210">
        <v>22363</v>
      </c>
      <c r="N1210">
        <v>0</v>
      </c>
    </row>
    <row r="1211" spans="1:14" x14ac:dyDescent="0.3">
      <c r="A1211" s="1" t="s">
        <v>1256</v>
      </c>
      <c r="B1211" s="1" t="s">
        <v>15</v>
      </c>
      <c r="C1211">
        <v>54</v>
      </c>
      <c r="D1211" s="1" t="s">
        <v>16</v>
      </c>
      <c r="E1211" s="1" t="s">
        <v>17</v>
      </c>
      <c r="F1211" s="1" t="s">
        <v>25</v>
      </c>
      <c r="G1211" s="1" t="s">
        <v>41</v>
      </c>
      <c r="H1211" s="1" t="s">
        <v>20</v>
      </c>
      <c r="I1211" s="2">
        <v>45133</v>
      </c>
      <c r="J1211">
        <v>27106</v>
      </c>
      <c r="K1211" s="2">
        <v>45853</v>
      </c>
      <c r="L1211">
        <v>16992</v>
      </c>
      <c r="M1211">
        <v>44098</v>
      </c>
      <c r="N1211">
        <v>0</v>
      </c>
    </row>
    <row r="1212" spans="1:14" x14ac:dyDescent="0.3">
      <c r="A1212" s="1" t="s">
        <v>1257</v>
      </c>
      <c r="B1212" s="1" t="s">
        <v>71</v>
      </c>
      <c r="C1212">
        <v>44</v>
      </c>
      <c r="D1212" s="1" t="s">
        <v>30</v>
      </c>
      <c r="E1212" s="1" t="s">
        <v>35</v>
      </c>
      <c r="F1212" s="1" t="s">
        <v>18</v>
      </c>
      <c r="G1212" s="1" t="s">
        <v>19</v>
      </c>
      <c r="H1212" s="1" t="s">
        <v>20</v>
      </c>
      <c r="I1212" s="2">
        <v>44796</v>
      </c>
      <c r="J1212">
        <v>49734</v>
      </c>
      <c r="K1212" s="2">
        <v>45866</v>
      </c>
      <c r="L1212">
        <v>-8426</v>
      </c>
      <c r="M1212">
        <v>41308</v>
      </c>
      <c r="N1212">
        <v>0</v>
      </c>
    </row>
    <row r="1213" spans="1:14" x14ac:dyDescent="0.3">
      <c r="A1213" s="1" t="s">
        <v>1258</v>
      </c>
      <c r="B1213" s="1" t="s">
        <v>37</v>
      </c>
      <c r="C1213">
        <v>50</v>
      </c>
      <c r="D1213" s="1" t="s">
        <v>23</v>
      </c>
      <c r="E1213" s="1" t="s">
        <v>38</v>
      </c>
      <c r="F1213" s="1" t="s">
        <v>25</v>
      </c>
      <c r="G1213" s="1" t="s">
        <v>19</v>
      </c>
      <c r="H1213" s="1" t="s">
        <v>20</v>
      </c>
      <c r="I1213" s="2">
        <v>44340</v>
      </c>
      <c r="J1213">
        <v>13269</v>
      </c>
      <c r="K1213" s="2">
        <v>45827</v>
      </c>
      <c r="L1213">
        <v>27900</v>
      </c>
      <c r="M1213">
        <v>41169</v>
      </c>
      <c r="N1213">
        <v>0</v>
      </c>
    </row>
    <row r="1214" spans="1:14" x14ac:dyDescent="0.3">
      <c r="A1214" s="1" t="s">
        <v>1259</v>
      </c>
      <c r="B1214" s="1" t="s">
        <v>52</v>
      </c>
      <c r="C1214">
        <v>21</v>
      </c>
      <c r="D1214" s="1" t="s">
        <v>16</v>
      </c>
      <c r="E1214" s="1" t="s">
        <v>38</v>
      </c>
      <c r="F1214" s="1" t="s">
        <v>18</v>
      </c>
      <c r="G1214" s="1" t="s">
        <v>19</v>
      </c>
      <c r="H1214" s="1" t="s">
        <v>20</v>
      </c>
      <c r="I1214" s="2">
        <v>45418</v>
      </c>
      <c r="J1214">
        <v>22486</v>
      </c>
      <c r="K1214" s="2">
        <v>45844</v>
      </c>
      <c r="L1214">
        <v>27551</v>
      </c>
      <c r="M1214">
        <v>50037</v>
      </c>
      <c r="N1214">
        <v>0</v>
      </c>
    </row>
    <row r="1215" spans="1:14" x14ac:dyDescent="0.3">
      <c r="A1215" s="1" t="s">
        <v>1260</v>
      </c>
      <c r="B1215" s="1" t="s">
        <v>40</v>
      </c>
      <c r="C1215">
        <v>39</v>
      </c>
      <c r="D1215" s="1" t="s">
        <v>23</v>
      </c>
      <c r="E1215" s="1" t="s">
        <v>24</v>
      </c>
      <c r="F1215" s="1" t="s">
        <v>25</v>
      </c>
      <c r="G1215" s="1" t="s">
        <v>19</v>
      </c>
      <c r="H1215" s="1" t="s">
        <v>20</v>
      </c>
      <c r="I1215" s="2">
        <v>45654</v>
      </c>
      <c r="J1215">
        <v>23380</v>
      </c>
      <c r="K1215" s="2">
        <v>45860</v>
      </c>
      <c r="L1215">
        <v>-5071</v>
      </c>
      <c r="M1215">
        <v>18309</v>
      </c>
      <c r="N1215">
        <v>0</v>
      </c>
    </row>
    <row r="1216" spans="1:14" x14ac:dyDescent="0.3">
      <c r="A1216" s="1" t="s">
        <v>1261</v>
      </c>
      <c r="B1216" s="1" t="s">
        <v>29</v>
      </c>
      <c r="C1216">
        <v>19</v>
      </c>
      <c r="D1216" s="1" t="s">
        <v>16</v>
      </c>
      <c r="E1216" s="1" t="s">
        <v>38</v>
      </c>
      <c r="F1216" s="1" t="s">
        <v>25</v>
      </c>
      <c r="G1216" s="1" t="s">
        <v>19</v>
      </c>
      <c r="H1216" s="1" t="s">
        <v>20</v>
      </c>
      <c r="I1216" s="2">
        <v>45819</v>
      </c>
      <c r="J1216">
        <v>8086</v>
      </c>
      <c r="K1216" s="2">
        <v>45867</v>
      </c>
      <c r="L1216">
        <v>7158</v>
      </c>
      <c r="M1216">
        <v>15244</v>
      </c>
      <c r="N1216">
        <v>0</v>
      </c>
    </row>
    <row r="1217" spans="1:14" x14ac:dyDescent="0.3">
      <c r="A1217" s="1" t="s">
        <v>1262</v>
      </c>
      <c r="B1217" s="1" t="s">
        <v>71</v>
      </c>
      <c r="C1217">
        <v>27</v>
      </c>
      <c r="D1217" s="1" t="s">
        <v>16</v>
      </c>
      <c r="E1217" s="1" t="s">
        <v>24</v>
      </c>
      <c r="F1217" s="1" t="s">
        <v>25</v>
      </c>
      <c r="G1217" s="1" t="s">
        <v>19</v>
      </c>
      <c r="H1217" s="1" t="s">
        <v>20</v>
      </c>
      <c r="I1217" s="2">
        <v>45747</v>
      </c>
      <c r="J1217">
        <v>23467</v>
      </c>
      <c r="K1217" s="2">
        <v>45856</v>
      </c>
      <c r="L1217">
        <v>14701</v>
      </c>
      <c r="M1217">
        <v>38168</v>
      </c>
      <c r="N1217">
        <v>0</v>
      </c>
    </row>
    <row r="1218" spans="1:14" x14ac:dyDescent="0.3">
      <c r="A1218" s="1" t="s">
        <v>1263</v>
      </c>
      <c r="B1218" s="1" t="s">
        <v>48</v>
      </c>
      <c r="C1218">
        <v>22</v>
      </c>
      <c r="D1218" s="1" t="s">
        <v>23</v>
      </c>
      <c r="E1218" s="1" t="s">
        <v>24</v>
      </c>
      <c r="F1218" s="1" t="s">
        <v>25</v>
      </c>
      <c r="G1218" s="1" t="s">
        <v>19</v>
      </c>
      <c r="H1218" s="1" t="s">
        <v>20</v>
      </c>
      <c r="I1218" s="2">
        <v>45531</v>
      </c>
      <c r="J1218">
        <v>1382</v>
      </c>
      <c r="K1218" s="2">
        <v>45852</v>
      </c>
      <c r="L1218">
        <v>5659</v>
      </c>
      <c r="M1218">
        <v>7041</v>
      </c>
      <c r="N1218">
        <v>0</v>
      </c>
    </row>
    <row r="1219" spans="1:14" x14ac:dyDescent="0.3">
      <c r="A1219" s="1" t="s">
        <v>1264</v>
      </c>
      <c r="B1219" s="1" t="s">
        <v>22</v>
      </c>
      <c r="C1219">
        <v>27</v>
      </c>
      <c r="D1219" s="1" t="s">
        <v>23</v>
      </c>
      <c r="E1219" s="1" t="s">
        <v>17</v>
      </c>
      <c r="F1219" s="1" t="s">
        <v>25</v>
      </c>
      <c r="G1219" s="1" t="s">
        <v>19</v>
      </c>
      <c r="H1219" s="1" t="s">
        <v>20</v>
      </c>
      <c r="I1219" s="2">
        <v>45273</v>
      </c>
      <c r="J1219">
        <v>928</v>
      </c>
      <c r="K1219" s="2">
        <v>45852</v>
      </c>
      <c r="L1219">
        <v>22187</v>
      </c>
      <c r="M1219">
        <v>23115</v>
      </c>
      <c r="N1219">
        <v>0</v>
      </c>
    </row>
    <row r="1220" spans="1:14" x14ac:dyDescent="0.3">
      <c r="A1220" s="1" t="s">
        <v>1265</v>
      </c>
      <c r="B1220" s="1" t="s">
        <v>15</v>
      </c>
      <c r="C1220">
        <v>50</v>
      </c>
      <c r="D1220" s="1" t="s">
        <v>16</v>
      </c>
      <c r="E1220" s="1" t="s">
        <v>24</v>
      </c>
      <c r="F1220" s="1" t="s">
        <v>18</v>
      </c>
      <c r="G1220" s="1" t="s">
        <v>19</v>
      </c>
      <c r="H1220" s="1" t="s">
        <v>20</v>
      </c>
      <c r="I1220" s="2">
        <v>45504</v>
      </c>
      <c r="J1220">
        <v>9610</v>
      </c>
      <c r="K1220" s="2">
        <v>45867</v>
      </c>
      <c r="L1220">
        <v>8298</v>
      </c>
      <c r="M1220">
        <v>17908</v>
      </c>
      <c r="N1220">
        <v>0</v>
      </c>
    </row>
    <row r="1221" spans="1:14" x14ac:dyDescent="0.3">
      <c r="A1221" s="1" t="s">
        <v>1266</v>
      </c>
      <c r="B1221" s="1" t="s">
        <v>59</v>
      </c>
      <c r="C1221">
        <v>55</v>
      </c>
      <c r="D1221" s="1" t="s">
        <v>16</v>
      </c>
      <c r="E1221" s="1" t="s">
        <v>38</v>
      </c>
      <c r="F1221" s="1" t="s">
        <v>25</v>
      </c>
      <c r="G1221" s="1" t="s">
        <v>41</v>
      </c>
      <c r="H1221" s="1" t="s">
        <v>20</v>
      </c>
      <c r="I1221" s="2">
        <v>44919</v>
      </c>
      <c r="J1221">
        <v>25171</v>
      </c>
      <c r="K1221" s="2">
        <v>45813</v>
      </c>
      <c r="L1221">
        <v>582</v>
      </c>
      <c r="M1221">
        <v>25753</v>
      </c>
      <c r="N1221">
        <v>0</v>
      </c>
    </row>
    <row r="1222" spans="1:14" x14ac:dyDescent="0.3">
      <c r="A1222" s="1" t="s">
        <v>1267</v>
      </c>
      <c r="B1222" s="1" t="s">
        <v>37</v>
      </c>
      <c r="C1222">
        <v>30</v>
      </c>
      <c r="D1222" s="1" t="s">
        <v>16</v>
      </c>
      <c r="E1222" s="1" t="s">
        <v>35</v>
      </c>
      <c r="F1222" s="1" t="s">
        <v>25</v>
      </c>
      <c r="G1222" s="1" t="s">
        <v>19</v>
      </c>
      <c r="H1222" s="1" t="s">
        <v>20</v>
      </c>
      <c r="I1222" s="2">
        <v>45192</v>
      </c>
      <c r="J1222">
        <v>12270</v>
      </c>
      <c r="K1222" s="2">
        <v>45867</v>
      </c>
      <c r="L1222">
        <v>-9753</v>
      </c>
      <c r="M1222">
        <v>2517</v>
      </c>
      <c r="N1222">
        <v>0</v>
      </c>
    </row>
    <row r="1223" spans="1:14" x14ac:dyDescent="0.3">
      <c r="A1223" s="1" t="s">
        <v>1268</v>
      </c>
      <c r="B1223" s="1" t="s">
        <v>87</v>
      </c>
      <c r="C1223">
        <v>48</v>
      </c>
      <c r="D1223" s="1" t="s">
        <v>23</v>
      </c>
      <c r="E1223" s="1" t="s">
        <v>17</v>
      </c>
      <c r="F1223" s="1" t="s">
        <v>18</v>
      </c>
      <c r="G1223" s="1" t="s">
        <v>19</v>
      </c>
      <c r="H1223" s="1" t="s">
        <v>20</v>
      </c>
      <c r="I1223" s="2">
        <v>44780</v>
      </c>
      <c r="J1223">
        <v>28166</v>
      </c>
      <c r="K1223" s="2">
        <v>45785</v>
      </c>
      <c r="L1223">
        <v>14170</v>
      </c>
      <c r="M1223">
        <v>42336</v>
      </c>
      <c r="N1223">
        <v>0</v>
      </c>
    </row>
    <row r="1224" spans="1:14" x14ac:dyDescent="0.3">
      <c r="A1224" s="1" t="s">
        <v>1269</v>
      </c>
      <c r="B1224" s="1" t="s">
        <v>52</v>
      </c>
      <c r="C1224">
        <v>64</v>
      </c>
      <c r="D1224" s="1" t="s">
        <v>16</v>
      </c>
      <c r="E1224" s="1" t="s">
        <v>38</v>
      </c>
      <c r="F1224" s="1" t="s">
        <v>18</v>
      </c>
      <c r="G1224" s="1" t="s">
        <v>19</v>
      </c>
      <c r="H1224" s="1" t="s">
        <v>20</v>
      </c>
      <c r="I1224" s="2">
        <v>44743</v>
      </c>
      <c r="J1224">
        <v>4017</v>
      </c>
      <c r="K1224" s="2">
        <v>45782</v>
      </c>
      <c r="L1224">
        <v>11446</v>
      </c>
      <c r="M1224">
        <v>15463</v>
      </c>
      <c r="N1224">
        <v>0</v>
      </c>
    </row>
    <row r="1225" spans="1:14" x14ac:dyDescent="0.3">
      <c r="A1225" s="1" t="s">
        <v>1270</v>
      </c>
      <c r="B1225" s="1" t="s">
        <v>34</v>
      </c>
      <c r="C1225">
        <v>53</v>
      </c>
      <c r="D1225" s="1" t="s">
        <v>16</v>
      </c>
      <c r="E1225" s="1" t="s">
        <v>24</v>
      </c>
      <c r="F1225" s="1" t="s">
        <v>25</v>
      </c>
      <c r="G1225" s="1" t="s">
        <v>41</v>
      </c>
      <c r="H1225" s="1" t="s">
        <v>20</v>
      </c>
      <c r="I1225" s="2">
        <v>45462</v>
      </c>
      <c r="J1225">
        <v>32301</v>
      </c>
      <c r="K1225" s="2">
        <v>45822</v>
      </c>
      <c r="L1225">
        <v>4754</v>
      </c>
      <c r="M1225">
        <v>37055</v>
      </c>
      <c r="N1225">
        <v>0</v>
      </c>
    </row>
    <row r="1226" spans="1:14" x14ac:dyDescent="0.3">
      <c r="A1226" s="1" t="s">
        <v>1271</v>
      </c>
      <c r="B1226" s="1" t="s">
        <v>27</v>
      </c>
      <c r="C1226">
        <v>62</v>
      </c>
      <c r="D1226" s="1" t="s">
        <v>16</v>
      </c>
      <c r="E1226" s="1" t="s">
        <v>24</v>
      </c>
      <c r="F1226" s="1" t="s">
        <v>25</v>
      </c>
      <c r="G1226" s="1" t="s">
        <v>19</v>
      </c>
      <c r="H1226" s="1" t="s">
        <v>20</v>
      </c>
      <c r="I1226" s="2">
        <v>44956</v>
      </c>
      <c r="J1226">
        <v>68105</v>
      </c>
      <c r="K1226" s="2">
        <v>45804</v>
      </c>
      <c r="L1226">
        <v>8630</v>
      </c>
      <c r="M1226">
        <v>76735</v>
      </c>
      <c r="N1226">
        <v>0</v>
      </c>
    </row>
    <row r="1227" spans="1:14" x14ac:dyDescent="0.3">
      <c r="A1227" s="1" t="s">
        <v>1272</v>
      </c>
      <c r="B1227" s="1" t="s">
        <v>22</v>
      </c>
      <c r="C1227">
        <v>41</v>
      </c>
      <c r="D1227" s="1" t="s">
        <v>23</v>
      </c>
      <c r="E1227" s="1" t="s">
        <v>17</v>
      </c>
      <c r="F1227" s="1" t="s">
        <v>18</v>
      </c>
      <c r="G1227" s="1" t="s">
        <v>19</v>
      </c>
      <c r="H1227" s="1" t="s">
        <v>20</v>
      </c>
      <c r="I1227" s="2">
        <v>44551</v>
      </c>
      <c r="J1227">
        <v>6658</v>
      </c>
      <c r="K1227" s="2">
        <v>45860</v>
      </c>
      <c r="L1227">
        <v>16178</v>
      </c>
      <c r="M1227">
        <v>22836</v>
      </c>
      <c r="N1227">
        <v>0</v>
      </c>
    </row>
    <row r="1228" spans="1:14" x14ac:dyDescent="0.3">
      <c r="A1228" s="1" t="s">
        <v>1273</v>
      </c>
      <c r="B1228" s="1" t="s">
        <v>29</v>
      </c>
      <c r="C1228">
        <v>69</v>
      </c>
      <c r="D1228" s="1" t="s">
        <v>16</v>
      </c>
      <c r="E1228" s="1" t="s">
        <v>24</v>
      </c>
      <c r="F1228" s="1" t="s">
        <v>18</v>
      </c>
      <c r="G1228" s="1" t="s">
        <v>19</v>
      </c>
      <c r="H1228" s="1" t="s">
        <v>20</v>
      </c>
      <c r="I1228" s="2">
        <v>44534</v>
      </c>
      <c r="J1228">
        <v>28883</v>
      </c>
      <c r="K1228" s="2">
        <v>45700</v>
      </c>
      <c r="L1228">
        <v>-2458</v>
      </c>
      <c r="M1228">
        <v>26425</v>
      </c>
      <c r="N1228">
        <v>0</v>
      </c>
    </row>
    <row r="1229" spans="1:14" x14ac:dyDescent="0.3">
      <c r="A1229" s="1" t="s">
        <v>1274</v>
      </c>
      <c r="B1229" s="1" t="s">
        <v>69</v>
      </c>
      <c r="C1229">
        <v>32</v>
      </c>
      <c r="D1229" s="1" t="s">
        <v>16</v>
      </c>
      <c r="E1229" s="1" t="s">
        <v>24</v>
      </c>
      <c r="F1229" s="1" t="s">
        <v>25</v>
      </c>
      <c r="G1229" s="1" t="s">
        <v>19</v>
      </c>
      <c r="H1229" s="1" t="s">
        <v>20</v>
      </c>
      <c r="I1229" s="2">
        <v>45634</v>
      </c>
      <c r="J1229">
        <v>13668</v>
      </c>
      <c r="K1229" s="2">
        <v>45862</v>
      </c>
      <c r="L1229">
        <v>-8234</v>
      </c>
      <c r="M1229">
        <v>5434</v>
      </c>
      <c r="N1229">
        <v>0</v>
      </c>
    </row>
    <row r="1230" spans="1:14" x14ac:dyDescent="0.3">
      <c r="A1230" s="1" t="s">
        <v>1275</v>
      </c>
      <c r="B1230" s="1" t="s">
        <v>71</v>
      </c>
      <c r="C1230">
        <v>46</v>
      </c>
      <c r="D1230" s="1" t="s">
        <v>23</v>
      </c>
      <c r="E1230" s="1" t="s">
        <v>24</v>
      </c>
      <c r="F1230" s="1" t="s">
        <v>18</v>
      </c>
      <c r="G1230" s="1" t="s">
        <v>41</v>
      </c>
      <c r="H1230" s="1" t="s">
        <v>20</v>
      </c>
      <c r="I1230" s="2">
        <v>45330</v>
      </c>
      <c r="J1230">
        <v>20782</v>
      </c>
      <c r="K1230" s="2">
        <v>45864</v>
      </c>
      <c r="L1230">
        <v>-1066</v>
      </c>
      <c r="M1230">
        <v>19716</v>
      </c>
      <c r="N1230">
        <v>0</v>
      </c>
    </row>
    <row r="1231" spans="1:14" x14ac:dyDescent="0.3">
      <c r="A1231" s="1" t="s">
        <v>1276</v>
      </c>
      <c r="B1231" s="1" t="s">
        <v>69</v>
      </c>
      <c r="C1231">
        <v>25</v>
      </c>
      <c r="D1231" s="1" t="s">
        <v>16</v>
      </c>
      <c r="E1231" s="1" t="s">
        <v>38</v>
      </c>
      <c r="F1231" s="1" t="s">
        <v>25</v>
      </c>
      <c r="G1231" s="1" t="s">
        <v>19</v>
      </c>
      <c r="H1231" s="1" t="s">
        <v>20</v>
      </c>
      <c r="I1231" s="2">
        <v>45110</v>
      </c>
      <c r="J1231">
        <v>67969</v>
      </c>
      <c r="K1231" s="2">
        <v>45818</v>
      </c>
      <c r="L1231">
        <v>15547</v>
      </c>
      <c r="M1231">
        <v>83516</v>
      </c>
      <c r="N1231">
        <v>0</v>
      </c>
    </row>
    <row r="1232" spans="1:14" x14ac:dyDescent="0.3">
      <c r="A1232" s="1" t="s">
        <v>1277</v>
      </c>
      <c r="B1232" s="1" t="s">
        <v>56</v>
      </c>
      <c r="C1232">
        <v>22</v>
      </c>
      <c r="D1232" s="1" t="s">
        <v>23</v>
      </c>
      <c r="E1232" s="1" t="s">
        <v>38</v>
      </c>
      <c r="F1232" s="1" t="s">
        <v>25</v>
      </c>
      <c r="G1232" s="1" t="s">
        <v>19</v>
      </c>
      <c r="H1232" s="1" t="s">
        <v>20</v>
      </c>
      <c r="I1232" s="2">
        <v>44867</v>
      </c>
      <c r="J1232">
        <v>18533</v>
      </c>
      <c r="K1232" s="2">
        <v>45855</v>
      </c>
      <c r="L1232">
        <v>19111</v>
      </c>
      <c r="M1232">
        <v>37644</v>
      </c>
      <c r="N1232">
        <v>0</v>
      </c>
    </row>
    <row r="1233" spans="1:14" x14ac:dyDescent="0.3">
      <c r="A1233" s="1" t="s">
        <v>1278</v>
      </c>
      <c r="B1233" s="1" t="s">
        <v>79</v>
      </c>
      <c r="C1233">
        <v>46</v>
      </c>
      <c r="D1233" s="1" t="s">
        <v>16</v>
      </c>
      <c r="E1233" s="1" t="s">
        <v>24</v>
      </c>
      <c r="F1233" s="1" t="s">
        <v>25</v>
      </c>
      <c r="G1233" s="1" t="s">
        <v>19</v>
      </c>
      <c r="H1233" s="1" t="s">
        <v>20</v>
      </c>
      <c r="I1233" s="2">
        <v>44917</v>
      </c>
      <c r="J1233">
        <v>28694</v>
      </c>
      <c r="K1233" s="2">
        <v>45858</v>
      </c>
      <c r="L1233">
        <v>14491</v>
      </c>
      <c r="M1233">
        <v>43185</v>
      </c>
      <c r="N1233">
        <v>0</v>
      </c>
    </row>
    <row r="1234" spans="1:14" x14ac:dyDescent="0.3">
      <c r="A1234" s="1" t="s">
        <v>1279</v>
      </c>
      <c r="B1234" s="1" t="s">
        <v>69</v>
      </c>
      <c r="C1234">
        <v>64</v>
      </c>
      <c r="D1234" s="1" t="s">
        <v>16</v>
      </c>
      <c r="E1234" s="1" t="s">
        <v>35</v>
      </c>
      <c r="F1234" s="1" t="s">
        <v>18</v>
      </c>
      <c r="G1234" s="1" t="s">
        <v>19</v>
      </c>
      <c r="H1234" s="1" t="s">
        <v>20</v>
      </c>
      <c r="I1234" s="2">
        <v>44293</v>
      </c>
      <c r="J1234">
        <v>3778</v>
      </c>
      <c r="K1234" s="2">
        <v>45855</v>
      </c>
      <c r="L1234">
        <v>37214</v>
      </c>
      <c r="M1234">
        <v>40992</v>
      </c>
      <c r="N1234">
        <v>0</v>
      </c>
    </row>
    <row r="1235" spans="1:14" x14ac:dyDescent="0.3">
      <c r="A1235" s="1" t="s">
        <v>1280</v>
      </c>
      <c r="B1235" s="1" t="s">
        <v>48</v>
      </c>
      <c r="C1235">
        <v>21</v>
      </c>
      <c r="D1235" s="1" t="s">
        <v>23</v>
      </c>
      <c r="E1235" s="1" t="s">
        <v>24</v>
      </c>
      <c r="F1235" s="1" t="s">
        <v>25</v>
      </c>
      <c r="G1235" s="1" t="s">
        <v>19</v>
      </c>
      <c r="H1235" s="1" t="s">
        <v>49</v>
      </c>
      <c r="I1235" s="2">
        <v>44958</v>
      </c>
      <c r="J1235">
        <v>27824</v>
      </c>
      <c r="K1235" s="2">
        <v>45790</v>
      </c>
      <c r="L1235">
        <v>11798</v>
      </c>
      <c r="M1235">
        <v>39622</v>
      </c>
      <c r="N1235">
        <v>0</v>
      </c>
    </row>
    <row r="1236" spans="1:14" x14ac:dyDescent="0.3">
      <c r="A1236" s="1" t="s">
        <v>1281</v>
      </c>
      <c r="B1236" s="1" t="s">
        <v>40</v>
      </c>
      <c r="C1236">
        <v>29</v>
      </c>
      <c r="D1236" s="1" t="s">
        <v>16</v>
      </c>
      <c r="E1236" s="1" t="s">
        <v>17</v>
      </c>
      <c r="F1236" s="1" t="s">
        <v>25</v>
      </c>
      <c r="G1236" s="1" t="s">
        <v>19</v>
      </c>
      <c r="H1236" s="1" t="s">
        <v>20</v>
      </c>
      <c r="I1236" s="2">
        <v>45527</v>
      </c>
      <c r="J1236">
        <v>66837</v>
      </c>
      <c r="K1236" s="2">
        <v>45863</v>
      </c>
      <c r="L1236">
        <v>8081</v>
      </c>
      <c r="M1236">
        <v>74918</v>
      </c>
      <c r="N1236">
        <v>0</v>
      </c>
    </row>
    <row r="1237" spans="1:14" x14ac:dyDescent="0.3">
      <c r="A1237" s="1" t="s">
        <v>1282</v>
      </c>
      <c r="B1237" s="1" t="s">
        <v>75</v>
      </c>
      <c r="C1237">
        <v>62</v>
      </c>
      <c r="D1237" s="1" t="s">
        <v>16</v>
      </c>
      <c r="E1237" s="1" t="s">
        <v>38</v>
      </c>
      <c r="F1237" s="1" t="s">
        <v>25</v>
      </c>
      <c r="G1237" s="1" t="s">
        <v>19</v>
      </c>
      <c r="H1237" s="1" t="s">
        <v>20</v>
      </c>
      <c r="I1237" s="2">
        <v>44846</v>
      </c>
      <c r="J1237">
        <v>5306</v>
      </c>
      <c r="K1237" s="2">
        <v>45867</v>
      </c>
      <c r="L1237">
        <v>-3362</v>
      </c>
      <c r="M1237">
        <v>1944</v>
      </c>
      <c r="N1237">
        <v>0</v>
      </c>
    </row>
    <row r="1238" spans="1:14" x14ac:dyDescent="0.3">
      <c r="A1238" s="1" t="s">
        <v>1283</v>
      </c>
      <c r="B1238" s="1" t="s">
        <v>61</v>
      </c>
      <c r="C1238">
        <v>19</v>
      </c>
      <c r="D1238" s="1" t="s">
        <v>23</v>
      </c>
      <c r="E1238" s="1" t="s">
        <v>17</v>
      </c>
      <c r="F1238" s="1" t="s">
        <v>18</v>
      </c>
      <c r="G1238" s="1" t="s">
        <v>19</v>
      </c>
      <c r="H1238" s="1" t="s">
        <v>20</v>
      </c>
      <c r="I1238" s="2">
        <v>44838</v>
      </c>
      <c r="J1238">
        <v>9672</v>
      </c>
      <c r="K1238" s="2">
        <v>45802</v>
      </c>
      <c r="L1238">
        <v>-2573</v>
      </c>
      <c r="M1238">
        <v>7099</v>
      </c>
      <c r="N1238">
        <v>0</v>
      </c>
    </row>
    <row r="1239" spans="1:14" x14ac:dyDescent="0.3">
      <c r="A1239" s="1" t="s">
        <v>1284</v>
      </c>
      <c r="B1239" s="1" t="s">
        <v>32</v>
      </c>
      <c r="C1239">
        <v>44</v>
      </c>
      <c r="D1239" s="1" t="s">
        <v>30</v>
      </c>
      <c r="E1239" s="1" t="s">
        <v>24</v>
      </c>
      <c r="F1239" s="1" t="s">
        <v>18</v>
      </c>
      <c r="G1239" s="1" t="s">
        <v>19</v>
      </c>
      <c r="H1239" s="1" t="s">
        <v>20</v>
      </c>
      <c r="I1239" s="2">
        <v>44223</v>
      </c>
      <c r="J1239">
        <v>26533</v>
      </c>
      <c r="K1239" s="2">
        <v>45787</v>
      </c>
      <c r="L1239">
        <v>33528</v>
      </c>
      <c r="M1239">
        <v>60061</v>
      </c>
      <c r="N1239">
        <v>0</v>
      </c>
    </row>
    <row r="1240" spans="1:14" x14ac:dyDescent="0.3">
      <c r="A1240" s="1" t="s">
        <v>1285</v>
      </c>
      <c r="B1240" s="1" t="s">
        <v>22</v>
      </c>
      <c r="C1240">
        <v>48</v>
      </c>
      <c r="D1240" s="1" t="s">
        <v>16</v>
      </c>
      <c r="E1240" s="1" t="s">
        <v>17</v>
      </c>
      <c r="F1240" s="1" t="s">
        <v>25</v>
      </c>
      <c r="G1240" s="1" t="s">
        <v>19</v>
      </c>
      <c r="H1240" s="1" t="s">
        <v>20</v>
      </c>
      <c r="I1240" s="2">
        <v>44962</v>
      </c>
      <c r="J1240">
        <v>20906</v>
      </c>
      <c r="K1240" s="2">
        <v>45833</v>
      </c>
      <c r="L1240">
        <v>8448</v>
      </c>
      <c r="M1240">
        <v>29354</v>
      </c>
      <c r="N1240">
        <v>0</v>
      </c>
    </row>
    <row r="1241" spans="1:14" x14ac:dyDescent="0.3">
      <c r="A1241" s="1" t="s">
        <v>1286</v>
      </c>
      <c r="B1241" s="1" t="s">
        <v>56</v>
      </c>
      <c r="C1241">
        <v>68</v>
      </c>
      <c r="D1241" s="1" t="s">
        <v>16</v>
      </c>
      <c r="E1241" s="1" t="s">
        <v>17</v>
      </c>
      <c r="F1241" s="1" t="s">
        <v>18</v>
      </c>
      <c r="G1241" s="1" t="s">
        <v>19</v>
      </c>
      <c r="H1241" s="1" t="s">
        <v>20</v>
      </c>
      <c r="I1241" s="2">
        <v>44239</v>
      </c>
      <c r="J1241">
        <v>3430</v>
      </c>
      <c r="K1241" s="2">
        <v>45869</v>
      </c>
      <c r="L1241">
        <v>29383</v>
      </c>
      <c r="M1241">
        <v>32813</v>
      </c>
      <c r="N1241">
        <v>0</v>
      </c>
    </row>
    <row r="1242" spans="1:14" x14ac:dyDescent="0.3">
      <c r="A1242" s="1" t="s">
        <v>1287</v>
      </c>
      <c r="B1242" s="1" t="s">
        <v>40</v>
      </c>
      <c r="C1242">
        <v>68</v>
      </c>
      <c r="D1242" s="1" t="s">
        <v>23</v>
      </c>
      <c r="E1242" s="1" t="s">
        <v>38</v>
      </c>
      <c r="F1242" s="1" t="s">
        <v>18</v>
      </c>
      <c r="G1242" s="1" t="s">
        <v>19</v>
      </c>
      <c r="H1242" s="1" t="s">
        <v>20</v>
      </c>
      <c r="I1242" s="2">
        <v>45151</v>
      </c>
      <c r="J1242">
        <v>15755</v>
      </c>
      <c r="K1242" s="2">
        <v>45850</v>
      </c>
      <c r="L1242">
        <v>22176</v>
      </c>
      <c r="M1242">
        <v>37931</v>
      </c>
      <c r="N1242">
        <v>0</v>
      </c>
    </row>
    <row r="1243" spans="1:14" x14ac:dyDescent="0.3">
      <c r="A1243" s="1" t="s">
        <v>1288</v>
      </c>
      <c r="B1243" s="1" t="s">
        <v>27</v>
      </c>
      <c r="C1243">
        <v>53</v>
      </c>
      <c r="D1243" s="1" t="s">
        <v>16</v>
      </c>
      <c r="E1243" s="1" t="s">
        <v>24</v>
      </c>
      <c r="F1243" s="1" t="s">
        <v>18</v>
      </c>
      <c r="G1243" s="1" t="s">
        <v>19</v>
      </c>
      <c r="H1243" s="1" t="s">
        <v>20</v>
      </c>
      <c r="I1243" s="2">
        <v>45044</v>
      </c>
      <c r="J1243">
        <v>9579</v>
      </c>
      <c r="K1243" s="2">
        <v>45864</v>
      </c>
      <c r="L1243">
        <v>17712</v>
      </c>
      <c r="M1243">
        <v>27291</v>
      </c>
      <c r="N1243">
        <v>0</v>
      </c>
    </row>
    <row r="1244" spans="1:14" x14ac:dyDescent="0.3">
      <c r="A1244" s="1" t="s">
        <v>1289</v>
      </c>
      <c r="B1244" s="1" t="s">
        <v>15</v>
      </c>
      <c r="C1244">
        <v>53</v>
      </c>
      <c r="D1244" s="1" t="s">
        <v>16</v>
      </c>
      <c r="E1244" s="1" t="s">
        <v>24</v>
      </c>
      <c r="F1244" s="1" t="s">
        <v>25</v>
      </c>
      <c r="G1244" s="1" t="s">
        <v>19</v>
      </c>
      <c r="H1244" s="1" t="s">
        <v>20</v>
      </c>
      <c r="I1244" s="2">
        <v>45602</v>
      </c>
      <c r="J1244">
        <v>5071</v>
      </c>
      <c r="K1244" s="2">
        <v>45867</v>
      </c>
      <c r="L1244">
        <v>12828</v>
      </c>
      <c r="M1244">
        <v>17899</v>
      </c>
      <c r="N1244">
        <v>0</v>
      </c>
    </row>
    <row r="1245" spans="1:14" x14ac:dyDescent="0.3">
      <c r="A1245" s="1" t="s">
        <v>1290</v>
      </c>
      <c r="B1245" s="1" t="s">
        <v>48</v>
      </c>
      <c r="C1245">
        <v>43</v>
      </c>
      <c r="D1245" s="1" t="s">
        <v>23</v>
      </c>
      <c r="E1245" s="1" t="s">
        <v>17</v>
      </c>
      <c r="F1245" s="1" t="s">
        <v>18</v>
      </c>
      <c r="G1245" s="1" t="s">
        <v>41</v>
      </c>
      <c r="H1245" s="1" t="s">
        <v>20</v>
      </c>
      <c r="I1245" s="2">
        <v>45170</v>
      </c>
      <c r="J1245">
        <v>51882</v>
      </c>
      <c r="K1245" s="2">
        <v>45776</v>
      </c>
      <c r="L1245">
        <v>-2151</v>
      </c>
      <c r="M1245">
        <v>49731</v>
      </c>
      <c r="N1245">
        <v>0</v>
      </c>
    </row>
    <row r="1246" spans="1:14" x14ac:dyDescent="0.3">
      <c r="A1246" s="1" t="s">
        <v>1291</v>
      </c>
      <c r="B1246" s="1" t="s">
        <v>56</v>
      </c>
      <c r="C1246">
        <v>60</v>
      </c>
      <c r="D1246" s="1" t="s">
        <v>16</v>
      </c>
      <c r="E1246" s="1" t="s">
        <v>38</v>
      </c>
      <c r="F1246" s="1" t="s">
        <v>18</v>
      </c>
      <c r="G1246" s="1" t="s">
        <v>19</v>
      </c>
      <c r="H1246" s="1" t="s">
        <v>20</v>
      </c>
      <c r="I1246" s="2">
        <v>44738</v>
      </c>
      <c r="J1246">
        <v>13433</v>
      </c>
      <c r="K1246" s="2">
        <v>45857</v>
      </c>
      <c r="L1246">
        <v>-5478</v>
      </c>
      <c r="M1246">
        <v>7955</v>
      </c>
      <c r="N1246">
        <v>0</v>
      </c>
    </row>
    <row r="1247" spans="1:14" x14ac:dyDescent="0.3">
      <c r="A1247" s="1" t="s">
        <v>1292</v>
      </c>
      <c r="B1247" s="1" t="s">
        <v>43</v>
      </c>
      <c r="C1247">
        <v>44</v>
      </c>
      <c r="D1247" s="1" t="s">
        <v>16</v>
      </c>
      <c r="E1247" s="1" t="s">
        <v>24</v>
      </c>
      <c r="F1247" s="1" t="s">
        <v>18</v>
      </c>
      <c r="G1247" s="1" t="s">
        <v>19</v>
      </c>
      <c r="H1247" s="1" t="s">
        <v>20</v>
      </c>
      <c r="I1247" s="2">
        <v>45060</v>
      </c>
      <c r="J1247">
        <v>35705</v>
      </c>
      <c r="K1247" s="2">
        <v>45814</v>
      </c>
      <c r="L1247">
        <v>3155</v>
      </c>
      <c r="M1247">
        <v>38860</v>
      </c>
      <c r="N1247">
        <v>0</v>
      </c>
    </row>
    <row r="1248" spans="1:14" x14ac:dyDescent="0.3">
      <c r="A1248" s="1" t="s">
        <v>1293</v>
      </c>
      <c r="B1248" s="1" t="s">
        <v>87</v>
      </c>
      <c r="C1248">
        <v>22</v>
      </c>
      <c r="D1248" s="1" t="s">
        <v>16</v>
      </c>
      <c r="E1248" s="1" t="s">
        <v>38</v>
      </c>
      <c r="F1248" s="1" t="s">
        <v>25</v>
      </c>
      <c r="G1248" s="1" t="s">
        <v>41</v>
      </c>
      <c r="H1248" s="1" t="s">
        <v>20</v>
      </c>
      <c r="I1248" s="2">
        <v>45367</v>
      </c>
      <c r="J1248">
        <v>4132</v>
      </c>
      <c r="K1248" s="2">
        <v>45840</v>
      </c>
      <c r="L1248">
        <v>13875</v>
      </c>
      <c r="M1248">
        <v>18007</v>
      </c>
      <c r="N1248">
        <v>0</v>
      </c>
    </row>
    <row r="1249" spans="1:14" x14ac:dyDescent="0.3">
      <c r="A1249" s="1" t="s">
        <v>1294</v>
      </c>
      <c r="B1249" s="1" t="s">
        <v>75</v>
      </c>
      <c r="C1249">
        <v>37</v>
      </c>
      <c r="D1249" s="1" t="s">
        <v>23</v>
      </c>
      <c r="E1249" s="1" t="s">
        <v>24</v>
      </c>
      <c r="F1249" s="1" t="s">
        <v>18</v>
      </c>
      <c r="G1249" s="1" t="s">
        <v>41</v>
      </c>
      <c r="H1249" s="1" t="s">
        <v>20</v>
      </c>
      <c r="I1249" s="2">
        <v>44354</v>
      </c>
      <c r="J1249">
        <v>24075</v>
      </c>
      <c r="K1249" s="2">
        <v>45816</v>
      </c>
      <c r="L1249">
        <v>4208</v>
      </c>
      <c r="M1249">
        <v>28283</v>
      </c>
      <c r="N1249">
        <v>0</v>
      </c>
    </row>
    <row r="1250" spans="1:14" x14ac:dyDescent="0.3">
      <c r="A1250" s="1" t="s">
        <v>1295</v>
      </c>
      <c r="B1250" s="1" t="s">
        <v>61</v>
      </c>
      <c r="C1250">
        <v>28</v>
      </c>
      <c r="D1250" s="1" t="s">
        <v>16</v>
      </c>
      <c r="E1250" s="1" t="s">
        <v>17</v>
      </c>
      <c r="F1250" s="1" t="s">
        <v>18</v>
      </c>
      <c r="G1250" s="1" t="s">
        <v>41</v>
      </c>
      <c r="H1250" s="1" t="s">
        <v>20</v>
      </c>
      <c r="I1250" s="2">
        <v>45236</v>
      </c>
      <c r="J1250">
        <v>38626</v>
      </c>
      <c r="K1250" s="2">
        <v>45842</v>
      </c>
      <c r="L1250">
        <v>15183</v>
      </c>
      <c r="M1250">
        <v>53809</v>
      </c>
      <c r="N1250">
        <v>0</v>
      </c>
    </row>
    <row r="1251" spans="1:14" x14ac:dyDescent="0.3">
      <c r="A1251" s="1" t="s">
        <v>1296</v>
      </c>
      <c r="B1251" s="1" t="s">
        <v>32</v>
      </c>
      <c r="C1251">
        <v>27</v>
      </c>
      <c r="D1251" s="1" t="s">
        <v>16</v>
      </c>
      <c r="E1251" s="1" t="s">
        <v>24</v>
      </c>
      <c r="F1251" s="1" t="s">
        <v>18</v>
      </c>
      <c r="G1251" s="1" t="s">
        <v>19</v>
      </c>
      <c r="H1251" s="1" t="s">
        <v>20</v>
      </c>
      <c r="I1251" s="2">
        <v>45730</v>
      </c>
      <c r="J1251">
        <v>10487</v>
      </c>
      <c r="K1251" s="2">
        <v>45868</v>
      </c>
      <c r="L1251">
        <v>7613</v>
      </c>
      <c r="M1251">
        <v>18100</v>
      </c>
      <c r="N1251">
        <v>0</v>
      </c>
    </row>
    <row r="1252" spans="1:14" x14ac:dyDescent="0.3">
      <c r="A1252" s="1" t="s">
        <v>1297</v>
      </c>
      <c r="B1252" s="1" t="s">
        <v>34</v>
      </c>
      <c r="C1252">
        <v>57</v>
      </c>
      <c r="D1252" s="1" t="s">
        <v>23</v>
      </c>
      <c r="E1252" s="1" t="s">
        <v>17</v>
      </c>
      <c r="F1252" s="1" t="s">
        <v>25</v>
      </c>
      <c r="G1252" s="1" t="s">
        <v>19</v>
      </c>
      <c r="H1252" s="1" t="s">
        <v>20</v>
      </c>
      <c r="I1252" s="2">
        <v>44697</v>
      </c>
      <c r="J1252">
        <v>8126</v>
      </c>
      <c r="K1252" s="2">
        <v>45862</v>
      </c>
      <c r="L1252">
        <v>-3571</v>
      </c>
      <c r="M1252">
        <v>4555</v>
      </c>
      <c r="N1252">
        <v>0</v>
      </c>
    </row>
    <row r="1253" spans="1:14" x14ac:dyDescent="0.3">
      <c r="A1253" s="1" t="s">
        <v>1298</v>
      </c>
      <c r="B1253" s="1" t="s">
        <v>27</v>
      </c>
      <c r="C1253">
        <v>55</v>
      </c>
      <c r="D1253" s="1" t="s">
        <v>16</v>
      </c>
      <c r="E1253" s="1" t="s">
        <v>24</v>
      </c>
      <c r="F1253" s="1" t="s">
        <v>18</v>
      </c>
      <c r="G1253" s="1" t="s">
        <v>19</v>
      </c>
      <c r="H1253" s="1" t="s">
        <v>20</v>
      </c>
      <c r="I1253" s="2">
        <v>45245</v>
      </c>
      <c r="J1253">
        <v>3625</v>
      </c>
      <c r="K1253" s="2">
        <v>45866</v>
      </c>
      <c r="L1253">
        <v>4585</v>
      </c>
      <c r="M1253">
        <v>8210</v>
      </c>
      <c r="N1253">
        <v>0</v>
      </c>
    </row>
    <row r="1254" spans="1:14" x14ac:dyDescent="0.3">
      <c r="A1254" s="1" t="s">
        <v>1299</v>
      </c>
      <c r="B1254" s="1" t="s">
        <v>61</v>
      </c>
      <c r="C1254">
        <v>23</v>
      </c>
      <c r="D1254" s="1" t="s">
        <v>16</v>
      </c>
      <c r="E1254" s="1" t="s">
        <v>24</v>
      </c>
      <c r="F1254" s="1" t="s">
        <v>18</v>
      </c>
      <c r="G1254" s="1" t="s">
        <v>19</v>
      </c>
      <c r="H1254" s="1" t="s">
        <v>20</v>
      </c>
      <c r="I1254" s="2">
        <v>45571</v>
      </c>
      <c r="J1254">
        <v>5608</v>
      </c>
      <c r="K1254" s="2">
        <v>45866</v>
      </c>
      <c r="L1254">
        <v>7563</v>
      </c>
      <c r="M1254">
        <v>13171</v>
      </c>
      <c r="N1254">
        <v>0</v>
      </c>
    </row>
    <row r="1255" spans="1:14" x14ac:dyDescent="0.3">
      <c r="A1255" s="1" t="s">
        <v>1300</v>
      </c>
      <c r="B1255" s="1" t="s">
        <v>69</v>
      </c>
      <c r="C1255">
        <v>25</v>
      </c>
      <c r="D1255" s="1" t="s">
        <v>16</v>
      </c>
      <c r="E1255" s="1" t="s">
        <v>35</v>
      </c>
      <c r="F1255" s="1" t="s">
        <v>18</v>
      </c>
      <c r="G1255" s="1" t="s">
        <v>19</v>
      </c>
      <c r="H1255" s="1" t="s">
        <v>20</v>
      </c>
      <c r="I1255" s="2">
        <v>45053</v>
      </c>
      <c r="J1255">
        <v>8496</v>
      </c>
      <c r="K1255" s="2">
        <v>45860</v>
      </c>
      <c r="L1255">
        <v>6027</v>
      </c>
      <c r="M1255">
        <v>14523</v>
      </c>
      <c r="N1255">
        <v>0</v>
      </c>
    </row>
    <row r="1256" spans="1:14" x14ac:dyDescent="0.3">
      <c r="A1256" s="1" t="s">
        <v>1301</v>
      </c>
      <c r="B1256" s="1" t="s">
        <v>87</v>
      </c>
      <c r="C1256">
        <v>40</v>
      </c>
      <c r="D1256" s="1" t="s">
        <v>23</v>
      </c>
      <c r="E1256" s="1" t="s">
        <v>17</v>
      </c>
      <c r="F1256" s="1" t="s">
        <v>25</v>
      </c>
      <c r="G1256" s="1" t="s">
        <v>41</v>
      </c>
      <c r="H1256" s="1" t="s">
        <v>20</v>
      </c>
      <c r="I1256" s="2">
        <v>45398</v>
      </c>
      <c r="J1256">
        <v>5035</v>
      </c>
      <c r="K1256" s="2">
        <v>45825</v>
      </c>
      <c r="L1256">
        <v>11685</v>
      </c>
      <c r="M1256">
        <v>16720</v>
      </c>
      <c r="N1256">
        <v>0</v>
      </c>
    </row>
    <row r="1257" spans="1:14" x14ac:dyDescent="0.3">
      <c r="A1257" s="1" t="s">
        <v>1302</v>
      </c>
      <c r="B1257" s="1" t="s">
        <v>87</v>
      </c>
      <c r="C1257">
        <v>64</v>
      </c>
      <c r="D1257" s="1" t="s">
        <v>16</v>
      </c>
      <c r="E1257" s="1" t="s">
        <v>38</v>
      </c>
      <c r="F1257" s="1" t="s">
        <v>25</v>
      </c>
      <c r="G1257" s="1" t="s">
        <v>19</v>
      </c>
      <c r="H1257" s="1" t="s">
        <v>20</v>
      </c>
      <c r="I1257" s="2">
        <v>44717</v>
      </c>
      <c r="J1257">
        <v>6198</v>
      </c>
      <c r="K1257" s="2">
        <v>45728</v>
      </c>
      <c r="L1257">
        <v>28358</v>
      </c>
      <c r="M1257">
        <v>34556</v>
      </c>
      <c r="N1257">
        <v>0</v>
      </c>
    </row>
    <row r="1258" spans="1:14" x14ac:dyDescent="0.3">
      <c r="A1258" s="1" t="s">
        <v>1303</v>
      </c>
      <c r="B1258" s="1" t="s">
        <v>59</v>
      </c>
      <c r="C1258">
        <v>43</v>
      </c>
      <c r="D1258" s="1" t="s">
        <v>16</v>
      </c>
      <c r="E1258" s="1" t="s">
        <v>17</v>
      </c>
      <c r="F1258" s="1" t="s">
        <v>25</v>
      </c>
      <c r="G1258" s="1" t="s">
        <v>19</v>
      </c>
      <c r="H1258" s="1" t="s">
        <v>20</v>
      </c>
      <c r="I1258" s="2">
        <v>44709</v>
      </c>
      <c r="J1258">
        <v>15648</v>
      </c>
      <c r="K1258" s="2">
        <v>45827</v>
      </c>
      <c r="L1258">
        <v>9221</v>
      </c>
      <c r="M1258">
        <v>24869</v>
      </c>
      <c r="N1258">
        <v>0</v>
      </c>
    </row>
    <row r="1259" spans="1:14" x14ac:dyDescent="0.3">
      <c r="A1259" s="1" t="s">
        <v>1304</v>
      </c>
      <c r="B1259" s="1" t="s">
        <v>22</v>
      </c>
      <c r="C1259">
        <v>63</v>
      </c>
      <c r="D1259" s="1" t="s">
        <v>16</v>
      </c>
      <c r="E1259" s="1" t="s">
        <v>24</v>
      </c>
      <c r="F1259" s="1" t="s">
        <v>25</v>
      </c>
      <c r="G1259" s="1" t="s">
        <v>41</v>
      </c>
      <c r="H1259" s="1" t="s">
        <v>20</v>
      </c>
      <c r="I1259" s="2">
        <v>45313</v>
      </c>
      <c r="J1259">
        <v>17638</v>
      </c>
      <c r="K1259" s="2">
        <v>45857</v>
      </c>
      <c r="L1259">
        <v>4447</v>
      </c>
      <c r="M1259">
        <v>22085</v>
      </c>
      <c r="N1259">
        <v>0</v>
      </c>
    </row>
    <row r="1260" spans="1:14" x14ac:dyDescent="0.3">
      <c r="A1260" s="1" t="s">
        <v>1305</v>
      </c>
      <c r="B1260" s="1" t="s">
        <v>32</v>
      </c>
      <c r="C1260">
        <v>60</v>
      </c>
      <c r="D1260" s="1" t="s">
        <v>16</v>
      </c>
      <c r="E1260" s="1" t="s">
        <v>24</v>
      </c>
      <c r="F1260" s="1" t="s">
        <v>18</v>
      </c>
      <c r="G1260" s="1" t="s">
        <v>19</v>
      </c>
      <c r="H1260" s="1" t="s">
        <v>20</v>
      </c>
      <c r="I1260" s="2">
        <v>45377</v>
      </c>
      <c r="J1260">
        <v>39769</v>
      </c>
      <c r="K1260" s="2">
        <v>45844</v>
      </c>
      <c r="L1260">
        <v>8171</v>
      </c>
      <c r="M1260">
        <v>47940</v>
      </c>
      <c r="N1260">
        <v>0</v>
      </c>
    </row>
    <row r="1261" spans="1:14" x14ac:dyDescent="0.3">
      <c r="A1261" s="1" t="s">
        <v>1306</v>
      </c>
      <c r="B1261" s="1" t="s">
        <v>34</v>
      </c>
      <c r="C1261">
        <v>29</v>
      </c>
      <c r="D1261" s="1" t="s">
        <v>30</v>
      </c>
      <c r="E1261" s="1" t="s">
        <v>35</v>
      </c>
      <c r="F1261" s="1" t="s">
        <v>25</v>
      </c>
      <c r="G1261" s="1" t="s">
        <v>19</v>
      </c>
      <c r="H1261" s="1" t="s">
        <v>20</v>
      </c>
      <c r="I1261" s="2">
        <v>45764</v>
      </c>
      <c r="J1261">
        <v>6237</v>
      </c>
      <c r="K1261" s="2">
        <v>45867</v>
      </c>
      <c r="L1261">
        <v>35430</v>
      </c>
      <c r="M1261">
        <v>41667</v>
      </c>
      <c r="N1261">
        <v>0</v>
      </c>
    </row>
    <row r="1262" spans="1:14" x14ac:dyDescent="0.3">
      <c r="A1262" s="1" t="s">
        <v>1307</v>
      </c>
      <c r="B1262" s="1" t="s">
        <v>64</v>
      </c>
      <c r="C1262">
        <v>43</v>
      </c>
      <c r="D1262" s="1" t="s">
        <v>23</v>
      </c>
      <c r="E1262" s="1" t="s">
        <v>17</v>
      </c>
      <c r="F1262" s="1" t="s">
        <v>18</v>
      </c>
      <c r="G1262" s="1" t="s">
        <v>19</v>
      </c>
      <c r="H1262" s="1" t="s">
        <v>20</v>
      </c>
      <c r="I1262" s="2">
        <v>44573</v>
      </c>
      <c r="J1262">
        <v>13673</v>
      </c>
      <c r="K1262" s="2">
        <v>45802</v>
      </c>
      <c r="L1262">
        <v>6448</v>
      </c>
      <c r="M1262">
        <v>20121</v>
      </c>
      <c r="N1262">
        <v>0</v>
      </c>
    </row>
    <row r="1263" spans="1:14" x14ac:dyDescent="0.3">
      <c r="A1263" s="1" t="s">
        <v>1308</v>
      </c>
      <c r="B1263" s="1" t="s">
        <v>75</v>
      </c>
      <c r="C1263">
        <v>30</v>
      </c>
      <c r="D1263" s="1" t="s">
        <v>23</v>
      </c>
      <c r="E1263" s="1" t="s">
        <v>17</v>
      </c>
      <c r="F1263" s="1" t="s">
        <v>18</v>
      </c>
      <c r="G1263" s="1" t="s">
        <v>19</v>
      </c>
      <c r="H1263" s="1" t="s">
        <v>20</v>
      </c>
      <c r="I1263" s="2">
        <v>44980</v>
      </c>
      <c r="J1263">
        <v>8798</v>
      </c>
      <c r="K1263" s="2">
        <v>45853</v>
      </c>
      <c r="L1263">
        <v>19661</v>
      </c>
      <c r="M1263">
        <v>28459</v>
      </c>
      <c r="N1263">
        <v>0</v>
      </c>
    </row>
    <row r="1264" spans="1:14" x14ac:dyDescent="0.3">
      <c r="A1264" s="1" t="s">
        <v>1309</v>
      </c>
      <c r="B1264" s="1" t="s">
        <v>43</v>
      </c>
      <c r="C1264">
        <v>57</v>
      </c>
      <c r="D1264" s="1" t="s">
        <v>16</v>
      </c>
      <c r="E1264" s="1" t="s">
        <v>24</v>
      </c>
      <c r="F1264" s="1" t="s">
        <v>18</v>
      </c>
      <c r="G1264" s="1" t="s">
        <v>19</v>
      </c>
      <c r="H1264" s="1" t="s">
        <v>20</v>
      </c>
      <c r="I1264" s="2">
        <v>44616</v>
      </c>
      <c r="J1264">
        <v>8198</v>
      </c>
      <c r="K1264" s="2">
        <v>45854</v>
      </c>
      <c r="L1264">
        <v>17528</v>
      </c>
      <c r="M1264">
        <v>25726</v>
      </c>
      <c r="N1264">
        <v>0</v>
      </c>
    </row>
    <row r="1265" spans="1:14" x14ac:dyDescent="0.3">
      <c r="A1265" s="1" t="s">
        <v>1310</v>
      </c>
      <c r="B1265" s="1" t="s">
        <v>29</v>
      </c>
      <c r="C1265">
        <v>35</v>
      </c>
      <c r="D1265" s="1" t="s">
        <v>23</v>
      </c>
      <c r="E1265" s="1" t="s">
        <v>17</v>
      </c>
      <c r="F1265" s="1" t="s">
        <v>18</v>
      </c>
      <c r="G1265" s="1" t="s">
        <v>41</v>
      </c>
      <c r="H1265" s="1" t="s">
        <v>20</v>
      </c>
      <c r="I1265" s="2">
        <v>44330</v>
      </c>
      <c r="J1265">
        <v>9739</v>
      </c>
      <c r="K1265" s="2">
        <v>45869</v>
      </c>
      <c r="L1265">
        <v>17183</v>
      </c>
      <c r="M1265">
        <v>26922</v>
      </c>
      <c r="N1265">
        <v>0</v>
      </c>
    </row>
    <row r="1266" spans="1:14" x14ac:dyDescent="0.3">
      <c r="A1266" s="1" t="s">
        <v>1311</v>
      </c>
      <c r="B1266" s="1" t="s">
        <v>56</v>
      </c>
      <c r="C1266">
        <v>42</v>
      </c>
      <c r="D1266" s="1" t="s">
        <v>23</v>
      </c>
      <c r="E1266" s="1" t="s">
        <v>17</v>
      </c>
      <c r="F1266" s="1" t="s">
        <v>25</v>
      </c>
      <c r="G1266" s="1" t="s">
        <v>41</v>
      </c>
      <c r="H1266" s="1" t="s">
        <v>20</v>
      </c>
      <c r="I1266" s="2">
        <v>44871</v>
      </c>
      <c r="J1266">
        <v>10980</v>
      </c>
      <c r="K1266" s="2">
        <v>45720</v>
      </c>
      <c r="L1266">
        <v>17615</v>
      </c>
      <c r="M1266">
        <v>28595</v>
      </c>
      <c r="N1266">
        <v>0</v>
      </c>
    </row>
    <row r="1267" spans="1:14" x14ac:dyDescent="0.3">
      <c r="A1267" s="1" t="s">
        <v>1312</v>
      </c>
      <c r="B1267" s="1" t="s">
        <v>27</v>
      </c>
      <c r="C1267">
        <v>50</v>
      </c>
      <c r="D1267" s="1" t="s">
        <v>23</v>
      </c>
      <c r="E1267" s="1" t="s">
        <v>24</v>
      </c>
      <c r="F1267" s="1" t="s">
        <v>18</v>
      </c>
      <c r="G1267" s="1" t="s">
        <v>41</v>
      </c>
      <c r="H1267" s="1" t="s">
        <v>20</v>
      </c>
      <c r="I1267" s="2">
        <v>44822</v>
      </c>
      <c r="J1267">
        <v>17161</v>
      </c>
      <c r="K1267" s="2">
        <v>45828</v>
      </c>
      <c r="L1267">
        <v>11501</v>
      </c>
      <c r="M1267">
        <v>28662</v>
      </c>
      <c r="N1267">
        <v>0</v>
      </c>
    </row>
    <row r="1268" spans="1:14" x14ac:dyDescent="0.3">
      <c r="A1268" s="1" t="s">
        <v>1313</v>
      </c>
      <c r="B1268" s="1" t="s">
        <v>56</v>
      </c>
      <c r="C1268">
        <v>64</v>
      </c>
      <c r="D1268" s="1" t="s">
        <v>23</v>
      </c>
      <c r="E1268" s="1" t="s">
        <v>17</v>
      </c>
      <c r="F1268" s="1" t="s">
        <v>25</v>
      </c>
      <c r="G1268" s="1" t="s">
        <v>19</v>
      </c>
      <c r="H1268" s="1" t="s">
        <v>20</v>
      </c>
      <c r="I1268" s="2">
        <v>44649</v>
      </c>
      <c r="J1268">
        <v>9601</v>
      </c>
      <c r="K1268" s="2">
        <v>45846</v>
      </c>
      <c r="L1268">
        <v>6226</v>
      </c>
      <c r="M1268">
        <v>15827</v>
      </c>
      <c r="N1268">
        <v>0</v>
      </c>
    </row>
    <row r="1269" spans="1:14" x14ac:dyDescent="0.3">
      <c r="A1269" s="1" t="s">
        <v>1314</v>
      </c>
      <c r="B1269" s="1" t="s">
        <v>27</v>
      </c>
      <c r="C1269">
        <v>57</v>
      </c>
      <c r="D1269" s="1" t="s">
        <v>23</v>
      </c>
      <c r="E1269" s="1" t="s">
        <v>17</v>
      </c>
      <c r="F1269" s="1" t="s">
        <v>18</v>
      </c>
      <c r="G1269" s="1" t="s">
        <v>41</v>
      </c>
      <c r="H1269" s="1" t="s">
        <v>20</v>
      </c>
      <c r="I1269" s="2">
        <v>44693</v>
      </c>
      <c r="J1269">
        <v>45585</v>
      </c>
      <c r="K1269" s="2">
        <v>45783</v>
      </c>
      <c r="L1269">
        <v>8581</v>
      </c>
      <c r="M1269">
        <v>54166</v>
      </c>
      <c r="N1269">
        <v>0</v>
      </c>
    </row>
    <row r="1270" spans="1:14" x14ac:dyDescent="0.3">
      <c r="A1270" s="1" t="s">
        <v>1315</v>
      </c>
      <c r="B1270" s="1" t="s">
        <v>69</v>
      </c>
      <c r="C1270">
        <v>60</v>
      </c>
      <c r="D1270" s="1" t="s">
        <v>30</v>
      </c>
      <c r="E1270" s="1" t="s">
        <v>38</v>
      </c>
      <c r="F1270" s="1" t="s">
        <v>18</v>
      </c>
      <c r="G1270" s="1" t="s">
        <v>19</v>
      </c>
      <c r="H1270" s="1" t="s">
        <v>20</v>
      </c>
      <c r="I1270" s="2">
        <v>44799</v>
      </c>
      <c r="J1270">
        <v>2430</v>
      </c>
      <c r="K1270" s="2">
        <v>45861</v>
      </c>
      <c r="L1270">
        <v>6704</v>
      </c>
      <c r="M1270">
        <v>9134</v>
      </c>
      <c r="N1270">
        <v>0</v>
      </c>
    </row>
    <row r="1271" spans="1:14" x14ac:dyDescent="0.3">
      <c r="A1271" s="1" t="s">
        <v>1316</v>
      </c>
      <c r="B1271" s="1" t="s">
        <v>22</v>
      </c>
      <c r="C1271">
        <v>29</v>
      </c>
      <c r="D1271" s="1" t="s">
        <v>23</v>
      </c>
      <c r="E1271" s="1" t="s">
        <v>24</v>
      </c>
      <c r="F1271" s="1" t="s">
        <v>25</v>
      </c>
      <c r="G1271" s="1" t="s">
        <v>19</v>
      </c>
      <c r="H1271" s="1" t="s">
        <v>20</v>
      </c>
      <c r="I1271" s="2">
        <v>45851</v>
      </c>
      <c r="J1271">
        <v>38329</v>
      </c>
      <c r="K1271" s="2">
        <v>45869</v>
      </c>
      <c r="L1271">
        <v>-7186</v>
      </c>
      <c r="M1271">
        <v>31143</v>
      </c>
      <c r="N1271">
        <v>0</v>
      </c>
    </row>
    <row r="1272" spans="1:14" x14ac:dyDescent="0.3">
      <c r="A1272" s="1" t="s">
        <v>1317</v>
      </c>
      <c r="B1272" s="1" t="s">
        <v>69</v>
      </c>
      <c r="C1272">
        <v>61</v>
      </c>
      <c r="D1272" s="1" t="s">
        <v>16</v>
      </c>
      <c r="E1272" s="1" t="s">
        <v>17</v>
      </c>
      <c r="F1272" s="1" t="s">
        <v>25</v>
      </c>
      <c r="G1272" s="1" t="s">
        <v>19</v>
      </c>
      <c r="H1272" s="1" t="s">
        <v>20</v>
      </c>
      <c r="I1272" s="2">
        <v>45506</v>
      </c>
      <c r="J1272">
        <v>9242</v>
      </c>
      <c r="K1272" s="2">
        <v>45868</v>
      </c>
      <c r="L1272">
        <v>13096</v>
      </c>
      <c r="M1272">
        <v>22338</v>
      </c>
      <c r="N1272">
        <v>0</v>
      </c>
    </row>
    <row r="1273" spans="1:14" x14ac:dyDescent="0.3">
      <c r="A1273" s="1" t="s">
        <v>1318</v>
      </c>
      <c r="B1273" s="1" t="s">
        <v>34</v>
      </c>
      <c r="C1273">
        <v>53</v>
      </c>
      <c r="D1273" s="1" t="s">
        <v>16</v>
      </c>
      <c r="E1273" s="1" t="s">
        <v>24</v>
      </c>
      <c r="F1273" s="1" t="s">
        <v>25</v>
      </c>
      <c r="G1273" s="1" t="s">
        <v>19</v>
      </c>
      <c r="H1273" s="1" t="s">
        <v>20</v>
      </c>
      <c r="I1273" s="2">
        <v>44316</v>
      </c>
      <c r="J1273">
        <v>11061</v>
      </c>
      <c r="K1273" s="2">
        <v>45726</v>
      </c>
      <c r="L1273">
        <v>12001</v>
      </c>
      <c r="M1273">
        <v>23062</v>
      </c>
      <c r="N1273">
        <v>0</v>
      </c>
    </row>
    <row r="1274" spans="1:14" x14ac:dyDescent="0.3">
      <c r="A1274" s="1" t="s">
        <v>1319</v>
      </c>
      <c r="B1274" s="1" t="s">
        <v>61</v>
      </c>
      <c r="C1274">
        <v>65</v>
      </c>
      <c r="D1274" s="1" t="s">
        <v>16</v>
      </c>
      <c r="E1274" s="1" t="s">
        <v>24</v>
      </c>
      <c r="F1274" s="1" t="s">
        <v>18</v>
      </c>
      <c r="G1274" s="1" t="s">
        <v>19</v>
      </c>
      <c r="H1274" s="1" t="s">
        <v>20</v>
      </c>
      <c r="I1274" s="2">
        <v>45656</v>
      </c>
      <c r="J1274">
        <v>13232</v>
      </c>
      <c r="K1274" s="2">
        <v>45869</v>
      </c>
      <c r="L1274">
        <v>-4409</v>
      </c>
      <c r="M1274">
        <v>8823</v>
      </c>
      <c r="N1274">
        <v>0</v>
      </c>
    </row>
    <row r="1275" spans="1:14" x14ac:dyDescent="0.3">
      <c r="A1275" s="1" t="s">
        <v>1320</v>
      </c>
      <c r="B1275" s="1" t="s">
        <v>79</v>
      </c>
      <c r="C1275">
        <v>21</v>
      </c>
      <c r="D1275" s="1" t="s">
        <v>23</v>
      </c>
      <c r="E1275" s="1" t="s">
        <v>24</v>
      </c>
      <c r="F1275" s="1" t="s">
        <v>18</v>
      </c>
      <c r="G1275" s="1" t="s">
        <v>19</v>
      </c>
      <c r="H1275" s="1" t="s">
        <v>20</v>
      </c>
      <c r="I1275" s="2">
        <v>45256</v>
      </c>
      <c r="J1275">
        <v>27055</v>
      </c>
      <c r="K1275" s="2">
        <v>45850</v>
      </c>
      <c r="L1275">
        <v>26799</v>
      </c>
      <c r="M1275">
        <v>53854</v>
      </c>
      <c r="N1275">
        <v>0</v>
      </c>
    </row>
    <row r="1276" spans="1:14" x14ac:dyDescent="0.3">
      <c r="A1276" s="1" t="s">
        <v>1321</v>
      </c>
      <c r="B1276" s="1" t="s">
        <v>34</v>
      </c>
      <c r="C1276">
        <v>22</v>
      </c>
      <c r="D1276" s="1" t="s">
        <v>16</v>
      </c>
      <c r="E1276" s="1" t="s">
        <v>24</v>
      </c>
      <c r="F1276" s="1" t="s">
        <v>25</v>
      </c>
      <c r="G1276" s="1" t="s">
        <v>19</v>
      </c>
      <c r="H1276" s="1" t="s">
        <v>20</v>
      </c>
      <c r="I1276" s="2">
        <v>45686</v>
      </c>
      <c r="J1276">
        <v>5540</v>
      </c>
      <c r="K1276" s="2">
        <v>45841</v>
      </c>
      <c r="L1276">
        <v>8268</v>
      </c>
      <c r="M1276">
        <v>13808</v>
      </c>
      <c r="N1276">
        <v>0</v>
      </c>
    </row>
    <row r="1277" spans="1:14" x14ac:dyDescent="0.3">
      <c r="A1277" s="1" t="s">
        <v>1322</v>
      </c>
      <c r="B1277" s="1" t="s">
        <v>75</v>
      </c>
      <c r="C1277">
        <v>54</v>
      </c>
      <c r="D1277" s="1" t="s">
        <v>16</v>
      </c>
      <c r="E1277" s="1" t="s">
        <v>17</v>
      </c>
      <c r="F1277" s="1" t="s">
        <v>25</v>
      </c>
      <c r="G1277" s="1" t="s">
        <v>19</v>
      </c>
      <c r="H1277" s="1" t="s">
        <v>20</v>
      </c>
      <c r="I1277" s="2">
        <v>44768</v>
      </c>
      <c r="J1277">
        <v>6927</v>
      </c>
      <c r="K1277" s="2">
        <v>45730</v>
      </c>
      <c r="L1277">
        <v>3072</v>
      </c>
      <c r="M1277">
        <v>9999</v>
      </c>
      <c r="N1277">
        <v>0</v>
      </c>
    </row>
    <row r="1278" spans="1:14" x14ac:dyDescent="0.3">
      <c r="A1278" s="1" t="s">
        <v>1323</v>
      </c>
      <c r="B1278" s="1" t="s">
        <v>75</v>
      </c>
      <c r="C1278">
        <v>25</v>
      </c>
      <c r="D1278" s="1" t="s">
        <v>16</v>
      </c>
      <c r="E1278" s="1" t="s">
        <v>24</v>
      </c>
      <c r="F1278" s="1" t="s">
        <v>18</v>
      </c>
      <c r="G1278" s="1" t="s">
        <v>19</v>
      </c>
      <c r="H1278" s="1" t="s">
        <v>49</v>
      </c>
      <c r="I1278" s="2">
        <v>44974</v>
      </c>
      <c r="J1278">
        <v>22039</v>
      </c>
      <c r="K1278" s="2">
        <v>45861</v>
      </c>
      <c r="L1278">
        <v>27946</v>
      </c>
      <c r="M1278">
        <v>49985</v>
      </c>
      <c r="N1278">
        <v>0</v>
      </c>
    </row>
    <row r="1279" spans="1:14" x14ac:dyDescent="0.3">
      <c r="A1279" s="1" t="s">
        <v>1324</v>
      </c>
      <c r="B1279" s="1" t="s">
        <v>87</v>
      </c>
      <c r="C1279">
        <v>59</v>
      </c>
      <c r="D1279" s="1" t="s">
        <v>16</v>
      </c>
      <c r="E1279" s="1" t="s">
        <v>24</v>
      </c>
      <c r="F1279" s="1" t="s">
        <v>25</v>
      </c>
      <c r="G1279" s="1" t="s">
        <v>19</v>
      </c>
      <c r="H1279" s="1" t="s">
        <v>20</v>
      </c>
      <c r="I1279" s="2">
        <v>45696</v>
      </c>
      <c r="J1279">
        <v>2445</v>
      </c>
      <c r="K1279" s="2">
        <v>45868</v>
      </c>
      <c r="L1279">
        <v>15228</v>
      </c>
      <c r="M1279">
        <v>17673</v>
      </c>
      <c r="N1279">
        <v>0</v>
      </c>
    </row>
    <row r="1280" spans="1:14" x14ac:dyDescent="0.3">
      <c r="A1280" s="1" t="s">
        <v>1325</v>
      </c>
      <c r="B1280" s="1" t="s">
        <v>22</v>
      </c>
      <c r="C1280">
        <v>66</v>
      </c>
      <c r="D1280" s="1" t="s">
        <v>16</v>
      </c>
      <c r="E1280" s="1" t="s">
        <v>24</v>
      </c>
      <c r="F1280" s="1" t="s">
        <v>25</v>
      </c>
      <c r="G1280" s="1" t="s">
        <v>19</v>
      </c>
      <c r="H1280" s="1" t="s">
        <v>20</v>
      </c>
      <c r="I1280" s="2">
        <v>44653</v>
      </c>
      <c r="J1280">
        <v>12911</v>
      </c>
      <c r="K1280" s="2">
        <v>45781</v>
      </c>
      <c r="L1280">
        <v>-5176</v>
      </c>
      <c r="M1280">
        <v>7735</v>
      </c>
      <c r="N1280">
        <v>0</v>
      </c>
    </row>
    <row r="1281" spans="1:14" x14ac:dyDescent="0.3">
      <c r="A1281" s="1" t="s">
        <v>1326</v>
      </c>
      <c r="B1281" s="1" t="s">
        <v>71</v>
      </c>
      <c r="C1281">
        <v>45</v>
      </c>
      <c r="D1281" s="1" t="s">
        <v>23</v>
      </c>
      <c r="E1281" s="1" t="s">
        <v>38</v>
      </c>
      <c r="F1281" s="1" t="s">
        <v>25</v>
      </c>
      <c r="G1281" s="1" t="s">
        <v>19</v>
      </c>
      <c r="H1281" s="1" t="s">
        <v>20</v>
      </c>
      <c r="I1281" s="2">
        <v>45728</v>
      </c>
      <c r="J1281">
        <v>6017</v>
      </c>
      <c r="K1281" s="2">
        <v>45868</v>
      </c>
      <c r="L1281">
        <v>18259</v>
      </c>
      <c r="M1281">
        <v>24276</v>
      </c>
      <c r="N1281">
        <v>0</v>
      </c>
    </row>
    <row r="1282" spans="1:14" x14ac:dyDescent="0.3">
      <c r="A1282" s="1" t="s">
        <v>1327</v>
      </c>
      <c r="B1282" s="1" t="s">
        <v>29</v>
      </c>
      <c r="C1282">
        <v>48</v>
      </c>
      <c r="D1282" s="1" t="s">
        <v>16</v>
      </c>
      <c r="E1282" s="1" t="s">
        <v>24</v>
      </c>
      <c r="F1282" s="1" t="s">
        <v>25</v>
      </c>
      <c r="G1282" s="1" t="s">
        <v>19</v>
      </c>
      <c r="H1282" s="1" t="s">
        <v>20</v>
      </c>
      <c r="I1282" s="2">
        <v>45583</v>
      </c>
      <c r="J1282">
        <v>4874</v>
      </c>
      <c r="K1282" s="2">
        <v>45862</v>
      </c>
      <c r="L1282">
        <v>17116</v>
      </c>
      <c r="M1282">
        <v>21990</v>
      </c>
      <c r="N1282">
        <v>0</v>
      </c>
    </row>
    <row r="1283" spans="1:14" x14ac:dyDescent="0.3">
      <c r="A1283" s="1" t="s">
        <v>1328</v>
      </c>
      <c r="B1283" s="1" t="s">
        <v>79</v>
      </c>
      <c r="C1283">
        <v>26</v>
      </c>
      <c r="D1283" s="1" t="s">
        <v>16</v>
      </c>
      <c r="E1283" s="1" t="s">
        <v>24</v>
      </c>
      <c r="F1283" s="1" t="s">
        <v>25</v>
      </c>
      <c r="G1283" s="1" t="s">
        <v>19</v>
      </c>
      <c r="H1283" s="1" t="s">
        <v>20</v>
      </c>
      <c r="I1283" s="2">
        <v>45837</v>
      </c>
      <c r="J1283">
        <v>2596</v>
      </c>
      <c r="K1283" s="2">
        <v>45869</v>
      </c>
      <c r="L1283">
        <v>-8902</v>
      </c>
      <c r="M1283">
        <v>-6306</v>
      </c>
      <c r="N1283">
        <v>0</v>
      </c>
    </row>
    <row r="1284" spans="1:14" x14ac:dyDescent="0.3">
      <c r="A1284" s="1" t="s">
        <v>1329</v>
      </c>
      <c r="B1284" s="1" t="s">
        <v>32</v>
      </c>
      <c r="C1284">
        <v>68</v>
      </c>
      <c r="D1284" s="1" t="s">
        <v>16</v>
      </c>
      <c r="E1284" s="1" t="s">
        <v>24</v>
      </c>
      <c r="F1284" s="1" t="s">
        <v>18</v>
      </c>
      <c r="G1284" s="1" t="s">
        <v>19</v>
      </c>
      <c r="H1284" s="1" t="s">
        <v>20</v>
      </c>
      <c r="I1284" s="2">
        <v>44739</v>
      </c>
      <c r="J1284">
        <v>28920</v>
      </c>
      <c r="K1284" s="2">
        <v>45838</v>
      </c>
      <c r="L1284">
        <v>21557</v>
      </c>
      <c r="M1284">
        <v>50477</v>
      </c>
      <c r="N1284">
        <v>0</v>
      </c>
    </row>
    <row r="1285" spans="1:14" x14ac:dyDescent="0.3">
      <c r="A1285" s="1" t="s">
        <v>1330</v>
      </c>
      <c r="B1285" s="1" t="s">
        <v>48</v>
      </c>
      <c r="C1285">
        <v>46</v>
      </c>
      <c r="D1285" s="1" t="s">
        <v>30</v>
      </c>
      <c r="E1285" s="1" t="s">
        <v>24</v>
      </c>
      <c r="F1285" s="1" t="s">
        <v>18</v>
      </c>
      <c r="G1285" s="1" t="s">
        <v>19</v>
      </c>
      <c r="H1285" s="1" t="s">
        <v>20</v>
      </c>
      <c r="I1285" s="2">
        <v>44591</v>
      </c>
      <c r="J1285">
        <v>15659</v>
      </c>
      <c r="K1285" s="2">
        <v>45852</v>
      </c>
      <c r="L1285">
        <v>1852</v>
      </c>
      <c r="M1285">
        <v>17511</v>
      </c>
      <c r="N1285">
        <v>0</v>
      </c>
    </row>
    <row r="1286" spans="1:14" x14ac:dyDescent="0.3">
      <c r="A1286" s="1" t="s">
        <v>1331</v>
      </c>
      <c r="B1286" s="1" t="s">
        <v>37</v>
      </c>
      <c r="C1286">
        <v>31</v>
      </c>
      <c r="D1286" s="1" t="s">
        <v>23</v>
      </c>
      <c r="E1286" s="1" t="s">
        <v>17</v>
      </c>
      <c r="F1286" s="1" t="s">
        <v>25</v>
      </c>
      <c r="G1286" s="1" t="s">
        <v>41</v>
      </c>
      <c r="H1286" s="1" t="s">
        <v>20</v>
      </c>
      <c r="I1286" s="2">
        <v>44750</v>
      </c>
      <c r="J1286">
        <v>6821</v>
      </c>
      <c r="K1286" s="2">
        <v>45857</v>
      </c>
      <c r="L1286">
        <v>11990</v>
      </c>
      <c r="M1286">
        <v>18811</v>
      </c>
      <c r="N1286">
        <v>0</v>
      </c>
    </row>
    <row r="1287" spans="1:14" x14ac:dyDescent="0.3">
      <c r="A1287" s="1" t="s">
        <v>1332</v>
      </c>
      <c r="B1287" s="1" t="s">
        <v>69</v>
      </c>
      <c r="C1287">
        <v>57</v>
      </c>
      <c r="D1287" s="1" t="s">
        <v>30</v>
      </c>
      <c r="E1287" s="1" t="s">
        <v>17</v>
      </c>
      <c r="F1287" s="1" t="s">
        <v>18</v>
      </c>
      <c r="G1287" s="1" t="s">
        <v>19</v>
      </c>
      <c r="H1287" s="1" t="s">
        <v>20</v>
      </c>
      <c r="I1287" s="2">
        <v>45794</v>
      </c>
      <c r="J1287">
        <v>11333</v>
      </c>
      <c r="K1287" s="2">
        <v>45865</v>
      </c>
      <c r="L1287">
        <v>10753</v>
      </c>
      <c r="M1287">
        <v>22086</v>
      </c>
      <c r="N1287">
        <v>0</v>
      </c>
    </row>
    <row r="1288" spans="1:14" x14ac:dyDescent="0.3">
      <c r="A1288" s="1" t="s">
        <v>1333</v>
      </c>
      <c r="B1288" s="1" t="s">
        <v>59</v>
      </c>
      <c r="C1288">
        <v>58</v>
      </c>
      <c r="D1288" s="1" t="s">
        <v>23</v>
      </c>
      <c r="E1288" s="1" t="s">
        <v>38</v>
      </c>
      <c r="F1288" s="1" t="s">
        <v>18</v>
      </c>
      <c r="G1288" s="1" t="s">
        <v>19</v>
      </c>
      <c r="H1288" s="1" t="s">
        <v>20</v>
      </c>
      <c r="I1288" s="2">
        <v>44754</v>
      </c>
      <c r="J1288">
        <v>4479</v>
      </c>
      <c r="K1288" s="2">
        <v>45855</v>
      </c>
      <c r="L1288">
        <v>38754</v>
      </c>
      <c r="M1288">
        <v>43233</v>
      </c>
      <c r="N1288">
        <v>0</v>
      </c>
    </row>
    <row r="1289" spans="1:14" x14ac:dyDescent="0.3">
      <c r="A1289" s="1" t="s">
        <v>1334</v>
      </c>
      <c r="B1289" s="1" t="s">
        <v>43</v>
      </c>
      <c r="C1289">
        <v>39</v>
      </c>
      <c r="D1289" s="1" t="s">
        <v>23</v>
      </c>
      <c r="E1289" s="1" t="s">
        <v>24</v>
      </c>
      <c r="F1289" s="1" t="s">
        <v>18</v>
      </c>
      <c r="G1289" s="1" t="s">
        <v>19</v>
      </c>
      <c r="H1289" s="1" t="s">
        <v>20</v>
      </c>
      <c r="I1289" s="2">
        <v>45142</v>
      </c>
      <c r="J1289">
        <v>7815</v>
      </c>
      <c r="K1289" s="2">
        <v>45860</v>
      </c>
      <c r="L1289">
        <v>4461</v>
      </c>
      <c r="M1289">
        <v>12276</v>
      </c>
      <c r="N1289">
        <v>0</v>
      </c>
    </row>
    <row r="1290" spans="1:14" x14ac:dyDescent="0.3">
      <c r="A1290" s="1" t="s">
        <v>1335</v>
      </c>
      <c r="B1290" s="1" t="s">
        <v>59</v>
      </c>
      <c r="C1290">
        <v>28</v>
      </c>
      <c r="D1290" s="1" t="s">
        <v>23</v>
      </c>
      <c r="E1290" s="1" t="s">
        <v>24</v>
      </c>
      <c r="F1290" s="1" t="s">
        <v>18</v>
      </c>
      <c r="G1290" s="1" t="s">
        <v>19</v>
      </c>
      <c r="H1290" s="1" t="s">
        <v>20</v>
      </c>
      <c r="I1290" s="2">
        <v>44872</v>
      </c>
      <c r="J1290">
        <v>10956</v>
      </c>
      <c r="K1290" s="2">
        <v>45834</v>
      </c>
      <c r="L1290">
        <v>-16427</v>
      </c>
      <c r="M1290">
        <v>-5471</v>
      </c>
      <c r="N1290">
        <v>0</v>
      </c>
    </row>
    <row r="1291" spans="1:14" x14ac:dyDescent="0.3">
      <c r="A1291" s="1" t="s">
        <v>1336</v>
      </c>
      <c r="B1291" s="1" t="s">
        <v>52</v>
      </c>
      <c r="C1291">
        <v>40</v>
      </c>
      <c r="D1291" s="1" t="s">
        <v>23</v>
      </c>
      <c r="E1291" s="1" t="s">
        <v>24</v>
      </c>
      <c r="F1291" s="1" t="s">
        <v>25</v>
      </c>
      <c r="G1291" s="1" t="s">
        <v>19</v>
      </c>
      <c r="H1291" s="1" t="s">
        <v>20</v>
      </c>
      <c r="I1291" s="2">
        <v>44859</v>
      </c>
      <c r="J1291">
        <v>14242</v>
      </c>
      <c r="K1291" s="2">
        <v>45794</v>
      </c>
      <c r="L1291">
        <v>13003</v>
      </c>
      <c r="M1291">
        <v>27245</v>
      </c>
      <c r="N1291">
        <v>0</v>
      </c>
    </row>
    <row r="1292" spans="1:14" x14ac:dyDescent="0.3">
      <c r="A1292" s="1" t="s">
        <v>1337</v>
      </c>
      <c r="B1292" s="1" t="s">
        <v>64</v>
      </c>
      <c r="C1292">
        <v>18</v>
      </c>
      <c r="D1292" s="1" t="s">
        <v>16</v>
      </c>
      <c r="E1292" s="1" t="s">
        <v>24</v>
      </c>
      <c r="F1292" s="1" t="s">
        <v>25</v>
      </c>
      <c r="G1292" s="1" t="s">
        <v>19</v>
      </c>
      <c r="H1292" s="1" t="s">
        <v>20</v>
      </c>
      <c r="I1292" s="2">
        <v>44520</v>
      </c>
      <c r="J1292">
        <v>19773</v>
      </c>
      <c r="K1292" s="2">
        <v>45806</v>
      </c>
      <c r="L1292">
        <v>19050</v>
      </c>
      <c r="M1292">
        <v>38823</v>
      </c>
      <c r="N1292">
        <v>0</v>
      </c>
    </row>
    <row r="1293" spans="1:14" x14ac:dyDescent="0.3">
      <c r="A1293" s="1" t="s">
        <v>1338</v>
      </c>
      <c r="B1293" s="1" t="s">
        <v>22</v>
      </c>
      <c r="C1293">
        <v>63</v>
      </c>
      <c r="D1293" s="1" t="s">
        <v>23</v>
      </c>
      <c r="E1293" s="1" t="s">
        <v>17</v>
      </c>
      <c r="F1293" s="1" t="s">
        <v>18</v>
      </c>
      <c r="G1293" s="1" t="s">
        <v>19</v>
      </c>
      <c r="H1293" s="1" t="s">
        <v>20</v>
      </c>
      <c r="I1293" s="2">
        <v>45095</v>
      </c>
      <c r="J1293">
        <v>2195</v>
      </c>
      <c r="K1293" s="2">
        <v>45729</v>
      </c>
      <c r="L1293">
        <v>9058</v>
      </c>
      <c r="M1293">
        <v>11253</v>
      </c>
      <c r="N1293">
        <v>0</v>
      </c>
    </row>
    <row r="1294" spans="1:14" x14ac:dyDescent="0.3">
      <c r="A1294" s="1" t="s">
        <v>1339</v>
      </c>
      <c r="B1294" s="1" t="s">
        <v>22</v>
      </c>
      <c r="C1294">
        <v>54</v>
      </c>
      <c r="D1294" s="1" t="s">
        <v>23</v>
      </c>
      <c r="E1294" s="1" t="s">
        <v>38</v>
      </c>
      <c r="F1294" s="1" t="s">
        <v>18</v>
      </c>
      <c r="G1294" s="1" t="s">
        <v>41</v>
      </c>
      <c r="H1294" s="1" t="s">
        <v>49</v>
      </c>
      <c r="I1294" s="2">
        <v>45618</v>
      </c>
      <c r="J1294">
        <v>19834</v>
      </c>
      <c r="K1294" s="2">
        <v>45866</v>
      </c>
      <c r="L1294">
        <v>40379</v>
      </c>
      <c r="M1294">
        <v>60213</v>
      </c>
      <c r="N1294">
        <v>0</v>
      </c>
    </row>
    <row r="1295" spans="1:14" x14ac:dyDescent="0.3">
      <c r="A1295" s="1" t="s">
        <v>1340</v>
      </c>
      <c r="B1295" s="1" t="s">
        <v>34</v>
      </c>
      <c r="C1295">
        <v>38</v>
      </c>
      <c r="D1295" s="1" t="s">
        <v>16</v>
      </c>
      <c r="E1295" s="1" t="s">
        <v>17</v>
      </c>
      <c r="F1295" s="1" t="s">
        <v>25</v>
      </c>
      <c r="G1295" s="1" t="s">
        <v>19</v>
      </c>
      <c r="H1295" s="1" t="s">
        <v>20</v>
      </c>
      <c r="I1295" s="2">
        <v>44279</v>
      </c>
      <c r="J1295">
        <v>2379</v>
      </c>
      <c r="K1295" s="2">
        <v>45673</v>
      </c>
      <c r="L1295">
        <v>14972</v>
      </c>
      <c r="M1295">
        <v>17351</v>
      </c>
      <c r="N1295">
        <v>1</v>
      </c>
    </row>
    <row r="1296" spans="1:14" x14ac:dyDescent="0.3">
      <c r="A1296" s="1" t="s">
        <v>1341</v>
      </c>
      <c r="B1296" s="1" t="s">
        <v>48</v>
      </c>
      <c r="C1296">
        <v>43</v>
      </c>
      <c r="D1296" s="1" t="s">
        <v>16</v>
      </c>
      <c r="E1296" s="1" t="s">
        <v>38</v>
      </c>
      <c r="F1296" s="1" t="s">
        <v>25</v>
      </c>
      <c r="G1296" s="1" t="s">
        <v>19</v>
      </c>
      <c r="H1296" s="1" t="s">
        <v>20</v>
      </c>
      <c r="I1296" s="2">
        <v>45684</v>
      </c>
      <c r="J1296">
        <v>20569</v>
      </c>
      <c r="K1296" s="2">
        <v>45866</v>
      </c>
      <c r="L1296">
        <v>23929</v>
      </c>
      <c r="M1296">
        <v>44498</v>
      </c>
      <c r="N1296">
        <v>0</v>
      </c>
    </row>
    <row r="1297" spans="1:14" x14ac:dyDescent="0.3">
      <c r="A1297" s="1" t="s">
        <v>1342</v>
      </c>
      <c r="B1297" s="1" t="s">
        <v>34</v>
      </c>
      <c r="C1297">
        <v>63</v>
      </c>
      <c r="D1297" s="1" t="s">
        <v>16</v>
      </c>
      <c r="E1297" s="1" t="s">
        <v>38</v>
      </c>
      <c r="F1297" s="1" t="s">
        <v>25</v>
      </c>
      <c r="G1297" s="1" t="s">
        <v>19</v>
      </c>
      <c r="H1297" s="1" t="s">
        <v>20</v>
      </c>
      <c r="I1297" s="2">
        <v>45310</v>
      </c>
      <c r="J1297">
        <v>10793</v>
      </c>
      <c r="K1297" s="2">
        <v>45863</v>
      </c>
      <c r="L1297">
        <v>4865</v>
      </c>
      <c r="M1297">
        <v>15658</v>
      </c>
      <c r="N1297">
        <v>0</v>
      </c>
    </row>
    <row r="1298" spans="1:14" x14ac:dyDescent="0.3">
      <c r="A1298" s="1" t="s">
        <v>1343</v>
      </c>
      <c r="B1298" s="1" t="s">
        <v>29</v>
      </c>
      <c r="C1298">
        <v>53</v>
      </c>
      <c r="D1298" s="1" t="s">
        <v>16</v>
      </c>
      <c r="E1298" s="1" t="s">
        <v>38</v>
      </c>
      <c r="F1298" s="1" t="s">
        <v>18</v>
      </c>
      <c r="G1298" s="1" t="s">
        <v>19</v>
      </c>
      <c r="H1298" s="1" t="s">
        <v>20</v>
      </c>
      <c r="I1298" s="2">
        <v>45228</v>
      </c>
      <c r="J1298">
        <v>39794</v>
      </c>
      <c r="K1298" s="2">
        <v>45855</v>
      </c>
      <c r="L1298">
        <v>32240</v>
      </c>
      <c r="M1298">
        <v>72034</v>
      </c>
      <c r="N1298">
        <v>0</v>
      </c>
    </row>
    <row r="1299" spans="1:14" x14ac:dyDescent="0.3">
      <c r="A1299" s="1" t="s">
        <v>1344</v>
      </c>
      <c r="B1299" s="1" t="s">
        <v>64</v>
      </c>
      <c r="C1299">
        <v>40</v>
      </c>
      <c r="D1299" s="1" t="s">
        <v>16</v>
      </c>
      <c r="E1299" s="1" t="s">
        <v>24</v>
      </c>
      <c r="F1299" s="1" t="s">
        <v>18</v>
      </c>
      <c r="G1299" s="1" t="s">
        <v>41</v>
      </c>
      <c r="H1299" s="1" t="s">
        <v>20</v>
      </c>
      <c r="I1299" s="2">
        <v>45244</v>
      </c>
      <c r="J1299">
        <v>6806</v>
      </c>
      <c r="K1299" s="2">
        <v>45867</v>
      </c>
      <c r="L1299">
        <v>-13872</v>
      </c>
      <c r="M1299">
        <v>-7066</v>
      </c>
      <c r="N1299">
        <v>0</v>
      </c>
    </row>
    <row r="1300" spans="1:14" x14ac:dyDescent="0.3">
      <c r="A1300" s="1" t="s">
        <v>1345</v>
      </c>
      <c r="B1300" s="1" t="s">
        <v>32</v>
      </c>
      <c r="C1300">
        <v>18</v>
      </c>
      <c r="D1300" s="1" t="s">
        <v>23</v>
      </c>
      <c r="E1300" s="1" t="s">
        <v>17</v>
      </c>
      <c r="F1300" s="1" t="s">
        <v>18</v>
      </c>
      <c r="G1300" s="1" t="s">
        <v>19</v>
      </c>
      <c r="H1300" s="1" t="s">
        <v>20</v>
      </c>
      <c r="I1300" s="2">
        <v>44692</v>
      </c>
      <c r="J1300">
        <v>29168</v>
      </c>
      <c r="K1300" s="2">
        <v>45766</v>
      </c>
      <c r="L1300">
        <v>21439</v>
      </c>
      <c r="M1300">
        <v>50607</v>
      </c>
      <c r="N1300">
        <v>0</v>
      </c>
    </row>
    <row r="1301" spans="1:14" x14ac:dyDescent="0.3">
      <c r="A1301" s="1" t="s">
        <v>1346</v>
      </c>
      <c r="B1301" s="1" t="s">
        <v>87</v>
      </c>
      <c r="C1301">
        <v>68</v>
      </c>
      <c r="D1301" s="1" t="s">
        <v>23</v>
      </c>
      <c r="E1301" s="1" t="s">
        <v>24</v>
      </c>
      <c r="F1301" s="1" t="s">
        <v>25</v>
      </c>
      <c r="G1301" s="1" t="s">
        <v>19</v>
      </c>
      <c r="H1301" s="1" t="s">
        <v>20</v>
      </c>
      <c r="I1301" s="2">
        <v>44891</v>
      </c>
      <c r="J1301">
        <v>4157</v>
      </c>
      <c r="K1301" s="2">
        <v>45725</v>
      </c>
      <c r="L1301">
        <v>10730</v>
      </c>
      <c r="M1301">
        <v>14887</v>
      </c>
      <c r="N1301">
        <v>0</v>
      </c>
    </row>
    <row r="1302" spans="1:14" x14ac:dyDescent="0.3">
      <c r="A1302" s="1" t="s">
        <v>1347</v>
      </c>
      <c r="B1302" s="1" t="s">
        <v>34</v>
      </c>
      <c r="C1302">
        <v>57</v>
      </c>
      <c r="D1302" s="1" t="s">
        <v>16</v>
      </c>
      <c r="E1302" s="1" t="s">
        <v>24</v>
      </c>
      <c r="F1302" s="1" t="s">
        <v>25</v>
      </c>
      <c r="G1302" s="1" t="s">
        <v>19</v>
      </c>
      <c r="H1302" s="1" t="s">
        <v>20</v>
      </c>
      <c r="I1302" s="2">
        <v>45534</v>
      </c>
      <c r="J1302">
        <v>14852</v>
      </c>
      <c r="K1302" s="2">
        <v>45868</v>
      </c>
      <c r="L1302">
        <v>-13788</v>
      </c>
      <c r="M1302">
        <v>1064</v>
      </c>
      <c r="N1302">
        <v>0</v>
      </c>
    </row>
    <row r="1303" spans="1:14" x14ac:dyDescent="0.3">
      <c r="A1303" s="1" t="s">
        <v>1348</v>
      </c>
      <c r="B1303" s="1" t="s">
        <v>29</v>
      </c>
      <c r="C1303">
        <v>32</v>
      </c>
      <c r="D1303" s="1" t="s">
        <v>23</v>
      </c>
      <c r="E1303" s="1" t="s">
        <v>24</v>
      </c>
      <c r="F1303" s="1" t="s">
        <v>25</v>
      </c>
      <c r="G1303" s="1" t="s">
        <v>19</v>
      </c>
      <c r="H1303" s="1" t="s">
        <v>20</v>
      </c>
      <c r="I1303" s="2">
        <v>44709</v>
      </c>
      <c r="J1303">
        <v>1741</v>
      </c>
      <c r="K1303" s="2">
        <v>45864</v>
      </c>
      <c r="L1303">
        <v>17435</v>
      </c>
      <c r="M1303">
        <v>19176</v>
      </c>
      <c r="N1303">
        <v>0</v>
      </c>
    </row>
    <row r="1304" spans="1:14" x14ac:dyDescent="0.3">
      <c r="A1304" s="1" t="s">
        <v>1349</v>
      </c>
      <c r="B1304" s="1" t="s">
        <v>64</v>
      </c>
      <c r="C1304">
        <v>38</v>
      </c>
      <c r="D1304" s="1" t="s">
        <v>16</v>
      </c>
      <c r="E1304" s="1" t="s">
        <v>38</v>
      </c>
      <c r="F1304" s="1" t="s">
        <v>18</v>
      </c>
      <c r="G1304" s="1" t="s">
        <v>19</v>
      </c>
      <c r="H1304" s="1" t="s">
        <v>20</v>
      </c>
      <c r="I1304" s="2">
        <v>44983</v>
      </c>
      <c r="J1304">
        <v>32308</v>
      </c>
      <c r="K1304" s="2">
        <v>45829</v>
      </c>
      <c r="L1304">
        <v>11027</v>
      </c>
      <c r="M1304">
        <v>43335</v>
      </c>
      <c r="N1304">
        <v>0</v>
      </c>
    </row>
    <row r="1305" spans="1:14" x14ac:dyDescent="0.3">
      <c r="A1305" s="1" t="s">
        <v>1350</v>
      </c>
      <c r="B1305" s="1" t="s">
        <v>40</v>
      </c>
      <c r="C1305">
        <v>64</v>
      </c>
      <c r="D1305" s="1" t="s">
        <v>23</v>
      </c>
      <c r="E1305" s="1" t="s">
        <v>24</v>
      </c>
      <c r="F1305" s="1" t="s">
        <v>25</v>
      </c>
      <c r="G1305" s="1" t="s">
        <v>19</v>
      </c>
      <c r="H1305" s="1" t="s">
        <v>20</v>
      </c>
      <c r="I1305" s="2">
        <v>44229</v>
      </c>
      <c r="J1305">
        <v>75122</v>
      </c>
      <c r="K1305" s="2">
        <v>45868</v>
      </c>
      <c r="L1305">
        <v>15011</v>
      </c>
      <c r="M1305">
        <v>90133</v>
      </c>
      <c r="N1305">
        <v>0</v>
      </c>
    </row>
    <row r="1306" spans="1:14" x14ac:dyDescent="0.3">
      <c r="A1306" s="1" t="s">
        <v>1351</v>
      </c>
      <c r="B1306" s="1" t="s">
        <v>37</v>
      </c>
      <c r="C1306">
        <v>26</v>
      </c>
      <c r="D1306" s="1" t="s">
        <v>23</v>
      </c>
      <c r="E1306" s="1" t="s">
        <v>24</v>
      </c>
      <c r="F1306" s="1" t="s">
        <v>25</v>
      </c>
      <c r="G1306" s="1" t="s">
        <v>41</v>
      </c>
      <c r="H1306" s="1" t="s">
        <v>20</v>
      </c>
      <c r="I1306" s="2">
        <v>45424</v>
      </c>
      <c r="J1306">
        <v>6646</v>
      </c>
      <c r="K1306" s="2">
        <v>45866</v>
      </c>
      <c r="L1306">
        <v>18215</v>
      </c>
      <c r="M1306">
        <v>24861</v>
      </c>
      <c r="N1306">
        <v>0</v>
      </c>
    </row>
    <row r="1307" spans="1:14" x14ac:dyDescent="0.3">
      <c r="A1307" s="1" t="s">
        <v>1352</v>
      </c>
      <c r="B1307" s="1" t="s">
        <v>64</v>
      </c>
      <c r="C1307">
        <v>26</v>
      </c>
      <c r="D1307" s="1" t="s">
        <v>16</v>
      </c>
      <c r="E1307" s="1" t="s">
        <v>24</v>
      </c>
      <c r="F1307" s="1" t="s">
        <v>18</v>
      </c>
      <c r="G1307" s="1" t="s">
        <v>41</v>
      </c>
      <c r="H1307" s="1" t="s">
        <v>20</v>
      </c>
      <c r="I1307" s="2">
        <v>44895</v>
      </c>
      <c r="J1307">
        <v>15103</v>
      </c>
      <c r="K1307" s="2">
        <v>45827</v>
      </c>
      <c r="L1307">
        <v>13766</v>
      </c>
      <c r="M1307">
        <v>28869</v>
      </c>
      <c r="N1307">
        <v>0</v>
      </c>
    </row>
    <row r="1308" spans="1:14" x14ac:dyDescent="0.3">
      <c r="A1308" s="1" t="s">
        <v>1353</v>
      </c>
      <c r="B1308" s="1" t="s">
        <v>29</v>
      </c>
      <c r="C1308">
        <v>27</v>
      </c>
      <c r="D1308" s="1" t="s">
        <v>16</v>
      </c>
      <c r="E1308" s="1" t="s">
        <v>24</v>
      </c>
      <c r="F1308" s="1" t="s">
        <v>18</v>
      </c>
      <c r="G1308" s="1" t="s">
        <v>19</v>
      </c>
      <c r="H1308" s="1" t="s">
        <v>20</v>
      </c>
      <c r="I1308" s="2">
        <v>45075</v>
      </c>
      <c r="J1308">
        <v>20824</v>
      </c>
      <c r="K1308" s="2">
        <v>45859</v>
      </c>
      <c r="L1308">
        <v>-5672</v>
      </c>
      <c r="M1308">
        <v>15152</v>
      </c>
      <c r="N1308">
        <v>0</v>
      </c>
    </row>
    <row r="1309" spans="1:14" x14ac:dyDescent="0.3">
      <c r="A1309" s="1" t="s">
        <v>1354</v>
      </c>
      <c r="B1309" s="1" t="s">
        <v>37</v>
      </c>
      <c r="C1309">
        <v>69</v>
      </c>
      <c r="D1309" s="1" t="s">
        <v>16</v>
      </c>
      <c r="E1309" s="1" t="s">
        <v>24</v>
      </c>
      <c r="F1309" s="1" t="s">
        <v>18</v>
      </c>
      <c r="G1309" s="1" t="s">
        <v>19</v>
      </c>
      <c r="H1309" s="1" t="s">
        <v>20</v>
      </c>
      <c r="I1309" s="2">
        <v>44388</v>
      </c>
      <c r="J1309">
        <v>2835</v>
      </c>
      <c r="K1309" s="2">
        <v>45865</v>
      </c>
      <c r="L1309">
        <v>-7253</v>
      </c>
      <c r="M1309">
        <v>-4418</v>
      </c>
      <c r="N1309">
        <v>0</v>
      </c>
    </row>
    <row r="1310" spans="1:14" x14ac:dyDescent="0.3">
      <c r="A1310" s="1" t="s">
        <v>1355</v>
      </c>
      <c r="B1310" s="1" t="s">
        <v>29</v>
      </c>
      <c r="C1310">
        <v>43</v>
      </c>
      <c r="D1310" s="1" t="s">
        <v>16</v>
      </c>
      <c r="E1310" s="1" t="s">
        <v>38</v>
      </c>
      <c r="F1310" s="1" t="s">
        <v>18</v>
      </c>
      <c r="G1310" s="1" t="s">
        <v>19</v>
      </c>
      <c r="H1310" s="1" t="s">
        <v>20</v>
      </c>
      <c r="I1310" s="2">
        <v>45856</v>
      </c>
      <c r="J1310">
        <v>6316</v>
      </c>
      <c r="K1310" s="2">
        <v>45869</v>
      </c>
      <c r="L1310">
        <v>6178</v>
      </c>
      <c r="M1310">
        <v>12494</v>
      </c>
      <c r="N1310">
        <v>0</v>
      </c>
    </row>
    <row r="1311" spans="1:14" x14ac:dyDescent="0.3">
      <c r="A1311" s="1" t="s">
        <v>1356</v>
      </c>
      <c r="B1311" s="1" t="s">
        <v>56</v>
      </c>
      <c r="C1311">
        <v>58</v>
      </c>
      <c r="D1311" s="1" t="s">
        <v>23</v>
      </c>
      <c r="E1311" s="1" t="s">
        <v>38</v>
      </c>
      <c r="F1311" s="1" t="s">
        <v>18</v>
      </c>
      <c r="G1311" s="1" t="s">
        <v>41</v>
      </c>
      <c r="H1311" s="1" t="s">
        <v>20</v>
      </c>
      <c r="I1311" s="2">
        <v>44703</v>
      </c>
      <c r="J1311">
        <v>5937</v>
      </c>
      <c r="K1311" s="2">
        <v>45839</v>
      </c>
      <c r="L1311">
        <v>17863</v>
      </c>
      <c r="M1311">
        <v>23800</v>
      </c>
      <c r="N1311">
        <v>0</v>
      </c>
    </row>
    <row r="1312" spans="1:14" x14ac:dyDescent="0.3">
      <c r="A1312" s="1" t="s">
        <v>1357</v>
      </c>
      <c r="B1312" s="1" t="s">
        <v>43</v>
      </c>
      <c r="C1312">
        <v>52</v>
      </c>
      <c r="D1312" s="1" t="s">
        <v>23</v>
      </c>
      <c r="E1312" s="1" t="s">
        <v>38</v>
      </c>
      <c r="F1312" s="1" t="s">
        <v>18</v>
      </c>
      <c r="G1312" s="1" t="s">
        <v>19</v>
      </c>
      <c r="H1312" s="1" t="s">
        <v>20</v>
      </c>
      <c r="I1312" s="2">
        <v>45259</v>
      </c>
      <c r="J1312">
        <v>148311</v>
      </c>
      <c r="K1312" s="2">
        <v>45851</v>
      </c>
      <c r="L1312">
        <v>-1131</v>
      </c>
      <c r="M1312">
        <v>147180</v>
      </c>
      <c r="N1312">
        <v>0</v>
      </c>
    </row>
    <row r="1313" spans="1:14" x14ac:dyDescent="0.3">
      <c r="A1313" s="1" t="s">
        <v>1358</v>
      </c>
      <c r="B1313" s="1" t="s">
        <v>15</v>
      </c>
      <c r="C1313">
        <v>69</v>
      </c>
      <c r="D1313" s="1" t="s">
        <v>16</v>
      </c>
      <c r="E1313" s="1" t="s">
        <v>38</v>
      </c>
      <c r="F1313" s="1" t="s">
        <v>18</v>
      </c>
      <c r="G1313" s="1" t="s">
        <v>19</v>
      </c>
      <c r="H1313" s="1" t="s">
        <v>20</v>
      </c>
      <c r="I1313" s="2">
        <v>45169</v>
      </c>
      <c r="J1313">
        <v>38018</v>
      </c>
      <c r="K1313" s="2">
        <v>45799</v>
      </c>
      <c r="L1313">
        <v>33723</v>
      </c>
      <c r="M1313">
        <v>71741</v>
      </c>
      <c r="N1313">
        <v>0</v>
      </c>
    </row>
    <row r="1314" spans="1:14" x14ac:dyDescent="0.3">
      <c r="A1314" s="1" t="s">
        <v>1359</v>
      </c>
      <c r="B1314" s="1" t="s">
        <v>75</v>
      </c>
      <c r="C1314">
        <v>42</v>
      </c>
      <c r="D1314" s="1" t="s">
        <v>16</v>
      </c>
      <c r="E1314" s="1" t="s">
        <v>38</v>
      </c>
      <c r="F1314" s="1" t="s">
        <v>18</v>
      </c>
      <c r="G1314" s="1" t="s">
        <v>19</v>
      </c>
      <c r="H1314" s="1" t="s">
        <v>20</v>
      </c>
      <c r="I1314" s="2">
        <v>45510</v>
      </c>
      <c r="J1314">
        <v>10753</v>
      </c>
      <c r="K1314" s="2">
        <v>45844</v>
      </c>
      <c r="L1314">
        <v>20901</v>
      </c>
      <c r="M1314">
        <v>31654</v>
      </c>
      <c r="N1314">
        <v>0</v>
      </c>
    </row>
    <row r="1315" spans="1:14" x14ac:dyDescent="0.3">
      <c r="A1315" s="1" t="s">
        <v>1360</v>
      </c>
      <c r="B1315" s="1" t="s">
        <v>15</v>
      </c>
      <c r="C1315">
        <v>43</v>
      </c>
      <c r="D1315" s="1" t="s">
        <v>23</v>
      </c>
      <c r="E1315" s="1" t="s">
        <v>17</v>
      </c>
      <c r="F1315" s="1" t="s">
        <v>18</v>
      </c>
      <c r="G1315" s="1" t="s">
        <v>19</v>
      </c>
      <c r="H1315" s="1" t="s">
        <v>20</v>
      </c>
      <c r="I1315" s="2">
        <v>44688</v>
      </c>
      <c r="J1315">
        <v>29116</v>
      </c>
      <c r="K1315" s="2">
        <v>45814</v>
      </c>
      <c r="L1315">
        <v>8581</v>
      </c>
      <c r="M1315">
        <v>37697</v>
      </c>
      <c r="N1315">
        <v>0</v>
      </c>
    </row>
    <row r="1316" spans="1:14" x14ac:dyDescent="0.3">
      <c r="A1316" s="1" t="s">
        <v>1361</v>
      </c>
      <c r="B1316" s="1" t="s">
        <v>75</v>
      </c>
      <c r="C1316">
        <v>28</v>
      </c>
      <c r="D1316" s="1" t="s">
        <v>16</v>
      </c>
      <c r="E1316" s="1" t="s">
        <v>38</v>
      </c>
      <c r="F1316" s="1" t="s">
        <v>25</v>
      </c>
      <c r="G1316" s="1" t="s">
        <v>19</v>
      </c>
      <c r="H1316" s="1" t="s">
        <v>20</v>
      </c>
      <c r="I1316" s="2">
        <v>45461</v>
      </c>
      <c r="J1316">
        <v>16502</v>
      </c>
      <c r="K1316" s="2">
        <v>45861</v>
      </c>
      <c r="L1316">
        <v>3046</v>
      </c>
      <c r="M1316">
        <v>19548</v>
      </c>
      <c r="N1316">
        <v>0</v>
      </c>
    </row>
    <row r="1317" spans="1:14" x14ac:dyDescent="0.3">
      <c r="A1317" s="1" t="s">
        <v>1362</v>
      </c>
      <c r="B1317" s="1" t="s">
        <v>61</v>
      </c>
      <c r="C1317">
        <v>55</v>
      </c>
      <c r="D1317" s="1" t="s">
        <v>23</v>
      </c>
      <c r="E1317" s="1" t="s">
        <v>17</v>
      </c>
      <c r="F1317" s="1" t="s">
        <v>18</v>
      </c>
      <c r="G1317" s="1" t="s">
        <v>19</v>
      </c>
      <c r="H1317" s="1" t="s">
        <v>20</v>
      </c>
      <c r="I1317" s="2">
        <v>44836</v>
      </c>
      <c r="J1317">
        <v>24174</v>
      </c>
      <c r="K1317" s="2">
        <v>45838</v>
      </c>
      <c r="L1317">
        <v>-3637</v>
      </c>
      <c r="M1317">
        <v>20537</v>
      </c>
      <c r="N1317">
        <v>0</v>
      </c>
    </row>
    <row r="1318" spans="1:14" x14ac:dyDescent="0.3">
      <c r="A1318" s="1" t="s">
        <v>1363</v>
      </c>
      <c r="B1318" s="1" t="s">
        <v>59</v>
      </c>
      <c r="C1318">
        <v>19</v>
      </c>
      <c r="D1318" s="1" t="s">
        <v>16</v>
      </c>
      <c r="E1318" s="1" t="s">
        <v>17</v>
      </c>
      <c r="F1318" s="1" t="s">
        <v>25</v>
      </c>
      <c r="G1318" s="1" t="s">
        <v>41</v>
      </c>
      <c r="H1318" s="1" t="s">
        <v>20</v>
      </c>
      <c r="I1318" s="2">
        <v>44884</v>
      </c>
      <c r="J1318">
        <v>4659</v>
      </c>
      <c r="K1318" s="2">
        <v>45842</v>
      </c>
      <c r="L1318">
        <v>1183</v>
      </c>
      <c r="M1318">
        <v>5842</v>
      </c>
      <c r="N1318">
        <v>0</v>
      </c>
    </row>
    <row r="1319" spans="1:14" x14ac:dyDescent="0.3">
      <c r="A1319" s="1" t="s">
        <v>1364</v>
      </c>
      <c r="B1319" s="1" t="s">
        <v>75</v>
      </c>
      <c r="C1319">
        <v>24</v>
      </c>
      <c r="D1319" s="1" t="s">
        <v>23</v>
      </c>
      <c r="E1319" s="1" t="s">
        <v>24</v>
      </c>
      <c r="F1319" s="1" t="s">
        <v>18</v>
      </c>
      <c r="G1319" s="1" t="s">
        <v>19</v>
      </c>
      <c r="H1319" s="1" t="s">
        <v>20</v>
      </c>
      <c r="I1319" s="2">
        <v>45322</v>
      </c>
      <c r="J1319">
        <v>52753</v>
      </c>
      <c r="K1319" s="2">
        <v>45867</v>
      </c>
      <c r="L1319">
        <v>7393</v>
      </c>
      <c r="M1319">
        <v>60146</v>
      </c>
      <c r="N1319">
        <v>0</v>
      </c>
    </row>
    <row r="1320" spans="1:14" x14ac:dyDescent="0.3">
      <c r="A1320" s="1" t="s">
        <v>1365</v>
      </c>
      <c r="B1320" s="1" t="s">
        <v>22</v>
      </c>
      <c r="C1320">
        <v>35</v>
      </c>
      <c r="D1320" s="1" t="s">
        <v>16</v>
      </c>
      <c r="E1320" s="1" t="s">
        <v>24</v>
      </c>
      <c r="F1320" s="1" t="s">
        <v>25</v>
      </c>
      <c r="G1320" s="1" t="s">
        <v>19</v>
      </c>
      <c r="H1320" s="1" t="s">
        <v>20</v>
      </c>
      <c r="I1320" s="2">
        <v>45509</v>
      </c>
      <c r="J1320">
        <v>6200</v>
      </c>
      <c r="K1320" s="2">
        <v>45858</v>
      </c>
      <c r="L1320">
        <v>19509</v>
      </c>
      <c r="M1320">
        <v>25709</v>
      </c>
      <c r="N1320">
        <v>0</v>
      </c>
    </row>
    <row r="1321" spans="1:14" x14ac:dyDescent="0.3">
      <c r="A1321" s="1" t="s">
        <v>1366</v>
      </c>
      <c r="B1321" s="1" t="s">
        <v>22</v>
      </c>
      <c r="C1321">
        <v>44</v>
      </c>
      <c r="D1321" s="1" t="s">
        <v>16</v>
      </c>
      <c r="E1321" s="1" t="s">
        <v>17</v>
      </c>
      <c r="F1321" s="1" t="s">
        <v>18</v>
      </c>
      <c r="G1321" s="1" t="s">
        <v>19</v>
      </c>
      <c r="H1321" s="1" t="s">
        <v>49</v>
      </c>
      <c r="I1321" s="2">
        <v>45312</v>
      </c>
      <c r="J1321">
        <v>6529</v>
      </c>
      <c r="K1321" s="2">
        <v>45867</v>
      </c>
      <c r="L1321">
        <v>32691</v>
      </c>
      <c r="M1321">
        <v>39220</v>
      </c>
      <c r="N1321">
        <v>0</v>
      </c>
    </row>
    <row r="1322" spans="1:14" x14ac:dyDescent="0.3">
      <c r="A1322" s="1" t="s">
        <v>1367</v>
      </c>
      <c r="B1322" s="1" t="s">
        <v>32</v>
      </c>
      <c r="C1322">
        <v>51</v>
      </c>
      <c r="D1322" s="1" t="s">
        <v>23</v>
      </c>
      <c r="E1322" s="1" t="s">
        <v>17</v>
      </c>
      <c r="F1322" s="1" t="s">
        <v>25</v>
      </c>
      <c r="G1322" s="1" t="s">
        <v>19</v>
      </c>
      <c r="H1322" s="1" t="s">
        <v>20</v>
      </c>
      <c r="I1322" s="2">
        <v>45702</v>
      </c>
      <c r="J1322">
        <v>24106</v>
      </c>
      <c r="K1322" s="2">
        <v>45866</v>
      </c>
      <c r="L1322">
        <v>14858</v>
      </c>
      <c r="M1322">
        <v>38964</v>
      </c>
      <c r="N1322">
        <v>0</v>
      </c>
    </row>
    <row r="1323" spans="1:14" x14ac:dyDescent="0.3">
      <c r="A1323" s="1" t="s">
        <v>1368</v>
      </c>
      <c r="B1323" s="1" t="s">
        <v>52</v>
      </c>
      <c r="C1323">
        <v>44</v>
      </c>
      <c r="D1323" s="1" t="s">
        <v>16</v>
      </c>
      <c r="E1323" s="1" t="s">
        <v>17</v>
      </c>
      <c r="F1323" s="1" t="s">
        <v>18</v>
      </c>
      <c r="G1323" s="1" t="s">
        <v>19</v>
      </c>
      <c r="H1323" s="1" t="s">
        <v>20</v>
      </c>
      <c r="I1323" s="2">
        <v>44674</v>
      </c>
      <c r="J1323">
        <v>18878</v>
      </c>
      <c r="K1323" s="2">
        <v>45845</v>
      </c>
      <c r="L1323">
        <v>4707</v>
      </c>
      <c r="M1323">
        <v>23585</v>
      </c>
      <c r="N1323">
        <v>0</v>
      </c>
    </row>
    <row r="1324" spans="1:14" x14ac:dyDescent="0.3">
      <c r="A1324" s="1" t="s">
        <v>1369</v>
      </c>
      <c r="B1324" s="1" t="s">
        <v>15</v>
      </c>
      <c r="C1324">
        <v>34</v>
      </c>
      <c r="D1324" s="1" t="s">
        <v>23</v>
      </c>
      <c r="E1324" s="1" t="s">
        <v>35</v>
      </c>
      <c r="F1324" s="1" t="s">
        <v>25</v>
      </c>
      <c r="G1324" s="1" t="s">
        <v>19</v>
      </c>
      <c r="H1324" s="1" t="s">
        <v>20</v>
      </c>
      <c r="I1324" s="2">
        <v>45703</v>
      </c>
      <c r="J1324">
        <v>13673</v>
      </c>
      <c r="K1324" s="2">
        <v>45869</v>
      </c>
      <c r="L1324">
        <v>1747</v>
      </c>
      <c r="M1324">
        <v>15420</v>
      </c>
      <c r="N1324">
        <v>0</v>
      </c>
    </row>
    <row r="1325" spans="1:14" x14ac:dyDescent="0.3">
      <c r="A1325" s="1" t="s">
        <v>1370</v>
      </c>
      <c r="B1325" s="1" t="s">
        <v>22</v>
      </c>
      <c r="C1325">
        <v>60</v>
      </c>
      <c r="D1325" s="1" t="s">
        <v>23</v>
      </c>
      <c r="E1325" s="1" t="s">
        <v>17</v>
      </c>
      <c r="F1325" s="1" t="s">
        <v>18</v>
      </c>
      <c r="G1325" s="1" t="s">
        <v>19</v>
      </c>
      <c r="H1325" s="1" t="s">
        <v>20</v>
      </c>
      <c r="I1325" s="2">
        <v>44415</v>
      </c>
      <c r="J1325">
        <v>30934</v>
      </c>
      <c r="K1325" s="2">
        <v>45778</v>
      </c>
      <c r="L1325">
        <v>7865</v>
      </c>
      <c r="M1325">
        <v>38799</v>
      </c>
      <c r="N1325">
        <v>0</v>
      </c>
    </row>
    <row r="1326" spans="1:14" x14ac:dyDescent="0.3">
      <c r="A1326" s="1" t="s">
        <v>1371</v>
      </c>
      <c r="B1326" s="1" t="s">
        <v>40</v>
      </c>
      <c r="C1326">
        <v>61</v>
      </c>
      <c r="D1326" s="1" t="s">
        <v>23</v>
      </c>
      <c r="E1326" s="1" t="s">
        <v>17</v>
      </c>
      <c r="F1326" s="1" t="s">
        <v>25</v>
      </c>
      <c r="G1326" s="1" t="s">
        <v>41</v>
      </c>
      <c r="H1326" s="1" t="s">
        <v>20</v>
      </c>
      <c r="I1326" s="2">
        <v>45300</v>
      </c>
      <c r="J1326">
        <v>4184</v>
      </c>
      <c r="K1326" s="2">
        <v>45846</v>
      </c>
      <c r="L1326">
        <v>3710</v>
      </c>
      <c r="M1326">
        <v>7894</v>
      </c>
      <c r="N1326">
        <v>0</v>
      </c>
    </row>
    <row r="1327" spans="1:14" x14ac:dyDescent="0.3">
      <c r="A1327" s="1" t="s">
        <v>1372</v>
      </c>
      <c r="B1327" s="1" t="s">
        <v>32</v>
      </c>
      <c r="C1327">
        <v>68</v>
      </c>
      <c r="D1327" s="1" t="s">
        <v>23</v>
      </c>
      <c r="E1327" s="1" t="s">
        <v>24</v>
      </c>
      <c r="F1327" s="1" t="s">
        <v>18</v>
      </c>
      <c r="G1327" s="1" t="s">
        <v>19</v>
      </c>
      <c r="H1327" s="1" t="s">
        <v>20</v>
      </c>
      <c r="I1327" s="2">
        <v>45113</v>
      </c>
      <c r="J1327">
        <v>84487</v>
      </c>
      <c r="K1327" s="2">
        <v>45838</v>
      </c>
      <c r="L1327">
        <v>785</v>
      </c>
      <c r="M1327">
        <v>85272</v>
      </c>
      <c r="N1327">
        <v>0</v>
      </c>
    </row>
    <row r="1328" spans="1:14" x14ac:dyDescent="0.3">
      <c r="A1328" s="1" t="s">
        <v>1373</v>
      </c>
      <c r="B1328" s="1" t="s">
        <v>64</v>
      </c>
      <c r="C1328">
        <v>41</v>
      </c>
      <c r="D1328" s="1" t="s">
        <v>23</v>
      </c>
      <c r="E1328" s="1" t="s">
        <v>24</v>
      </c>
      <c r="F1328" s="1" t="s">
        <v>18</v>
      </c>
      <c r="G1328" s="1" t="s">
        <v>19</v>
      </c>
      <c r="H1328" s="1" t="s">
        <v>20</v>
      </c>
      <c r="I1328" s="2">
        <v>45024</v>
      </c>
      <c r="J1328">
        <v>8098</v>
      </c>
      <c r="K1328" s="2">
        <v>45842</v>
      </c>
      <c r="L1328">
        <v>14599</v>
      </c>
      <c r="M1328">
        <v>22697</v>
      </c>
      <c r="N1328">
        <v>0</v>
      </c>
    </row>
    <row r="1329" spans="1:14" x14ac:dyDescent="0.3">
      <c r="A1329" s="1" t="s">
        <v>1374</v>
      </c>
      <c r="B1329" s="1" t="s">
        <v>29</v>
      </c>
      <c r="C1329">
        <v>42</v>
      </c>
      <c r="D1329" s="1" t="s">
        <v>16</v>
      </c>
      <c r="E1329" s="1" t="s">
        <v>35</v>
      </c>
      <c r="F1329" s="1" t="s">
        <v>18</v>
      </c>
      <c r="G1329" s="1" t="s">
        <v>19</v>
      </c>
      <c r="H1329" s="1" t="s">
        <v>20</v>
      </c>
      <c r="I1329" s="2">
        <v>44717</v>
      </c>
      <c r="J1329">
        <v>12229</v>
      </c>
      <c r="K1329" s="2">
        <v>45868</v>
      </c>
      <c r="L1329">
        <v>14399</v>
      </c>
      <c r="M1329">
        <v>26628</v>
      </c>
      <c r="N1329">
        <v>0</v>
      </c>
    </row>
    <row r="1330" spans="1:14" x14ac:dyDescent="0.3">
      <c r="A1330" s="1" t="s">
        <v>1375</v>
      </c>
      <c r="B1330" s="1" t="s">
        <v>52</v>
      </c>
      <c r="C1330">
        <v>24</v>
      </c>
      <c r="D1330" s="1" t="s">
        <v>16</v>
      </c>
      <c r="E1330" s="1" t="s">
        <v>17</v>
      </c>
      <c r="F1330" s="1" t="s">
        <v>25</v>
      </c>
      <c r="G1330" s="1" t="s">
        <v>19</v>
      </c>
      <c r="H1330" s="1" t="s">
        <v>20</v>
      </c>
      <c r="I1330" s="2">
        <v>45039</v>
      </c>
      <c r="J1330">
        <v>85805</v>
      </c>
      <c r="K1330" s="2">
        <v>45858</v>
      </c>
      <c r="L1330">
        <v>17710</v>
      </c>
      <c r="M1330">
        <v>103515</v>
      </c>
      <c r="N1330">
        <v>0</v>
      </c>
    </row>
    <row r="1331" spans="1:14" x14ac:dyDescent="0.3">
      <c r="A1331" s="1" t="s">
        <v>1376</v>
      </c>
      <c r="B1331" s="1" t="s">
        <v>56</v>
      </c>
      <c r="C1331">
        <v>69</v>
      </c>
      <c r="D1331" s="1" t="s">
        <v>16</v>
      </c>
      <c r="E1331" s="1" t="s">
        <v>24</v>
      </c>
      <c r="F1331" s="1" t="s">
        <v>25</v>
      </c>
      <c r="G1331" s="1" t="s">
        <v>41</v>
      </c>
      <c r="H1331" s="1" t="s">
        <v>20</v>
      </c>
      <c r="I1331" s="2">
        <v>44467</v>
      </c>
      <c r="J1331">
        <v>6572</v>
      </c>
      <c r="K1331" s="2">
        <v>45738</v>
      </c>
      <c r="L1331">
        <v>571</v>
      </c>
      <c r="M1331">
        <v>7143</v>
      </c>
      <c r="N1331">
        <v>0</v>
      </c>
    </row>
    <row r="1332" spans="1:14" x14ac:dyDescent="0.3">
      <c r="A1332" s="1" t="s">
        <v>1377</v>
      </c>
      <c r="B1332" s="1" t="s">
        <v>15</v>
      </c>
      <c r="C1332">
        <v>23</v>
      </c>
      <c r="D1332" s="1" t="s">
        <v>23</v>
      </c>
      <c r="E1332" s="1" t="s">
        <v>38</v>
      </c>
      <c r="F1332" s="1" t="s">
        <v>25</v>
      </c>
      <c r="G1332" s="1" t="s">
        <v>19</v>
      </c>
      <c r="H1332" s="1" t="s">
        <v>20</v>
      </c>
      <c r="I1332" s="2">
        <v>44814</v>
      </c>
      <c r="J1332">
        <v>37162</v>
      </c>
      <c r="K1332" s="2">
        <v>45798</v>
      </c>
      <c r="L1332">
        <v>-5611</v>
      </c>
      <c r="M1332">
        <v>31551</v>
      </c>
      <c r="N1332">
        <v>0</v>
      </c>
    </row>
    <row r="1333" spans="1:14" x14ac:dyDescent="0.3">
      <c r="A1333" s="1" t="s">
        <v>1378</v>
      </c>
      <c r="B1333" s="1" t="s">
        <v>87</v>
      </c>
      <c r="C1333">
        <v>41</v>
      </c>
      <c r="D1333" s="1" t="s">
        <v>23</v>
      </c>
      <c r="E1333" s="1" t="s">
        <v>35</v>
      </c>
      <c r="F1333" s="1" t="s">
        <v>18</v>
      </c>
      <c r="G1333" s="1" t="s">
        <v>19</v>
      </c>
      <c r="H1333" s="1" t="s">
        <v>20</v>
      </c>
      <c r="I1333" s="2">
        <v>44362</v>
      </c>
      <c r="J1333">
        <v>10782</v>
      </c>
      <c r="K1333" s="2">
        <v>45854</v>
      </c>
      <c r="L1333">
        <v>10435</v>
      </c>
      <c r="M1333">
        <v>21217</v>
      </c>
      <c r="N1333">
        <v>0</v>
      </c>
    </row>
    <row r="1334" spans="1:14" x14ac:dyDescent="0.3">
      <c r="A1334" s="1" t="s">
        <v>1379</v>
      </c>
      <c r="B1334" s="1" t="s">
        <v>87</v>
      </c>
      <c r="C1334">
        <v>50</v>
      </c>
      <c r="D1334" s="1" t="s">
        <v>23</v>
      </c>
      <c r="E1334" s="1" t="s">
        <v>24</v>
      </c>
      <c r="F1334" s="1" t="s">
        <v>18</v>
      </c>
      <c r="G1334" s="1" t="s">
        <v>19</v>
      </c>
      <c r="H1334" s="1" t="s">
        <v>20</v>
      </c>
      <c r="I1334" s="2">
        <v>45153</v>
      </c>
      <c r="J1334">
        <v>5757</v>
      </c>
      <c r="K1334" s="2">
        <v>45777</v>
      </c>
      <c r="L1334">
        <v>10705</v>
      </c>
      <c r="M1334">
        <v>16462</v>
      </c>
      <c r="N1334">
        <v>0</v>
      </c>
    </row>
    <row r="1335" spans="1:14" x14ac:dyDescent="0.3">
      <c r="A1335" s="1" t="s">
        <v>1380</v>
      </c>
      <c r="B1335" s="1" t="s">
        <v>71</v>
      </c>
      <c r="C1335">
        <v>66</v>
      </c>
      <c r="D1335" s="1" t="s">
        <v>23</v>
      </c>
      <c r="E1335" s="1" t="s">
        <v>38</v>
      </c>
      <c r="F1335" s="1" t="s">
        <v>25</v>
      </c>
      <c r="G1335" s="1" t="s">
        <v>19</v>
      </c>
      <c r="H1335" s="1" t="s">
        <v>20</v>
      </c>
      <c r="I1335" s="2">
        <v>44357</v>
      </c>
      <c r="J1335">
        <v>9102</v>
      </c>
      <c r="K1335" s="2">
        <v>45794</v>
      </c>
      <c r="L1335">
        <v>13577</v>
      </c>
      <c r="M1335">
        <v>22679</v>
      </c>
      <c r="N1335">
        <v>0</v>
      </c>
    </row>
    <row r="1336" spans="1:14" x14ac:dyDescent="0.3">
      <c r="A1336" s="1" t="s">
        <v>1381</v>
      </c>
      <c r="B1336" s="1" t="s">
        <v>29</v>
      </c>
      <c r="C1336">
        <v>46</v>
      </c>
      <c r="D1336" s="1" t="s">
        <v>16</v>
      </c>
      <c r="E1336" s="1" t="s">
        <v>17</v>
      </c>
      <c r="F1336" s="1" t="s">
        <v>18</v>
      </c>
      <c r="G1336" s="1" t="s">
        <v>19</v>
      </c>
      <c r="H1336" s="1" t="s">
        <v>20</v>
      </c>
      <c r="I1336" s="2">
        <v>44465</v>
      </c>
      <c r="J1336">
        <v>23536</v>
      </c>
      <c r="K1336" s="2">
        <v>45846</v>
      </c>
      <c r="L1336">
        <v>15086</v>
      </c>
      <c r="M1336">
        <v>38622</v>
      </c>
      <c r="N1336">
        <v>0</v>
      </c>
    </row>
    <row r="1337" spans="1:14" x14ac:dyDescent="0.3">
      <c r="A1337" s="1" t="s">
        <v>1382</v>
      </c>
      <c r="B1337" s="1" t="s">
        <v>37</v>
      </c>
      <c r="C1337">
        <v>60</v>
      </c>
      <c r="D1337" s="1" t="s">
        <v>23</v>
      </c>
      <c r="E1337" s="1" t="s">
        <v>24</v>
      </c>
      <c r="F1337" s="1" t="s">
        <v>25</v>
      </c>
      <c r="G1337" s="1" t="s">
        <v>19</v>
      </c>
      <c r="H1337" s="1" t="s">
        <v>20</v>
      </c>
      <c r="I1337" s="2">
        <v>44339</v>
      </c>
      <c r="J1337">
        <v>36837</v>
      </c>
      <c r="K1337" s="2">
        <v>45703</v>
      </c>
      <c r="L1337">
        <v>9913</v>
      </c>
      <c r="M1337">
        <v>46750</v>
      </c>
      <c r="N1337">
        <v>0</v>
      </c>
    </row>
    <row r="1338" spans="1:14" x14ac:dyDescent="0.3">
      <c r="A1338" s="1" t="s">
        <v>1383</v>
      </c>
      <c r="B1338" s="1" t="s">
        <v>37</v>
      </c>
      <c r="C1338">
        <v>39</v>
      </c>
      <c r="D1338" s="1" t="s">
        <v>16</v>
      </c>
      <c r="E1338" s="1" t="s">
        <v>24</v>
      </c>
      <c r="F1338" s="1" t="s">
        <v>25</v>
      </c>
      <c r="G1338" s="1" t="s">
        <v>19</v>
      </c>
      <c r="H1338" s="1" t="s">
        <v>20</v>
      </c>
      <c r="I1338" s="2">
        <v>44834</v>
      </c>
      <c r="J1338">
        <v>16741</v>
      </c>
      <c r="K1338" s="2">
        <v>45823</v>
      </c>
      <c r="L1338">
        <v>22594</v>
      </c>
      <c r="M1338">
        <v>39335</v>
      </c>
      <c r="N1338">
        <v>0</v>
      </c>
    </row>
    <row r="1339" spans="1:14" x14ac:dyDescent="0.3">
      <c r="A1339" s="1" t="s">
        <v>1384</v>
      </c>
      <c r="B1339" s="1" t="s">
        <v>34</v>
      </c>
      <c r="C1339">
        <v>43</v>
      </c>
      <c r="D1339" s="1" t="s">
        <v>16</v>
      </c>
      <c r="E1339" s="1" t="s">
        <v>38</v>
      </c>
      <c r="F1339" s="1" t="s">
        <v>25</v>
      </c>
      <c r="G1339" s="1" t="s">
        <v>19</v>
      </c>
      <c r="H1339" s="1" t="s">
        <v>20</v>
      </c>
      <c r="I1339" s="2">
        <v>45605</v>
      </c>
      <c r="J1339">
        <v>2703</v>
      </c>
      <c r="K1339" s="2">
        <v>45864</v>
      </c>
      <c r="L1339">
        <v>-1093</v>
      </c>
      <c r="M1339">
        <v>1610</v>
      </c>
      <c r="N1339">
        <v>0</v>
      </c>
    </row>
    <row r="1340" spans="1:14" x14ac:dyDescent="0.3">
      <c r="A1340" s="1" t="s">
        <v>1385</v>
      </c>
      <c r="B1340" s="1" t="s">
        <v>34</v>
      </c>
      <c r="C1340">
        <v>45</v>
      </c>
      <c r="D1340" s="1" t="s">
        <v>16</v>
      </c>
      <c r="E1340" s="1" t="s">
        <v>17</v>
      </c>
      <c r="F1340" s="1" t="s">
        <v>18</v>
      </c>
      <c r="G1340" s="1" t="s">
        <v>19</v>
      </c>
      <c r="H1340" s="1" t="s">
        <v>20</v>
      </c>
      <c r="I1340" s="2">
        <v>45714</v>
      </c>
      <c r="J1340">
        <v>25224</v>
      </c>
      <c r="K1340" s="2">
        <v>45869</v>
      </c>
      <c r="L1340">
        <v>6895</v>
      </c>
      <c r="M1340">
        <v>32119</v>
      </c>
      <c r="N1340">
        <v>0</v>
      </c>
    </row>
    <row r="1341" spans="1:14" x14ac:dyDescent="0.3">
      <c r="A1341" s="1" t="s">
        <v>1386</v>
      </c>
      <c r="B1341" s="1" t="s">
        <v>32</v>
      </c>
      <c r="C1341">
        <v>67</v>
      </c>
      <c r="D1341" s="1" t="s">
        <v>16</v>
      </c>
      <c r="E1341" s="1" t="s">
        <v>17</v>
      </c>
      <c r="F1341" s="1" t="s">
        <v>18</v>
      </c>
      <c r="G1341" s="1" t="s">
        <v>19</v>
      </c>
      <c r="H1341" s="1" t="s">
        <v>20</v>
      </c>
      <c r="I1341" s="2">
        <v>44317</v>
      </c>
      <c r="J1341">
        <v>11590</v>
      </c>
      <c r="K1341" s="2">
        <v>45846</v>
      </c>
      <c r="L1341">
        <v>21659</v>
      </c>
      <c r="M1341">
        <v>33249</v>
      </c>
      <c r="N1341">
        <v>0</v>
      </c>
    </row>
    <row r="1342" spans="1:14" x14ac:dyDescent="0.3">
      <c r="A1342" s="1" t="s">
        <v>1387</v>
      </c>
      <c r="B1342" s="1" t="s">
        <v>79</v>
      </c>
      <c r="C1342">
        <v>38</v>
      </c>
      <c r="D1342" s="1" t="s">
        <v>16</v>
      </c>
      <c r="E1342" s="1" t="s">
        <v>24</v>
      </c>
      <c r="F1342" s="1" t="s">
        <v>18</v>
      </c>
      <c r="G1342" s="1" t="s">
        <v>19</v>
      </c>
      <c r="H1342" s="1" t="s">
        <v>20</v>
      </c>
      <c r="I1342" s="2">
        <v>45258</v>
      </c>
      <c r="J1342">
        <v>4436</v>
      </c>
      <c r="K1342" s="2">
        <v>45840</v>
      </c>
      <c r="L1342">
        <v>17106</v>
      </c>
      <c r="M1342">
        <v>21542</v>
      </c>
      <c r="N1342">
        <v>0</v>
      </c>
    </row>
    <row r="1343" spans="1:14" x14ac:dyDescent="0.3">
      <c r="A1343" s="1" t="s">
        <v>1388</v>
      </c>
      <c r="B1343" s="1" t="s">
        <v>34</v>
      </c>
      <c r="C1343">
        <v>66</v>
      </c>
      <c r="D1343" s="1" t="s">
        <v>16</v>
      </c>
      <c r="E1343" s="1" t="s">
        <v>17</v>
      </c>
      <c r="F1343" s="1" t="s">
        <v>25</v>
      </c>
      <c r="G1343" s="1" t="s">
        <v>19</v>
      </c>
      <c r="H1343" s="1" t="s">
        <v>20</v>
      </c>
      <c r="I1343" s="2">
        <v>45341</v>
      </c>
      <c r="J1343">
        <v>18890</v>
      </c>
      <c r="K1343" s="2">
        <v>45826</v>
      </c>
      <c r="L1343">
        <v>399</v>
      </c>
      <c r="M1343">
        <v>19289</v>
      </c>
      <c r="N1343">
        <v>0</v>
      </c>
    </row>
    <row r="1344" spans="1:14" x14ac:dyDescent="0.3">
      <c r="A1344" s="1" t="s">
        <v>1389</v>
      </c>
      <c r="B1344" s="1" t="s">
        <v>29</v>
      </c>
      <c r="C1344">
        <v>24</v>
      </c>
      <c r="D1344" s="1" t="s">
        <v>16</v>
      </c>
      <c r="E1344" s="1" t="s">
        <v>17</v>
      </c>
      <c r="F1344" s="1" t="s">
        <v>18</v>
      </c>
      <c r="G1344" s="1" t="s">
        <v>19</v>
      </c>
      <c r="H1344" s="1" t="s">
        <v>20</v>
      </c>
      <c r="I1344" s="2">
        <v>45089</v>
      </c>
      <c r="J1344">
        <v>41516</v>
      </c>
      <c r="K1344" s="2">
        <v>45855</v>
      </c>
      <c r="L1344">
        <v>7726</v>
      </c>
      <c r="M1344">
        <v>49242</v>
      </c>
      <c r="N1344">
        <v>0</v>
      </c>
    </row>
    <row r="1345" spans="1:14" x14ac:dyDescent="0.3">
      <c r="A1345" s="1" t="s">
        <v>1390</v>
      </c>
      <c r="B1345" s="1" t="s">
        <v>34</v>
      </c>
      <c r="C1345">
        <v>34</v>
      </c>
      <c r="D1345" s="1" t="s">
        <v>16</v>
      </c>
      <c r="E1345" s="1" t="s">
        <v>35</v>
      </c>
      <c r="F1345" s="1" t="s">
        <v>18</v>
      </c>
      <c r="G1345" s="1" t="s">
        <v>19</v>
      </c>
      <c r="H1345" s="1" t="s">
        <v>20</v>
      </c>
      <c r="I1345" s="2">
        <v>45312</v>
      </c>
      <c r="J1345">
        <v>13450</v>
      </c>
      <c r="K1345" s="2">
        <v>45854</v>
      </c>
      <c r="L1345">
        <v>16785</v>
      </c>
      <c r="M1345">
        <v>30235</v>
      </c>
      <c r="N1345">
        <v>0</v>
      </c>
    </row>
    <row r="1346" spans="1:14" x14ac:dyDescent="0.3">
      <c r="A1346" s="1" t="s">
        <v>1391</v>
      </c>
      <c r="B1346" s="1" t="s">
        <v>40</v>
      </c>
      <c r="C1346">
        <v>37</v>
      </c>
      <c r="D1346" s="1" t="s">
        <v>23</v>
      </c>
      <c r="E1346" s="1" t="s">
        <v>24</v>
      </c>
      <c r="F1346" s="1" t="s">
        <v>18</v>
      </c>
      <c r="G1346" s="1" t="s">
        <v>19</v>
      </c>
      <c r="H1346" s="1" t="s">
        <v>20</v>
      </c>
      <c r="I1346" s="2">
        <v>44587</v>
      </c>
      <c r="J1346">
        <v>33635</v>
      </c>
      <c r="K1346" s="2">
        <v>45805</v>
      </c>
      <c r="L1346">
        <v>12230</v>
      </c>
      <c r="M1346">
        <v>45865</v>
      </c>
      <c r="N1346">
        <v>0</v>
      </c>
    </row>
    <row r="1347" spans="1:14" x14ac:dyDescent="0.3">
      <c r="A1347" s="1" t="s">
        <v>1392</v>
      </c>
      <c r="B1347" s="1" t="s">
        <v>87</v>
      </c>
      <c r="C1347">
        <v>58</v>
      </c>
      <c r="D1347" s="1" t="s">
        <v>23</v>
      </c>
      <c r="E1347" s="1" t="s">
        <v>24</v>
      </c>
      <c r="F1347" s="1" t="s">
        <v>18</v>
      </c>
      <c r="G1347" s="1" t="s">
        <v>19</v>
      </c>
      <c r="H1347" s="1" t="s">
        <v>20</v>
      </c>
      <c r="I1347" s="2">
        <v>45016</v>
      </c>
      <c r="J1347">
        <v>21214</v>
      </c>
      <c r="K1347" s="2">
        <v>45834</v>
      </c>
      <c r="L1347">
        <v>22262</v>
      </c>
      <c r="M1347">
        <v>43476</v>
      </c>
      <c r="N1347">
        <v>0</v>
      </c>
    </row>
    <row r="1348" spans="1:14" x14ac:dyDescent="0.3">
      <c r="A1348" s="1" t="s">
        <v>1393</v>
      </c>
      <c r="B1348" s="1" t="s">
        <v>27</v>
      </c>
      <c r="C1348">
        <v>66</v>
      </c>
      <c r="D1348" s="1" t="s">
        <v>23</v>
      </c>
      <c r="E1348" s="1" t="s">
        <v>38</v>
      </c>
      <c r="F1348" s="1" t="s">
        <v>25</v>
      </c>
      <c r="G1348" s="1" t="s">
        <v>19</v>
      </c>
      <c r="H1348" s="1" t="s">
        <v>20</v>
      </c>
      <c r="I1348" s="2">
        <v>44850</v>
      </c>
      <c r="J1348">
        <v>21489</v>
      </c>
      <c r="K1348" s="2">
        <v>45829</v>
      </c>
      <c r="L1348">
        <v>26077</v>
      </c>
      <c r="M1348">
        <v>47566</v>
      </c>
      <c r="N1348">
        <v>0</v>
      </c>
    </row>
    <row r="1349" spans="1:14" x14ac:dyDescent="0.3">
      <c r="A1349" s="1" t="s">
        <v>1394</v>
      </c>
      <c r="B1349" s="1" t="s">
        <v>48</v>
      </c>
      <c r="C1349">
        <v>37</v>
      </c>
      <c r="D1349" s="1" t="s">
        <v>16</v>
      </c>
      <c r="E1349" s="1" t="s">
        <v>24</v>
      </c>
      <c r="F1349" s="1" t="s">
        <v>25</v>
      </c>
      <c r="G1349" s="1" t="s">
        <v>19</v>
      </c>
      <c r="H1349" s="1" t="s">
        <v>20</v>
      </c>
      <c r="I1349" s="2">
        <v>44347</v>
      </c>
      <c r="J1349">
        <v>9843</v>
      </c>
      <c r="K1349" s="2">
        <v>45826</v>
      </c>
      <c r="L1349">
        <v>14530</v>
      </c>
      <c r="M1349">
        <v>24373</v>
      </c>
      <c r="N1349">
        <v>0</v>
      </c>
    </row>
    <row r="1350" spans="1:14" x14ac:dyDescent="0.3">
      <c r="A1350" s="1" t="s">
        <v>1395</v>
      </c>
      <c r="B1350" s="1" t="s">
        <v>79</v>
      </c>
      <c r="C1350">
        <v>39</v>
      </c>
      <c r="D1350" s="1" t="s">
        <v>23</v>
      </c>
      <c r="E1350" s="1" t="s">
        <v>17</v>
      </c>
      <c r="F1350" s="1" t="s">
        <v>18</v>
      </c>
      <c r="G1350" s="1" t="s">
        <v>19</v>
      </c>
      <c r="H1350" s="1" t="s">
        <v>20</v>
      </c>
      <c r="I1350" s="2">
        <v>45243</v>
      </c>
      <c r="J1350">
        <v>30294</v>
      </c>
      <c r="K1350" s="2">
        <v>45868</v>
      </c>
      <c r="L1350">
        <v>12093</v>
      </c>
      <c r="M1350">
        <v>42387</v>
      </c>
      <c r="N1350">
        <v>0</v>
      </c>
    </row>
    <row r="1351" spans="1:14" x14ac:dyDescent="0.3">
      <c r="A1351" s="1" t="s">
        <v>1396</v>
      </c>
      <c r="B1351" s="1" t="s">
        <v>34</v>
      </c>
      <c r="C1351">
        <v>45</v>
      </c>
      <c r="D1351" s="1" t="s">
        <v>16</v>
      </c>
      <c r="E1351" s="1" t="s">
        <v>17</v>
      </c>
      <c r="F1351" s="1" t="s">
        <v>18</v>
      </c>
      <c r="G1351" s="1" t="s">
        <v>19</v>
      </c>
      <c r="H1351" s="1" t="s">
        <v>20</v>
      </c>
      <c r="I1351" s="2">
        <v>45025</v>
      </c>
      <c r="J1351">
        <v>33329</v>
      </c>
      <c r="K1351" s="2">
        <v>45864</v>
      </c>
      <c r="L1351">
        <v>2825</v>
      </c>
      <c r="M1351">
        <v>36154</v>
      </c>
      <c r="N1351">
        <v>0</v>
      </c>
    </row>
    <row r="1352" spans="1:14" x14ac:dyDescent="0.3">
      <c r="A1352" s="1" t="s">
        <v>1397</v>
      </c>
      <c r="B1352" s="1" t="s">
        <v>56</v>
      </c>
      <c r="C1352">
        <v>57</v>
      </c>
      <c r="D1352" s="1" t="s">
        <v>16</v>
      </c>
      <c r="E1352" s="1" t="s">
        <v>24</v>
      </c>
      <c r="F1352" s="1" t="s">
        <v>25</v>
      </c>
      <c r="G1352" s="1" t="s">
        <v>41</v>
      </c>
      <c r="H1352" s="1" t="s">
        <v>20</v>
      </c>
      <c r="I1352" s="2">
        <v>44657</v>
      </c>
      <c r="J1352">
        <v>29515</v>
      </c>
      <c r="K1352" s="2">
        <v>45859</v>
      </c>
      <c r="L1352">
        <v>20108</v>
      </c>
      <c r="M1352">
        <v>49623</v>
      </c>
      <c r="N1352">
        <v>0</v>
      </c>
    </row>
    <row r="1353" spans="1:14" x14ac:dyDescent="0.3">
      <c r="A1353" s="1" t="s">
        <v>1398</v>
      </c>
      <c r="B1353" s="1" t="s">
        <v>59</v>
      </c>
      <c r="C1353">
        <v>66</v>
      </c>
      <c r="D1353" s="1" t="s">
        <v>23</v>
      </c>
      <c r="E1353" s="1" t="s">
        <v>24</v>
      </c>
      <c r="F1353" s="1" t="s">
        <v>18</v>
      </c>
      <c r="G1353" s="1" t="s">
        <v>19</v>
      </c>
      <c r="H1353" s="1" t="s">
        <v>20</v>
      </c>
      <c r="I1353" s="2">
        <v>44989</v>
      </c>
      <c r="J1353">
        <v>9762</v>
      </c>
      <c r="K1353" s="2">
        <v>45861</v>
      </c>
      <c r="L1353">
        <v>14023</v>
      </c>
      <c r="M1353">
        <v>23785</v>
      </c>
      <c r="N1353">
        <v>0</v>
      </c>
    </row>
    <row r="1354" spans="1:14" x14ac:dyDescent="0.3">
      <c r="A1354" s="1" t="s">
        <v>1399</v>
      </c>
      <c r="B1354" s="1" t="s">
        <v>27</v>
      </c>
      <c r="C1354">
        <v>24</v>
      </c>
      <c r="D1354" s="1" t="s">
        <v>23</v>
      </c>
      <c r="E1354" s="1" t="s">
        <v>24</v>
      </c>
      <c r="F1354" s="1" t="s">
        <v>25</v>
      </c>
      <c r="G1354" s="1" t="s">
        <v>19</v>
      </c>
      <c r="H1354" s="1" t="s">
        <v>20</v>
      </c>
      <c r="I1354" s="2">
        <v>45494</v>
      </c>
      <c r="J1354">
        <v>35778</v>
      </c>
      <c r="K1354" s="2">
        <v>45855</v>
      </c>
      <c r="L1354">
        <v>5314</v>
      </c>
      <c r="M1354">
        <v>41092</v>
      </c>
      <c r="N1354">
        <v>0</v>
      </c>
    </row>
    <row r="1355" spans="1:14" x14ac:dyDescent="0.3">
      <c r="A1355" s="1" t="s">
        <v>1400</v>
      </c>
      <c r="B1355" s="1" t="s">
        <v>59</v>
      </c>
      <c r="C1355">
        <v>18</v>
      </c>
      <c r="D1355" s="1" t="s">
        <v>16</v>
      </c>
      <c r="E1355" s="1" t="s">
        <v>17</v>
      </c>
      <c r="F1355" s="1" t="s">
        <v>25</v>
      </c>
      <c r="G1355" s="1" t="s">
        <v>19</v>
      </c>
      <c r="H1355" s="1" t="s">
        <v>20</v>
      </c>
      <c r="I1355" s="2">
        <v>45538</v>
      </c>
      <c r="J1355">
        <v>19659</v>
      </c>
      <c r="K1355" s="2">
        <v>45857</v>
      </c>
      <c r="L1355">
        <v>-5645</v>
      </c>
      <c r="M1355">
        <v>14014</v>
      </c>
      <c r="N1355">
        <v>0</v>
      </c>
    </row>
    <row r="1356" spans="1:14" x14ac:dyDescent="0.3">
      <c r="A1356" s="1" t="s">
        <v>1401</v>
      </c>
      <c r="B1356" s="1" t="s">
        <v>52</v>
      </c>
      <c r="C1356">
        <v>49</v>
      </c>
      <c r="D1356" s="1" t="s">
        <v>16</v>
      </c>
      <c r="E1356" s="1" t="s">
        <v>24</v>
      </c>
      <c r="F1356" s="1" t="s">
        <v>18</v>
      </c>
      <c r="G1356" s="1" t="s">
        <v>19</v>
      </c>
      <c r="H1356" s="1" t="s">
        <v>20</v>
      </c>
      <c r="I1356" s="2">
        <v>45283</v>
      </c>
      <c r="J1356">
        <v>5053</v>
      </c>
      <c r="K1356" s="2">
        <v>45798</v>
      </c>
      <c r="L1356">
        <v>8356</v>
      </c>
      <c r="M1356">
        <v>13409</v>
      </c>
      <c r="N1356">
        <v>0</v>
      </c>
    </row>
    <row r="1357" spans="1:14" x14ac:dyDescent="0.3">
      <c r="A1357" s="1" t="s">
        <v>1402</v>
      </c>
      <c r="B1357" s="1" t="s">
        <v>40</v>
      </c>
      <c r="C1357">
        <v>30</v>
      </c>
      <c r="D1357" s="1" t="s">
        <v>16</v>
      </c>
      <c r="E1357" s="1" t="s">
        <v>35</v>
      </c>
      <c r="F1357" s="1" t="s">
        <v>18</v>
      </c>
      <c r="G1357" s="1" t="s">
        <v>19</v>
      </c>
      <c r="H1357" s="1" t="s">
        <v>20</v>
      </c>
      <c r="I1357" s="2">
        <v>44979</v>
      </c>
      <c r="J1357">
        <v>9123</v>
      </c>
      <c r="K1357" s="2">
        <v>45803</v>
      </c>
      <c r="L1357">
        <v>3596</v>
      </c>
      <c r="M1357">
        <v>12719</v>
      </c>
      <c r="N1357">
        <v>0</v>
      </c>
    </row>
    <row r="1358" spans="1:14" x14ac:dyDescent="0.3">
      <c r="A1358" s="1" t="s">
        <v>1403</v>
      </c>
      <c r="B1358" s="1" t="s">
        <v>69</v>
      </c>
      <c r="C1358">
        <v>47</v>
      </c>
      <c r="D1358" s="1" t="s">
        <v>23</v>
      </c>
      <c r="E1358" s="1" t="s">
        <v>38</v>
      </c>
      <c r="F1358" s="1" t="s">
        <v>25</v>
      </c>
      <c r="G1358" s="1" t="s">
        <v>19</v>
      </c>
      <c r="H1358" s="1" t="s">
        <v>20</v>
      </c>
      <c r="I1358" s="2">
        <v>45160</v>
      </c>
      <c r="J1358">
        <v>7860</v>
      </c>
      <c r="K1358" s="2">
        <v>45798</v>
      </c>
      <c r="L1358">
        <v>13303</v>
      </c>
      <c r="M1358">
        <v>21163</v>
      </c>
      <c r="N1358">
        <v>0</v>
      </c>
    </row>
    <row r="1359" spans="1:14" x14ac:dyDescent="0.3">
      <c r="A1359" s="1" t="s">
        <v>1404</v>
      </c>
      <c r="B1359" s="1" t="s">
        <v>34</v>
      </c>
      <c r="C1359">
        <v>40</v>
      </c>
      <c r="D1359" s="1" t="s">
        <v>23</v>
      </c>
      <c r="E1359" s="1" t="s">
        <v>38</v>
      </c>
      <c r="F1359" s="1" t="s">
        <v>18</v>
      </c>
      <c r="G1359" s="1" t="s">
        <v>19</v>
      </c>
      <c r="H1359" s="1" t="s">
        <v>20</v>
      </c>
      <c r="I1359" s="2">
        <v>44841</v>
      </c>
      <c r="J1359">
        <v>1830</v>
      </c>
      <c r="K1359" s="2">
        <v>45803</v>
      </c>
      <c r="L1359">
        <v>29946</v>
      </c>
      <c r="M1359">
        <v>31776</v>
      </c>
      <c r="N1359">
        <v>0</v>
      </c>
    </row>
    <row r="1360" spans="1:14" x14ac:dyDescent="0.3">
      <c r="A1360" s="1" t="s">
        <v>1405</v>
      </c>
      <c r="B1360" s="1" t="s">
        <v>27</v>
      </c>
      <c r="C1360">
        <v>68</v>
      </c>
      <c r="D1360" s="1" t="s">
        <v>23</v>
      </c>
      <c r="E1360" s="1" t="s">
        <v>38</v>
      </c>
      <c r="F1360" s="1" t="s">
        <v>18</v>
      </c>
      <c r="G1360" s="1" t="s">
        <v>41</v>
      </c>
      <c r="H1360" s="1" t="s">
        <v>20</v>
      </c>
      <c r="I1360" s="2">
        <v>44408</v>
      </c>
      <c r="J1360">
        <v>36440</v>
      </c>
      <c r="K1360" s="2">
        <v>45866</v>
      </c>
      <c r="L1360">
        <v>9146</v>
      </c>
      <c r="M1360">
        <v>45586</v>
      </c>
      <c r="N1360">
        <v>0</v>
      </c>
    </row>
    <row r="1361" spans="1:14" x14ac:dyDescent="0.3">
      <c r="A1361" s="1" t="s">
        <v>1406</v>
      </c>
      <c r="B1361" s="1" t="s">
        <v>48</v>
      </c>
      <c r="C1361">
        <v>36</v>
      </c>
      <c r="D1361" s="1" t="s">
        <v>23</v>
      </c>
      <c r="E1361" s="1" t="s">
        <v>24</v>
      </c>
      <c r="F1361" s="1" t="s">
        <v>18</v>
      </c>
      <c r="G1361" s="1" t="s">
        <v>19</v>
      </c>
      <c r="H1361" s="1" t="s">
        <v>20</v>
      </c>
      <c r="I1361" s="2">
        <v>44842</v>
      </c>
      <c r="J1361">
        <v>296911</v>
      </c>
      <c r="K1361" s="2">
        <v>45843</v>
      </c>
      <c r="L1361">
        <v>17159</v>
      </c>
      <c r="M1361">
        <v>314070</v>
      </c>
      <c r="N1361">
        <v>0</v>
      </c>
    </row>
    <row r="1362" spans="1:14" x14ac:dyDescent="0.3">
      <c r="A1362" s="1" t="s">
        <v>1407</v>
      </c>
      <c r="B1362" s="1" t="s">
        <v>27</v>
      </c>
      <c r="C1362">
        <v>49</v>
      </c>
      <c r="D1362" s="1" t="s">
        <v>16</v>
      </c>
      <c r="E1362" s="1" t="s">
        <v>38</v>
      </c>
      <c r="F1362" s="1" t="s">
        <v>18</v>
      </c>
      <c r="G1362" s="1" t="s">
        <v>19</v>
      </c>
      <c r="H1362" s="1" t="s">
        <v>20</v>
      </c>
      <c r="I1362" s="2">
        <v>45084</v>
      </c>
      <c r="J1362">
        <v>44728</v>
      </c>
      <c r="K1362" s="2">
        <v>45862</v>
      </c>
      <c r="L1362">
        <v>21680</v>
      </c>
      <c r="M1362">
        <v>66408</v>
      </c>
      <c r="N1362">
        <v>0</v>
      </c>
    </row>
    <row r="1363" spans="1:14" x14ac:dyDescent="0.3">
      <c r="A1363" s="1" t="s">
        <v>1408</v>
      </c>
      <c r="B1363" s="1" t="s">
        <v>27</v>
      </c>
      <c r="C1363">
        <v>47</v>
      </c>
      <c r="D1363" s="1" t="s">
        <v>16</v>
      </c>
      <c r="E1363" s="1" t="s">
        <v>17</v>
      </c>
      <c r="F1363" s="1" t="s">
        <v>25</v>
      </c>
      <c r="G1363" s="1" t="s">
        <v>19</v>
      </c>
      <c r="H1363" s="1" t="s">
        <v>49</v>
      </c>
      <c r="I1363" s="2">
        <v>45198</v>
      </c>
      <c r="J1363">
        <v>15723</v>
      </c>
      <c r="K1363" s="2">
        <v>45849</v>
      </c>
      <c r="L1363">
        <v>2734</v>
      </c>
      <c r="M1363">
        <v>18457</v>
      </c>
      <c r="N1363">
        <v>0</v>
      </c>
    </row>
    <row r="1364" spans="1:14" x14ac:dyDescent="0.3">
      <c r="A1364" s="1" t="s">
        <v>1409</v>
      </c>
      <c r="B1364" s="1" t="s">
        <v>29</v>
      </c>
      <c r="C1364">
        <v>46</v>
      </c>
      <c r="D1364" s="1" t="s">
        <v>16</v>
      </c>
      <c r="E1364" s="1" t="s">
        <v>38</v>
      </c>
      <c r="F1364" s="1" t="s">
        <v>25</v>
      </c>
      <c r="G1364" s="1" t="s">
        <v>19</v>
      </c>
      <c r="H1364" s="1" t="s">
        <v>20</v>
      </c>
      <c r="I1364" s="2">
        <v>45762</v>
      </c>
      <c r="J1364">
        <v>7976</v>
      </c>
      <c r="K1364" s="2">
        <v>45865</v>
      </c>
      <c r="L1364">
        <v>15771</v>
      </c>
      <c r="M1364">
        <v>23747</v>
      </c>
      <c r="N1364">
        <v>0</v>
      </c>
    </row>
    <row r="1365" spans="1:14" x14ac:dyDescent="0.3">
      <c r="A1365" s="1" t="s">
        <v>1410</v>
      </c>
      <c r="B1365" s="1" t="s">
        <v>64</v>
      </c>
      <c r="C1365">
        <v>66</v>
      </c>
      <c r="D1365" s="1" t="s">
        <v>16</v>
      </c>
      <c r="E1365" s="1" t="s">
        <v>24</v>
      </c>
      <c r="F1365" s="1" t="s">
        <v>25</v>
      </c>
      <c r="G1365" s="1" t="s">
        <v>19</v>
      </c>
      <c r="H1365" s="1" t="s">
        <v>20</v>
      </c>
      <c r="I1365" s="2">
        <v>45497</v>
      </c>
      <c r="J1365">
        <v>5297</v>
      </c>
      <c r="K1365" s="2">
        <v>45868</v>
      </c>
      <c r="L1365">
        <v>26674</v>
      </c>
      <c r="M1365">
        <v>31971</v>
      </c>
      <c r="N1365">
        <v>0</v>
      </c>
    </row>
    <row r="1366" spans="1:14" x14ac:dyDescent="0.3">
      <c r="A1366" s="1" t="s">
        <v>1411</v>
      </c>
      <c r="B1366" s="1" t="s">
        <v>15</v>
      </c>
      <c r="C1366">
        <v>62</v>
      </c>
      <c r="D1366" s="1" t="s">
        <v>16</v>
      </c>
      <c r="E1366" s="1" t="s">
        <v>17</v>
      </c>
      <c r="F1366" s="1" t="s">
        <v>18</v>
      </c>
      <c r="G1366" s="1" t="s">
        <v>19</v>
      </c>
      <c r="H1366" s="1" t="s">
        <v>20</v>
      </c>
      <c r="I1366" s="2">
        <v>44451</v>
      </c>
      <c r="J1366">
        <v>15532</v>
      </c>
      <c r="K1366" s="2">
        <v>45856</v>
      </c>
      <c r="L1366">
        <v>13475</v>
      </c>
      <c r="M1366">
        <v>29007</v>
      </c>
      <c r="N1366">
        <v>0</v>
      </c>
    </row>
    <row r="1367" spans="1:14" x14ac:dyDescent="0.3">
      <c r="A1367" s="1" t="s">
        <v>1412</v>
      </c>
      <c r="B1367" s="1" t="s">
        <v>15</v>
      </c>
      <c r="C1367">
        <v>46</v>
      </c>
      <c r="D1367" s="1" t="s">
        <v>16</v>
      </c>
      <c r="E1367" s="1" t="s">
        <v>38</v>
      </c>
      <c r="F1367" s="1" t="s">
        <v>18</v>
      </c>
      <c r="G1367" s="1" t="s">
        <v>19</v>
      </c>
      <c r="H1367" s="1" t="s">
        <v>20</v>
      </c>
      <c r="I1367" s="2">
        <v>44488</v>
      </c>
      <c r="J1367">
        <v>35183</v>
      </c>
      <c r="K1367" s="2">
        <v>45830</v>
      </c>
      <c r="L1367">
        <v>33503</v>
      </c>
      <c r="M1367">
        <v>68686</v>
      </c>
      <c r="N1367">
        <v>0</v>
      </c>
    </row>
    <row r="1368" spans="1:14" x14ac:dyDescent="0.3">
      <c r="A1368" s="1" t="s">
        <v>1413</v>
      </c>
      <c r="B1368" s="1" t="s">
        <v>61</v>
      </c>
      <c r="C1368">
        <v>47</v>
      </c>
      <c r="D1368" s="1" t="s">
        <v>23</v>
      </c>
      <c r="E1368" s="1" t="s">
        <v>35</v>
      </c>
      <c r="F1368" s="1" t="s">
        <v>25</v>
      </c>
      <c r="G1368" s="1" t="s">
        <v>19</v>
      </c>
      <c r="H1368" s="1" t="s">
        <v>20</v>
      </c>
      <c r="I1368" s="2">
        <v>44365</v>
      </c>
      <c r="J1368">
        <v>6805</v>
      </c>
      <c r="K1368" s="2">
        <v>45859</v>
      </c>
      <c r="L1368">
        <v>11324</v>
      </c>
      <c r="M1368">
        <v>18129</v>
      </c>
      <c r="N1368">
        <v>0</v>
      </c>
    </row>
    <row r="1369" spans="1:14" x14ac:dyDescent="0.3">
      <c r="A1369" s="1" t="s">
        <v>1414</v>
      </c>
      <c r="B1369" s="1" t="s">
        <v>40</v>
      </c>
      <c r="C1369">
        <v>33</v>
      </c>
      <c r="D1369" s="1" t="s">
        <v>16</v>
      </c>
      <c r="E1369" s="1" t="s">
        <v>24</v>
      </c>
      <c r="F1369" s="1" t="s">
        <v>18</v>
      </c>
      <c r="G1369" s="1" t="s">
        <v>19</v>
      </c>
      <c r="H1369" s="1" t="s">
        <v>20</v>
      </c>
      <c r="I1369" s="2">
        <v>45431</v>
      </c>
      <c r="J1369">
        <v>173557</v>
      </c>
      <c r="K1369" s="2">
        <v>45770</v>
      </c>
      <c r="L1369">
        <v>17730</v>
      </c>
      <c r="M1369">
        <v>191287</v>
      </c>
      <c r="N1369">
        <v>0</v>
      </c>
    </row>
    <row r="1370" spans="1:14" x14ac:dyDescent="0.3">
      <c r="A1370" s="1" t="s">
        <v>1415</v>
      </c>
      <c r="B1370" s="1" t="s">
        <v>32</v>
      </c>
      <c r="C1370">
        <v>57</v>
      </c>
      <c r="D1370" s="1" t="s">
        <v>23</v>
      </c>
      <c r="E1370" s="1" t="s">
        <v>38</v>
      </c>
      <c r="F1370" s="1" t="s">
        <v>25</v>
      </c>
      <c r="G1370" s="1" t="s">
        <v>41</v>
      </c>
      <c r="H1370" s="1" t="s">
        <v>20</v>
      </c>
      <c r="I1370" s="2">
        <v>45378</v>
      </c>
      <c r="J1370">
        <v>3348</v>
      </c>
      <c r="K1370" s="2">
        <v>45855</v>
      </c>
      <c r="L1370">
        <v>2559</v>
      </c>
      <c r="M1370">
        <v>5907</v>
      </c>
      <c r="N1370">
        <v>0</v>
      </c>
    </row>
    <row r="1371" spans="1:14" x14ac:dyDescent="0.3">
      <c r="A1371" s="1" t="s">
        <v>1416</v>
      </c>
      <c r="B1371" s="1" t="s">
        <v>48</v>
      </c>
      <c r="C1371">
        <v>36</v>
      </c>
      <c r="D1371" s="1" t="s">
        <v>16</v>
      </c>
      <c r="E1371" s="1" t="s">
        <v>17</v>
      </c>
      <c r="F1371" s="1" t="s">
        <v>18</v>
      </c>
      <c r="G1371" s="1" t="s">
        <v>19</v>
      </c>
      <c r="H1371" s="1" t="s">
        <v>20</v>
      </c>
      <c r="I1371" s="2">
        <v>45847</v>
      </c>
      <c r="J1371">
        <v>16722</v>
      </c>
      <c r="K1371" s="2">
        <v>45869</v>
      </c>
      <c r="L1371">
        <v>-4693</v>
      </c>
      <c r="M1371">
        <v>12029</v>
      </c>
      <c r="N1371">
        <v>0</v>
      </c>
    </row>
    <row r="1372" spans="1:14" x14ac:dyDescent="0.3">
      <c r="A1372" s="1" t="s">
        <v>1417</v>
      </c>
      <c r="B1372" s="1" t="s">
        <v>43</v>
      </c>
      <c r="C1372">
        <v>35</v>
      </c>
      <c r="D1372" s="1" t="s">
        <v>16</v>
      </c>
      <c r="E1372" s="1" t="s">
        <v>24</v>
      </c>
      <c r="F1372" s="1" t="s">
        <v>25</v>
      </c>
      <c r="G1372" s="1" t="s">
        <v>41</v>
      </c>
      <c r="H1372" s="1" t="s">
        <v>20</v>
      </c>
      <c r="I1372" s="2">
        <v>45070</v>
      </c>
      <c r="J1372">
        <v>14333</v>
      </c>
      <c r="K1372" s="2">
        <v>45835</v>
      </c>
      <c r="L1372">
        <v>27317</v>
      </c>
      <c r="M1372">
        <v>41650</v>
      </c>
      <c r="N1372">
        <v>0</v>
      </c>
    </row>
    <row r="1373" spans="1:14" x14ac:dyDescent="0.3">
      <c r="A1373" s="1" t="s">
        <v>1418</v>
      </c>
      <c r="B1373" s="1" t="s">
        <v>15</v>
      </c>
      <c r="C1373">
        <v>18</v>
      </c>
      <c r="D1373" s="1" t="s">
        <v>23</v>
      </c>
      <c r="E1373" s="1" t="s">
        <v>24</v>
      </c>
      <c r="F1373" s="1" t="s">
        <v>18</v>
      </c>
      <c r="G1373" s="1" t="s">
        <v>19</v>
      </c>
      <c r="H1373" s="1" t="s">
        <v>20</v>
      </c>
      <c r="I1373" s="2">
        <v>45579</v>
      </c>
      <c r="J1373">
        <v>13449</v>
      </c>
      <c r="K1373" s="2">
        <v>45855</v>
      </c>
      <c r="L1373">
        <v>41307</v>
      </c>
      <c r="M1373">
        <v>54756</v>
      </c>
      <c r="N1373">
        <v>0</v>
      </c>
    </row>
    <row r="1374" spans="1:14" x14ac:dyDescent="0.3">
      <c r="A1374" s="1" t="s">
        <v>1419</v>
      </c>
      <c r="B1374" s="1" t="s">
        <v>29</v>
      </c>
      <c r="C1374">
        <v>31</v>
      </c>
      <c r="D1374" s="1" t="s">
        <v>16</v>
      </c>
      <c r="E1374" s="1" t="s">
        <v>24</v>
      </c>
      <c r="F1374" s="1" t="s">
        <v>18</v>
      </c>
      <c r="G1374" s="1" t="s">
        <v>19</v>
      </c>
      <c r="H1374" s="1" t="s">
        <v>20</v>
      </c>
      <c r="I1374" s="2">
        <v>45161</v>
      </c>
      <c r="J1374">
        <v>7564</v>
      </c>
      <c r="K1374" s="2">
        <v>45831</v>
      </c>
      <c r="L1374">
        <v>3862</v>
      </c>
      <c r="M1374">
        <v>11426</v>
      </c>
      <c r="N1374">
        <v>0</v>
      </c>
    </row>
    <row r="1375" spans="1:14" x14ac:dyDescent="0.3">
      <c r="A1375" s="1" t="s">
        <v>1420</v>
      </c>
      <c r="B1375" s="1" t="s">
        <v>79</v>
      </c>
      <c r="C1375">
        <v>68</v>
      </c>
      <c r="D1375" s="1" t="s">
        <v>16</v>
      </c>
      <c r="E1375" s="1" t="s">
        <v>35</v>
      </c>
      <c r="F1375" s="1" t="s">
        <v>18</v>
      </c>
      <c r="G1375" s="1" t="s">
        <v>19</v>
      </c>
      <c r="H1375" s="1" t="s">
        <v>20</v>
      </c>
      <c r="I1375" s="2">
        <v>45659</v>
      </c>
      <c r="J1375">
        <v>14508</v>
      </c>
      <c r="K1375" s="2">
        <v>45868</v>
      </c>
      <c r="L1375">
        <v>27755</v>
      </c>
      <c r="M1375">
        <v>42263</v>
      </c>
      <c r="N1375">
        <v>0</v>
      </c>
    </row>
    <row r="1376" spans="1:14" x14ac:dyDescent="0.3">
      <c r="A1376" s="1" t="s">
        <v>1421</v>
      </c>
      <c r="B1376" s="1" t="s">
        <v>15</v>
      </c>
      <c r="C1376">
        <v>64</v>
      </c>
      <c r="D1376" s="1" t="s">
        <v>16</v>
      </c>
      <c r="E1376" s="1" t="s">
        <v>38</v>
      </c>
      <c r="F1376" s="1" t="s">
        <v>18</v>
      </c>
      <c r="G1376" s="1" t="s">
        <v>19</v>
      </c>
      <c r="H1376" s="1" t="s">
        <v>20</v>
      </c>
      <c r="I1376" s="2">
        <v>45403</v>
      </c>
      <c r="J1376">
        <v>8520</v>
      </c>
      <c r="K1376" s="2">
        <v>45817</v>
      </c>
      <c r="L1376">
        <v>2270</v>
      </c>
      <c r="M1376">
        <v>10790</v>
      </c>
      <c r="N1376">
        <v>0</v>
      </c>
    </row>
    <row r="1377" spans="1:14" x14ac:dyDescent="0.3">
      <c r="A1377" s="1" t="s">
        <v>1422</v>
      </c>
      <c r="B1377" s="1" t="s">
        <v>64</v>
      </c>
      <c r="C1377">
        <v>67</v>
      </c>
      <c r="D1377" s="1" t="s">
        <v>16</v>
      </c>
      <c r="E1377" s="1" t="s">
        <v>38</v>
      </c>
      <c r="F1377" s="1" t="s">
        <v>18</v>
      </c>
      <c r="G1377" s="1" t="s">
        <v>19</v>
      </c>
      <c r="H1377" s="1" t="s">
        <v>20</v>
      </c>
      <c r="I1377" s="2">
        <v>45272</v>
      </c>
      <c r="J1377">
        <v>48431</v>
      </c>
      <c r="K1377" s="2">
        <v>45839</v>
      </c>
      <c r="L1377">
        <v>-4845</v>
      </c>
      <c r="M1377">
        <v>43586</v>
      </c>
      <c r="N1377">
        <v>0</v>
      </c>
    </row>
    <row r="1378" spans="1:14" x14ac:dyDescent="0.3">
      <c r="A1378" s="1" t="s">
        <v>1423</v>
      </c>
      <c r="B1378" s="1" t="s">
        <v>27</v>
      </c>
      <c r="C1378">
        <v>19</v>
      </c>
      <c r="D1378" s="1" t="s">
        <v>16</v>
      </c>
      <c r="E1378" s="1" t="s">
        <v>24</v>
      </c>
      <c r="F1378" s="1" t="s">
        <v>25</v>
      </c>
      <c r="G1378" s="1" t="s">
        <v>19</v>
      </c>
      <c r="H1378" s="1" t="s">
        <v>20</v>
      </c>
      <c r="I1378" s="2">
        <v>45142</v>
      </c>
      <c r="J1378">
        <v>67560</v>
      </c>
      <c r="K1378" s="2">
        <v>45780</v>
      </c>
      <c r="L1378">
        <v>12470</v>
      </c>
      <c r="M1378">
        <v>80030</v>
      </c>
      <c r="N1378">
        <v>0</v>
      </c>
    </row>
    <row r="1379" spans="1:14" x14ac:dyDescent="0.3">
      <c r="A1379" s="1" t="s">
        <v>1424</v>
      </c>
      <c r="B1379" s="1" t="s">
        <v>27</v>
      </c>
      <c r="C1379">
        <v>45</v>
      </c>
      <c r="D1379" s="1" t="s">
        <v>23</v>
      </c>
      <c r="E1379" s="1" t="s">
        <v>35</v>
      </c>
      <c r="F1379" s="1" t="s">
        <v>25</v>
      </c>
      <c r="G1379" s="1" t="s">
        <v>41</v>
      </c>
      <c r="H1379" s="1" t="s">
        <v>20</v>
      </c>
      <c r="I1379" s="2">
        <v>45406</v>
      </c>
      <c r="J1379">
        <v>9058</v>
      </c>
      <c r="K1379" s="2">
        <v>45867</v>
      </c>
      <c r="L1379">
        <v>3782</v>
      </c>
      <c r="M1379">
        <v>12840</v>
      </c>
      <c r="N1379">
        <v>0</v>
      </c>
    </row>
    <row r="1380" spans="1:14" x14ac:dyDescent="0.3">
      <c r="A1380" s="1" t="s">
        <v>1425</v>
      </c>
      <c r="B1380" s="1" t="s">
        <v>61</v>
      </c>
      <c r="C1380">
        <v>66</v>
      </c>
      <c r="D1380" s="1" t="s">
        <v>23</v>
      </c>
      <c r="E1380" s="1" t="s">
        <v>17</v>
      </c>
      <c r="F1380" s="1" t="s">
        <v>25</v>
      </c>
      <c r="G1380" s="1" t="s">
        <v>19</v>
      </c>
      <c r="H1380" s="1" t="s">
        <v>20</v>
      </c>
      <c r="I1380" s="2">
        <v>44899</v>
      </c>
      <c r="J1380">
        <v>2579</v>
      </c>
      <c r="K1380" s="2">
        <v>45776</v>
      </c>
      <c r="L1380">
        <v>9251</v>
      </c>
      <c r="M1380">
        <v>11830</v>
      </c>
      <c r="N1380">
        <v>0</v>
      </c>
    </row>
    <row r="1381" spans="1:14" x14ac:dyDescent="0.3">
      <c r="A1381" s="1" t="s">
        <v>1426</v>
      </c>
      <c r="B1381" s="1" t="s">
        <v>43</v>
      </c>
      <c r="C1381">
        <v>67</v>
      </c>
      <c r="D1381" s="1" t="s">
        <v>16</v>
      </c>
      <c r="E1381" s="1" t="s">
        <v>38</v>
      </c>
      <c r="F1381" s="1" t="s">
        <v>25</v>
      </c>
      <c r="G1381" s="1" t="s">
        <v>19</v>
      </c>
      <c r="H1381" s="1" t="s">
        <v>20</v>
      </c>
      <c r="I1381" s="2">
        <v>44358</v>
      </c>
      <c r="J1381">
        <v>18355</v>
      </c>
      <c r="K1381" s="2">
        <v>45858</v>
      </c>
      <c r="L1381">
        <v>13046</v>
      </c>
      <c r="M1381">
        <v>31401</v>
      </c>
      <c r="N1381">
        <v>0</v>
      </c>
    </row>
    <row r="1382" spans="1:14" x14ac:dyDescent="0.3">
      <c r="A1382" s="1" t="s">
        <v>1427</v>
      </c>
      <c r="B1382" s="1" t="s">
        <v>61</v>
      </c>
      <c r="C1382">
        <v>47</v>
      </c>
      <c r="D1382" s="1" t="s">
        <v>16</v>
      </c>
      <c r="E1382" s="1" t="s">
        <v>24</v>
      </c>
      <c r="F1382" s="1" t="s">
        <v>18</v>
      </c>
      <c r="G1382" s="1" t="s">
        <v>19</v>
      </c>
      <c r="H1382" s="1" t="s">
        <v>20</v>
      </c>
      <c r="I1382" s="2">
        <v>44263</v>
      </c>
      <c r="J1382">
        <v>17705</v>
      </c>
      <c r="K1382" s="2">
        <v>45509</v>
      </c>
      <c r="L1382">
        <v>18936</v>
      </c>
      <c r="M1382">
        <v>36641</v>
      </c>
      <c r="N1382">
        <v>1</v>
      </c>
    </row>
    <row r="1383" spans="1:14" x14ac:dyDescent="0.3">
      <c r="A1383" s="1" t="s">
        <v>1428</v>
      </c>
      <c r="B1383" s="1" t="s">
        <v>34</v>
      </c>
      <c r="C1383">
        <v>55</v>
      </c>
      <c r="D1383" s="1" t="s">
        <v>23</v>
      </c>
      <c r="E1383" s="1" t="s">
        <v>17</v>
      </c>
      <c r="F1383" s="1" t="s">
        <v>18</v>
      </c>
      <c r="G1383" s="1" t="s">
        <v>19</v>
      </c>
      <c r="H1383" s="1" t="s">
        <v>20</v>
      </c>
      <c r="I1383" s="2">
        <v>44998</v>
      </c>
      <c r="J1383">
        <v>14842</v>
      </c>
      <c r="K1383" s="2">
        <v>45791</v>
      </c>
      <c r="L1383">
        <v>-4987</v>
      </c>
      <c r="M1383">
        <v>9855</v>
      </c>
      <c r="N1383">
        <v>0</v>
      </c>
    </row>
    <row r="1384" spans="1:14" x14ac:dyDescent="0.3">
      <c r="A1384" s="1" t="s">
        <v>1429</v>
      </c>
      <c r="B1384" s="1" t="s">
        <v>32</v>
      </c>
      <c r="C1384">
        <v>68</v>
      </c>
      <c r="D1384" s="1" t="s">
        <v>23</v>
      </c>
      <c r="E1384" s="1" t="s">
        <v>38</v>
      </c>
      <c r="F1384" s="1" t="s">
        <v>18</v>
      </c>
      <c r="G1384" s="1" t="s">
        <v>19</v>
      </c>
      <c r="H1384" s="1" t="s">
        <v>20</v>
      </c>
      <c r="I1384" s="2">
        <v>45199</v>
      </c>
      <c r="J1384">
        <v>22764</v>
      </c>
      <c r="K1384" s="2">
        <v>45812</v>
      </c>
      <c r="L1384">
        <v>8078</v>
      </c>
      <c r="M1384">
        <v>30842</v>
      </c>
      <c r="N1384">
        <v>0</v>
      </c>
    </row>
    <row r="1385" spans="1:14" x14ac:dyDescent="0.3">
      <c r="A1385" s="1" t="s">
        <v>1430</v>
      </c>
      <c r="B1385" s="1" t="s">
        <v>29</v>
      </c>
      <c r="C1385">
        <v>21</v>
      </c>
      <c r="D1385" s="1" t="s">
        <v>16</v>
      </c>
      <c r="E1385" s="1" t="s">
        <v>17</v>
      </c>
      <c r="F1385" s="1" t="s">
        <v>25</v>
      </c>
      <c r="G1385" s="1" t="s">
        <v>19</v>
      </c>
      <c r="H1385" s="1" t="s">
        <v>20</v>
      </c>
      <c r="I1385" s="2">
        <v>44328</v>
      </c>
      <c r="J1385">
        <v>53185</v>
      </c>
      <c r="K1385" s="2">
        <v>45765</v>
      </c>
      <c r="L1385">
        <v>25081</v>
      </c>
      <c r="M1385">
        <v>78266</v>
      </c>
      <c r="N1385">
        <v>0</v>
      </c>
    </row>
    <row r="1386" spans="1:14" x14ac:dyDescent="0.3">
      <c r="A1386" s="1" t="s">
        <v>1431</v>
      </c>
      <c r="B1386" s="1" t="s">
        <v>52</v>
      </c>
      <c r="C1386">
        <v>18</v>
      </c>
      <c r="D1386" s="1" t="s">
        <v>16</v>
      </c>
      <c r="E1386" s="1" t="s">
        <v>17</v>
      </c>
      <c r="F1386" s="1" t="s">
        <v>18</v>
      </c>
      <c r="G1386" s="1" t="s">
        <v>19</v>
      </c>
      <c r="H1386" s="1" t="s">
        <v>20</v>
      </c>
      <c r="I1386" s="2">
        <v>44676</v>
      </c>
      <c r="J1386">
        <v>30729</v>
      </c>
      <c r="K1386" s="2">
        <v>45799</v>
      </c>
      <c r="L1386">
        <v>-14169</v>
      </c>
      <c r="M1386">
        <v>16560</v>
      </c>
      <c r="N1386">
        <v>0</v>
      </c>
    </row>
    <row r="1387" spans="1:14" x14ac:dyDescent="0.3">
      <c r="A1387" s="1" t="s">
        <v>1432</v>
      </c>
      <c r="B1387" s="1" t="s">
        <v>40</v>
      </c>
      <c r="C1387">
        <v>25</v>
      </c>
      <c r="D1387" s="1" t="s">
        <v>16</v>
      </c>
      <c r="E1387" s="1" t="s">
        <v>24</v>
      </c>
      <c r="F1387" s="1" t="s">
        <v>25</v>
      </c>
      <c r="G1387" s="1" t="s">
        <v>19</v>
      </c>
      <c r="H1387" s="1" t="s">
        <v>20</v>
      </c>
      <c r="I1387" s="2">
        <v>44735</v>
      </c>
      <c r="J1387">
        <v>22730</v>
      </c>
      <c r="K1387" s="2">
        <v>45798</v>
      </c>
      <c r="L1387">
        <v>-1179</v>
      </c>
      <c r="M1387">
        <v>21551</v>
      </c>
      <c r="N1387">
        <v>0</v>
      </c>
    </row>
    <row r="1388" spans="1:14" x14ac:dyDescent="0.3">
      <c r="A1388" s="1" t="s">
        <v>1433</v>
      </c>
      <c r="B1388" s="1" t="s">
        <v>27</v>
      </c>
      <c r="C1388">
        <v>46</v>
      </c>
      <c r="D1388" s="1" t="s">
        <v>16</v>
      </c>
      <c r="E1388" s="1" t="s">
        <v>17</v>
      </c>
      <c r="F1388" s="1" t="s">
        <v>18</v>
      </c>
      <c r="G1388" s="1" t="s">
        <v>41</v>
      </c>
      <c r="H1388" s="1" t="s">
        <v>20</v>
      </c>
      <c r="I1388" s="2">
        <v>45138</v>
      </c>
      <c r="J1388">
        <v>28394</v>
      </c>
      <c r="K1388" s="2">
        <v>45833</v>
      </c>
      <c r="L1388">
        <v>7934</v>
      </c>
      <c r="M1388">
        <v>36328</v>
      </c>
      <c r="N1388">
        <v>0</v>
      </c>
    </row>
    <row r="1389" spans="1:14" x14ac:dyDescent="0.3">
      <c r="A1389" s="1" t="s">
        <v>1434</v>
      </c>
      <c r="B1389" s="1" t="s">
        <v>56</v>
      </c>
      <c r="C1389">
        <v>56</v>
      </c>
      <c r="D1389" s="1" t="s">
        <v>23</v>
      </c>
      <c r="E1389" s="1" t="s">
        <v>17</v>
      </c>
      <c r="F1389" s="1" t="s">
        <v>25</v>
      </c>
      <c r="G1389" s="1" t="s">
        <v>19</v>
      </c>
      <c r="H1389" s="1" t="s">
        <v>20</v>
      </c>
      <c r="I1389" s="2">
        <v>44662</v>
      </c>
      <c r="J1389">
        <v>17180</v>
      </c>
      <c r="K1389" s="2">
        <v>45857</v>
      </c>
      <c r="L1389">
        <v>355</v>
      </c>
      <c r="M1389">
        <v>17535</v>
      </c>
      <c r="N1389">
        <v>0</v>
      </c>
    </row>
    <row r="1390" spans="1:14" x14ac:dyDescent="0.3">
      <c r="A1390" s="1" t="s">
        <v>1435</v>
      </c>
      <c r="B1390" s="1" t="s">
        <v>52</v>
      </c>
      <c r="C1390">
        <v>20</v>
      </c>
      <c r="D1390" s="1" t="s">
        <v>23</v>
      </c>
      <c r="E1390" s="1" t="s">
        <v>17</v>
      </c>
      <c r="F1390" s="1" t="s">
        <v>25</v>
      </c>
      <c r="G1390" s="1" t="s">
        <v>41</v>
      </c>
      <c r="H1390" s="1" t="s">
        <v>20</v>
      </c>
      <c r="I1390" s="2">
        <v>44357</v>
      </c>
      <c r="J1390">
        <v>5190</v>
      </c>
      <c r="K1390" s="2">
        <v>45866</v>
      </c>
      <c r="L1390">
        <v>-14378</v>
      </c>
      <c r="M1390">
        <v>-9188</v>
      </c>
      <c r="N1390">
        <v>0</v>
      </c>
    </row>
    <row r="1391" spans="1:14" x14ac:dyDescent="0.3">
      <c r="A1391" s="1" t="s">
        <v>1436</v>
      </c>
      <c r="B1391" s="1" t="s">
        <v>15</v>
      </c>
      <c r="C1391">
        <v>49</v>
      </c>
      <c r="D1391" s="1" t="s">
        <v>16</v>
      </c>
      <c r="E1391" s="1" t="s">
        <v>24</v>
      </c>
      <c r="F1391" s="1" t="s">
        <v>18</v>
      </c>
      <c r="G1391" s="1" t="s">
        <v>19</v>
      </c>
      <c r="H1391" s="1" t="s">
        <v>20</v>
      </c>
      <c r="I1391" s="2">
        <v>44472</v>
      </c>
      <c r="J1391">
        <v>56980</v>
      </c>
      <c r="K1391" s="2">
        <v>45787</v>
      </c>
      <c r="L1391">
        <v>561</v>
      </c>
      <c r="M1391">
        <v>57541</v>
      </c>
      <c r="N1391">
        <v>0</v>
      </c>
    </row>
    <row r="1392" spans="1:14" x14ac:dyDescent="0.3">
      <c r="A1392" s="1" t="s">
        <v>1437</v>
      </c>
      <c r="B1392" s="1" t="s">
        <v>64</v>
      </c>
      <c r="C1392">
        <v>27</v>
      </c>
      <c r="D1392" s="1" t="s">
        <v>23</v>
      </c>
      <c r="E1392" s="1" t="s">
        <v>17</v>
      </c>
      <c r="F1392" s="1" t="s">
        <v>18</v>
      </c>
      <c r="G1392" s="1" t="s">
        <v>19</v>
      </c>
      <c r="H1392" s="1" t="s">
        <v>20</v>
      </c>
      <c r="I1392" s="2">
        <v>44488</v>
      </c>
      <c r="J1392">
        <v>14803</v>
      </c>
      <c r="K1392" s="2">
        <v>45818</v>
      </c>
      <c r="L1392">
        <v>-2811</v>
      </c>
      <c r="M1392">
        <v>11992</v>
      </c>
      <c r="N1392">
        <v>0</v>
      </c>
    </row>
    <row r="1393" spans="1:14" x14ac:dyDescent="0.3">
      <c r="A1393" s="1" t="s">
        <v>1438</v>
      </c>
      <c r="B1393" s="1" t="s">
        <v>56</v>
      </c>
      <c r="C1393">
        <v>27</v>
      </c>
      <c r="D1393" s="1" t="s">
        <v>23</v>
      </c>
      <c r="E1393" s="1" t="s">
        <v>38</v>
      </c>
      <c r="F1393" s="1" t="s">
        <v>25</v>
      </c>
      <c r="G1393" s="1" t="s">
        <v>41</v>
      </c>
      <c r="H1393" s="1" t="s">
        <v>20</v>
      </c>
      <c r="I1393" s="2">
        <v>45606</v>
      </c>
      <c r="J1393">
        <v>5188</v>
      </c>
      <c r="K1393" s="2">
        <v>45858</v>
      </c>
      <c r="L1393">
        <v>21364</v>
      </c>
      <c r="M1393">
        <v>26552</v>
      </c>
      <c r="N1393">
        <v>0</v>
      </c>
    </row>
    <row r="1394" spans="1:14" x14ac:dyDescent="0.3">
      <c r="A1394" s="1" t="s">
        <v>1439</v>
      </c>
      <c r="B1394" s="1" t="s">
        <v>34</v>
      </c>
      <c r="C1394">
        <v>36</v>
      </c>
      <c r="D1394" s="1" t="s">
        <v>23</v>
      </c>
      <c r="E1394" s="1" t="s">
        <v>17</v>
      </c>
      <c r="F1394" s="1" t="s">
        <v>18</v>
      </c>
      <c r="G1394" s="1" t="s">
        <v>19</v>
      </c>
      <c r="H1394" s="1" t="s">
        <v>20</v>
      </c>
      <c r="I1394" s="2">
        <v>44672</v>
      </c>
      <c r="J1394">
        <v>4324</v>
      </c>
      <c r="K1394" s="2">
        <v>45791</v>
      </c>
      <c r="L1394">
        <v>9400</v>
      </c>
      <c r="M1394">
        <v>13724</v>
      </c>
      <c r="N1394">
        <v>0</v>
      </c>
    </row>
    <row r="1395" spans="1:14" x14ac:dyDescent="0.3">
      <c r="A1395" s="1" t="s">
        <v>1440</v>
      </c>
      <c r="B1395" s="1" t="s">
        <v>43</v>
      </c>
      <c r="C1395">
        <v>63</v>
      </c>
      <c r="D1395" s="1" t="s">
        <v>16</v>
      </c>
      <c r="E1395" s="1" t="s">
        <v>35</v>
      </c>
      <c r="F1395" s="1" t="s">
        <v>18</v>
      </c>
      <c r="G1395" s="1" t="s">
        <v>41</v>
      </c>
      <c r="H1395" s="1" t="s">
        <v>20</v>
      </c>
      <c r="I1395" s="2">
        <v>45392</v>
      </c>
      <c r="J1395">
        <v>5336</v>
      </c>
      <c r="K1395" s="2">
        <v>45867</v>
      </c>
      <c r="L1395">
        <v>3745</v>
      </c>
      <c r="M1395">
        <v>9081</v>
      </c>
      <c r="N1395">
        <v>0</v>
      </c>
    </row>
    <row r="1396" spans="1:14" x14ac:dyDescent="0.3">
      <c r="A1396" s="1" t="s">
        <v>1441</v>
      </c>
      <c r="B1396" s="1" t="s">
        <v>43</v>
      </c>
      <c r="C1396">
        <v>51</v>
      </c>
      <c r="D1396" s="1" t="s">
        <v>16</v>
      </c>
      <c r="E1396" s="1" t="s">
        <v>38</v>
      </c>
      <c r="F1396" s="1" t="s">
        <v>25</v>
      </c>
      <c r="G1396" s="1" t="s">
        <v>19</v>
      </c>
      <c r="H1396" s="1" t="s">
        <v>20</v>
      </c>
      <c r="I1396" s="2">
        <v>45146</v>
      </c>
      <c r="J1396">
        <v>3894</v>
      </c>
      <c r="K1396" s="2">
        <v>45843</v>
      </c>
      <c r="L1396">
        <v>4478</v>
      </c>
      <c r="M1396">
        <v>8372</v>
      </c>
      <c r="N1396">
        <v>0</v>
      </c>
    </row>
    <row r="1397" spans="1:14" x14ac:dyDescent="0.3">
      <c r="A1397" s="1" t="s">
        <v>1442</v>
      </c>
      <c r="B1397" s="1" t="s">
        <v>61</v>
      </c>
      <c r="C1397">
        <v>50</v>
      </c>
      <c r="D1397" s="1" t="s">
        <v>23</v>
      </c>
      <c r="E1397" s="1" t="s">
        <v>24</v>
      </c>
      <c r="F1397" s="1" t="s">
        <v>18</v>
      </c>
      <c r="G1397" s="1" t="s">
        <v>19</v>
      </c>
      <c r="H1397" s="1" t="s">
        <v>20</v>
      </c>
      <c r="I1397" s="2">
        <v>45831</v>
      </c>
      <c r="J1397">
        <v>26079</v>
      </c>
      <c r="K1397" s="2">
        <v>45869</v>
      </c>
      <c r="L1397">
        <v>6974</v>
      </c>
      <c r="M1397">
        <v>33053</v>
      </c>
      <c r="N1397">
        <v>0</v>
      </c>
    </row>
    <row r="1398" spans="1:14" x14ac:dyDescent="0.3">
      <c r="A1398" s="1" t="s">
        <v>1443</v>
      </c>
      <c r="B1398" s="1" t="s">
        <v>37</v>
      </c>
      <c r="C1398">
        <v>40</v>
      </c>
      <c r="D1398" s="1" t="s">
        <v>16</v>
      </c>
      <c r="E1398" s="1" t="s">
        <v>38</v>
      </c>
      <c r="F1398" s="1" t="s">
        <v>25</v>
      </c>
      <c r="G1398" s="1" t="s">
        <v>19</v>
      </c>
      <c r="H1398" s="1" t="s">
        <v>20</v>
      </c>
      <c r="I1398" s="2">
        <v>44653</v>
      </c>
      <c r="J1398">
        <v>11214</v>
      </c>
      <c r="K1398" s="2">
        <v>45834</v>
      </c>
      <c r="L1398">
        <v>22255</v>
      </c>
      <c r="M1398">
        <v>33469</v>
      </c>
      <c r="N1398">
        <v>0</v>
      </c>
    </row>
    <row r="1399" spans="1:14" x14ac:dyDescent="0.3">
      <c r="A1399" s="1" t="s">
        <v>1444</v>
      </c>
      <c r="B1399" s="1" t="s">
        <v>15</v>
      </c>
      <c r="C1399">
        <v>45</v>
      </c>
      <c r="D1399" s="1" t="s">
        <v>16</v>
      </c>
      <c r="E1399" s="1" t="s">
        <v>38</v>
      </c>
      <c r="F1399" s="1" t="s">
        <v>25</v>
      </c>
      <c r="G1399" s="1" t="s">
        <v>19</v>
      </c>
      <c r="H1399" s="1" t="s">
        <v>20</v>
      </c>
      <c r="I1399" s="2">
        <v>44461</v>
      </c>
      <c r="J1399">
        <v>29028</v>
      </c>
      <c r="K1399" s="2">
        <v>45864</v>
      </c>
      <c r="L1399">
        <v>10951</v>
      </c>
      <c r="M1399">
        <v>39979</v>
      </c>
      <c r="N1399">
        <v>0</v>
      </c>
    </row>
    <row r="1400" spans="1:14" x14ac:dyDescent="0.3">
      <c r="A1400" s="1" t="s">
        <v>1445</v>
      </c>
      <c r="B1400" s="1" t="s">
        <v>40</v>
      </c>
      <c r="C1400">
        <v>49</v>
      </c>
      <c r="D1400" s="1" t="s">
        <v>30</v>
      </c>
      <c r="E1400" s="1" t="s">
        <v>35</v>
      </c>
      <c r="F1400" s="1" t="s">
        <v>18</v>
      </c>
      <c r="G1400" s="1" t="s">
        <v>19</v>
      </c>
      <c r="H1400" s="1" t="s">
        <v>20</v>
      </c>
      <c r="I1400" s="2">
        <v>44284</v>
      </c>
      <c r="J1400">
        <v>43022</v>
      </c>
      <c r="K1400" s="2">
        <v>45834</v>
      </c>
      <c r="L1400">
        <v>23983</v>
      </c>
      <c r="M1400">
        <v>67005</v>
      </c>
      <c r="N1400">
        <v>0</v>
      </c>
    </row>
    <row r="1401" spans="1:14" x14ac:dyDescent="0.3">
      <c r="A1401" s="1" t="s">
        <v>1446</v>
      </c>
      <c r="B1401" s="1" t="s">
        <v>34</v>
      </c>
      <c r="C1401">
        <v>67</v>
      </c>
      <c r="D1401" s="1" t="s">
        <v>23</v>
      </c>
      <c r="E1401" s="1" t="s">
        <v>24</v>
      </c>
      <c r="F1401" s="1" t="s">
        <v>18</v>
      </c>
      <c r="G1401" s="1" t="s">
        <v>19</v>
      </c>
      <c r="H1401" s="1" t="s">
        <v>20</v>
      </c>
      <c r="I1401" s="2">
        <v>44600</v>
      </c>
      <c r="J1401">
        <v>33216</v>
      </c>
      <c r="K1401" s="2">
        <v>45773</v>
      </c>
      <c r="L1401">
        <v>15328</v>
      </c>
      <c r="M1401">
        <v>48544</v>
      </c>
      <c r="N1401">
        <v>0</v>
      </c>
    </row>
    <row r="1402" spans="1:14" x14ac:dyDescent="0.3">
      <c r="A1402" s="1" t="s">
        <v>1447</v>
      </c>
      <c r="B1402" s="1" t="s">
        <v>59</v>
      </c>
      <c r="C1402">
        <v>24</v>
      </c>
      <c r="D1402" s="1" t="s">
        <v>16</v>
      </c>
      <c r="E1402" s="1" t="s">
        <v>17</v>
      </c>
      <c r="F1402" s="1" t="s">
        <v>18</v>
      </c>
      <c r="G1402" s="1" t="s">
        <v>19</v>
      </c>
      <c r="H1402" s="1" t="s">
        <v>20</v>
      </c>
      <c r="I1402" s="2">
        <v>45341</v>
      </c>
      <c r="J1402">
        <v>25185</v>
      </c>
      <c r="K1402" s="2">
        <v>45857</v>
      </c>
      <c r="L1402">
        <v>-16202</v>
      </c>
      <c r="M1402">
        <v>8983</v>
      </c>
      <c r="N1402">
        <v>0</v>
      </c>
    </row>
    <row r="1403" spans="1:14" x14ac:dyDescent="0.3">
      <c r="A1403" s="1" t="s">
        <v>1448</v>
      </c>
      <c r="B1403" s="1" t="s">
        <v>71</v>
      </c>
      <c r="C1403">
        <v>46</v>
      </c>
      <c r="D1403" s="1" t="s">
        <v>23</v>
      </c>
      <c r="E1403" s="1" t="s">
        <v>24</v>
      </c>
      <c r="F1403" s="1" t="s">
        <v>25</v>
      </c>
      <c r="G1403" s="1" t="s">
        <v>41</v>
      </c>
      <c r="H1403" s="1" t="s">
        <v>20</v>
      </c>
      <c r="I1403" s="2">
        <v>44339</v>
      </c>
      <c r="J1403">
        <v>17810</v>
      </c>
      <c r="K1403" s="2">
        <v>45835</v>
      </c>
      <c r="L1403">
        <v>12269</v>
      </c>
      <c r="M1403">
        <v>30079</v>
      </c>
      <c r="N1403">
        <v>0</v>
      </c>
    </row>
    <row r="1404" spans="1:14" x14ac:dyDescent="0.3">
      <c r="A1404" s="1" t="s">
        <v>1449</v>
      </c>
      <c r="B1404" s="1" t="s">
        <v>37</v>
      </c>
      <c r="C1404">
        <v>25</v>
      </c>
      <c r="D1404" s="1" t="s">
        <v>16</v>
      </c>
      <c r="E1404" s="1" t="s">
        <v>24</v>
      </c>
      <c r="F1404" s="1" t="s">
        <v>18</v>
      </c>
      <c r="G1404" s="1" t="s">
        <v>19</v>
      </c>
      <c r="H1404" s="1" t="s">
        <v>20</v>
      </c>
      <c r="I1404" s="2">
        <v>44606</v>
      </c>
      <c r="J1404">
        <v>11044</v>
      </c>
      <c r="K1404" s="2">
        <v>45850</v>
      </c>
      <c r="L1404">
        <v>-6834</v>
      </c>
      <c r="M1404">
        <v>4210</v>
      </c>
      <c r="N1404">
        <v>0</v>
      </c>
    </row>
    <row r="1405" spans="1:14" x14ac:dyDescent="0.3">
      <c r="A1405" s="1" t="s">
        <v>1450</v>
      </c>
      <c r="B1405" s="1" t="s">
        <v>61</v>
      </c>
      <c r="C1405">
        <v>18</v>
      </c>
      <c r="D1405" s="1" t="s">
        <v>16</v>
      </c>
      <c r="E1405" s="1" t="s">
        <v>24</v>
      </c>
      <c r="F1405" s="1" t="s">
        <v>25</v>
      </c>
      <c r="G1405" s="1" t="s">
        <v>19</v>
      </c>
      <c r="H1405" s="1" t="s">
        <v>49</v>
      </c>
      <c r="I1405" s="2">
        <v>45627</v>
      </c>
      <c r="J1405">
        <v>11806</v>
      </c>
      <c r="K1405" s="2">
        <v>45868</v>
      </c>
      <c r="L1405">
        <v>21458</v>
      </c>
      <c r="M1405">
        <v>33264</v>
      </c>
      <c r="N1405">
        <v>0</v>
      </c>
    </row>
    <row r="1406" spans="1:14" x14ac:dyDescent="0.3">
      <c r="A1406" s="1" t="s">
        <v>1451</v>
      </c>
      <c r="B1406" s="1" t="s">
        <v>15</v>
      </c>
      <c r="C1406">
        <v>20</v>
      </c>
      <c r="D1406" s="1" t="s">
        <v>23</v>
      </c>
      <c r="E1406" s="1" t="s">
        <v>24</v>
      </c>
      <c r="F1406" s="1" t="s">
        <v>18</v>
      </c>
      <c r="G1406" s="1" t="s">
        <v>19</v>
      </c>
      <c r="H1406" s="1" t="s">
        <v>20</v>
      </c>
      <c r="I1406" s="2">
        <v>45172</v>
      </c>
      <c r="J1406">
        <v>23965</v>
      </c>
      <c r="K1406" s="2">
        <v>45860</v>
      </c>
      <c r="L1406">
        <v>-8540</v>
      </c>
      <c r="M1406">
        <v>15425</v>
      </c>
      <c r="N1406">
        <v>0</v>
      </c>
    </row>
    <row r="1407" spans="1:14" x14ac:dyDescent="0.3">
      <c r="A1407" s="1" t="s">
        <v>1452</v>
      </c>
      <c r="B1407" s="1" t="s">
        <v>71</v>
      </c>
      <c r="C1407">
        <v>41</v>
      </c>
      <c r="D1407" s="1" t="s">
        <v>16</v>
      </c>
      <c r="E1407" s="1" t="s">
        <v>38</v>
      </c>
      <c r="F1407" s="1" t="s">
        <v>18</v>
      </c>
      <c r="G1407" s="1" t="s">
        <v>19</v>
      </c>
      <c r="H1407" s="1" t="s">
        <v>20</v>
      </c>
      <c r="I1407" s="2">
        <v>44313</v>
      </c>
      <c r="J1407">
        <v>5109</v>
      </c>
      <c r="K1407" s="2">
        <v>45828</v>
      </c>
      <c r="L1407">
        <v>-9296</v>
      </c>
      <c r="M1407">
        <v>-4187</v>
      </c>
      <c r="N1407">
        <v>0</v>
      </c>
    </row>
    <row r="1408" spans="1:14" x14ac:dyDescent="0.3">
      <c r="A1408" s="1" t="s">
        <v>1453</v>
      </c>
      <c r="B1408" s="1" t="s">
        <v>69</v>
      </c>
      <c r="C1408">
        <v>40</v>
      </c>
      <c r="D1408" s="1" t="s">
        <v>16</v>
      </c>
      <c r="E1408" s="1" t="s">
        <v>35</v>
      </c>
      <c r="F1408" s="1" t="s">
        <v>18</v>
      </c>
      <c r="G1408" s="1" t="s">
        <v>41</v>
      </c>
      <c r="H1408" s="1" t="s">
        <v>20</v>
      </c>
      <c r="I1408" s="2">
        <v>44276</v>
      </c>
      <c r="J1408">
        <v>12659</v>
      </c>
      <c r="K1408" s="2">
        <v>45863</v>
      </c>
      <c r="L1408">
        <v>9554</v>
      </c>
      <c r="M1408">
        <v>22213</v>
      </c>
      <c r="N1408">
        <v>0</v>
      </c>
    </row>
    <row r="1409" spans="1:14" x14ac:dyDescent="0.3">
      <c r="A1409" s="1" t="s">
        <v>1454</v>
      </c>
      <c r="B1409" s="1" t="s">
        <v>69</v>
      </c>
      <c r="C1409">
        <v>25</v>
      </c>
      <c r="D1409" s="1" t="s">
        <v>23</v>
      </c>
      <c r="E1409" s="1" t="s">
        <v>17</v>
      </c>
      <c r="F1409" s="1" t="s">
        <v>18</v>
      </c>
      <c r="G1409" s="1" t="s">
        <v>19</v>
      </c>
      <c r="H1409" s="1" t="s">
        <v>20</v>
      </c>
      <c r="I1409" s="2">
        <v>44299</v>
      </c>
      <c r="J1409">
        <v>6356</v>
      </c>
      <c r="K1409" s="2">
        <v>45865</v>
      </c>
      <c r="L1409">
        <v>10598</v>
      </c>
      <c r="M1409">
        <v>16954</v>
      </c>
      <c r="N1409">
        <v>0</v>
      </c>
    </row>
    <row r="1410" spans="1:14" x14ac:dyDescent="0.3">
      <c r="A1410" s="1" t="s">
        <v>1455</v>
      </c>
      <c r="B1410" s="1" t="s">
        <v>34</v>
      </c>
      <c r="C1410">
        <v>64</v>
      </c>
      <c r="D1410" s="1" t="s">
        <v>16</v>
      </c>
      <c r="E1410" s="1" t="s">
        <v>17</v>
      </c>
      <c r="F1410" s="1" t="s">
        <v>18</v>
      </c>
      <c r="G1410" s="1" t="s">
        <v>19</v>
      </c>
      <c r="H1410" s="1" t="s">
        <v>20</v>
      </c>
      <c r="I1410" s="2">
        <v>45772</v>
      </c>
      <c r="J1410">
        <v>43173</v>
      </c>
      <c r="K1410" s="2">
        <v>45869</v>
      </c>
      <c r="L1410">
        <v>26712</v>
      </c>
      <c r="M1410">
        <v>69885</v>
      </c>
      <c r="N1410">
        <v>0</v>
      </c>
    </row>
    <row r="1411" spans="1:14" x14ac:dyDescent="0.3">
      <c r="A1411" s="1" t="s">
        <v>1456</v>
      </c>
      <c r="B1411" s="1" t="s">
        <v>71</v>
      </c>
      <c r="C1411">
        <v>54</v>
      </c>
      <c r="D1411" s="1" t="s">
        <v>23</v>
      </c>
      <c r="E1411" s="1" t="s">
        <v>17</v>
      </c>
      <c r="F1411" s="1" t="s">
        <v>18</v>
      </c>
      <c r="G1411" s="1" t="s">
        <v>19</v>
      </c>
      <c r="H1411" s="1" t="s">
        <v>20</v>
      </c>
      <c r="I1411" s="2">
        <v>45618</v>
      </c>
      <c r="J1411">
        <v>27366</v>
      </c>
      <c r="K1411" s="2">
        <v>45863</v>
      </c>
      <c r="L1411">
        <v>-6948</v>
      </c>
      <c r="M1411">
        <v>20418</v>
      </c>
      <c r="N1411">
        <v>0</v>
      </c>
    </row>
    <row r="1412" spans="1:14" x14ac:dyDescent="0.3">
      <c r="A1412" s="1" t="s">
        <v>1457</v>
      </c>
      <c r="B1412" s="1" t="s">
        <v>32</v>
      </c>
      <c r="C1412">
        <v>20</v>
      </c>
      <c r="D1412" s="1" t="s">
        <v>16</v>
      </c>
      <c r="E1412" s="1" t="s">
        <v>38</v>
      </c>
      <c r="F1412" s="1" t="s">
        <v>18</v>
      </c>
      <c r="G1412" s="1" t="s">
        <v>19</v>
      </c>
      <c r="H1412" s="1" t="s">
        <v>20</v>
      </c>
      <c r="I1412" s="2">
        <v>45610</v>
      </c>
      <c r="J1412">
        <v>113261</v>
      </c>
      <c r="K1412" s="2">
        <v>45847</v>
      </c>
      <c r="L1412">
        <v>9649</v>
      </c>
      <c r="M1412">
        <v>122910</v>
      </c>
      <c r="N1412">
        <v>0</v>
      </c>
    </row>
    <row r="1413" spans="1:14" x14ac:dyDescent="0.3">
      <c r="A1413" s="1" t="s">
        <v>1458</v>
      </c>
      <c r="B1413" s="1" t="s">
        <v>27</v>
      </c>
      <c r="C1413">
        <v>68</v>
      </c>
      <c r="D1413" s="1" t="s">
        <v>23</v>
      </c>
      <c r="E1413" s="1" t="s">
        <v>38</v>
      </c>
      <c r="F1413" s="1" t="s">
        <v>18</v>
      </c>
      <c r="G1413" s="1" t="s">
        <v>41</v>
      </c>
      <c r="H1413" s="1" t="s">
        <v>20</v>
      </c>
      <c r="I1413" s="2">
        <v>45743</v>
      </c>
      <c r="J1413">
        <v>6262</v>
      </c>
      <c r="K1413" s="2">
        <v>45865</v>
      </c>
      <c r="L1413">
        <v>5258</v>
      </c>
      <c r="M1413">
        <v>11520</v>
      </c>
      <c r="N1413">
        <v>0</v>
      </c>
    </row>
    <row r="1414" spans="1:14" x14ac:dyDescent="0.3">
      <c r="A1414" s="1" t="s">
        <v>1459</v>
      </c>
      <c r="B1414" s="1" t="s">
        <v>64</v>
      </c>
      <c r="C1414">
        <v>50</v>
      </c>
      <c r="D1414" s="1" t="s">
        <v>16</v>
      </c>
      <c r="E1414" s="1" t="s">
        <v>24</v>
      </c>
      <c r="F1414" s="1" t="s">
        <v>18</v>
      </c>
      <c r="G1414" s="1" t="s">
        <v>19</v>
      </c>
      <c r="H1414" s="1" t="s">
        <v>20</v>
      </c>
      <c r="I1414" s="2">
        <v>45042</v>
      </c>
      <c r="J1414">
        <v>6971</v>
      </c>
      <c r="K1414" s="2">
        <v>45794</v>
      </c>
      <c r="L1414">
        <v>457</v>
      </c>
      <c r="M1414">
        <v>7428</v>
      </c>
      <c r="N1414">
        <v>0</v>
      </c>
    </row>
    <row r="1415" spans="1:14" x14ac:dyDescent="0.3">
      <c r="A1415" s="1" t="s">
        <v>1460</v>
      </c>
      <c r="B1415" s="1" t="s">
        <v>75</v>
      </c>
      <c r="C1415">
        <v>45</v>
      </c>
      <c r="D1415" s="1" t="s">
        <v>23</v>
      </c>
      <c r="E1415" s="1" t="s">
        <v>24</v>
      </c>
      <c r="F1415" s="1" t="s">
        <v>25</v>
      </c>
      <c r="G1415" s="1" t="s">
        <v>41</v>
      </c>
      <c r="H1415" s="1" t="s">
        <v>20</v>
      </c>
      <c r="I1415" s="2">
        <v>44610</v>
      </c>
      <c r="J1415">
        <v>14150</v>
      </c>
      <c r="K1415" s="2">
        <v>45801</v>
      </c>
      <c r="L1415">
        <v>15614</v>
      </c>
      <c r="M1415">
        <v>29764</v>
      </c>
      <c r="N1415">
        <v>0</v>
      </c>
    </row>
    <row r="1416" spans="1:14" x14ac:dyDescent="0.3">
      <c r="A1416" s="1" t="s">
        <v>1461</v>
      </c>
      <c r="B1416" s="1" t="s">
        <v>61</v>
      </c>
      <c r="C1416">
        <v>64</v>
      </c>
      <c r="D1416" s="1" t="s">
        <v>16</v>
      </c>
      <c r="E1416" s="1" t="s">
        <v>24</v>
      </c>
      <c r="F1416" s="1" t="s">
        <v>18</v>
      </c>
      <c r="G1416" s="1" t="s">
        <v>19</v>
      </c>
      <c r="H1416" s="1" t="s">
        <v>20</v>
      </c>
      <c r="I1416" s="2">
        <v>44868</v>
      </c>
      <c r="J1416">
        <v>6467</v>
      </c>
      <c r="K1416" s="2">
        <v>45808</v>
      </c>
      <c r="L1416">
        <v>-131</v>
      </c>
      <c r="M1416">
        <v>6336</v>
      </c>
      <c r="N1416">
        <v>0</v>
      </c>
    </row>
    <row r="1417" spans="1:14" x14ac:dyDescent="0.3">
      <c r="A1417" s="1" t="s">
        <v>1462</v>
      </c>
      <c r="B1417" s="1" t="s">
        <v>87</v>
      </c>
      <c r="C1417">
        <v>25</v>
      </c>
      <c r="D1417" s="1" t="s">
        <v>16</v>
      </c>
      <c r="E1417" s="1" t="s">
        <v>24</v>
      </c>
      <c r="F1417" s="1" t="s">
        <v>18</v>
      </c>
      <c r="G1417" s="1" t="s">
        <v>41</v>
      </c>
      <c r="H1417" s="1" t="s">
        <v>20</v>
      </c>
      <c r="I1417" s="2">
        <v>45399</v>
      </c>
      <c r="J1417">
        <v>22871</v>
      </c>
      <c r="K1417" s="2">
        <v>45865</v>
      </c>
      <c r="L1417">
        <v>18011</v>
      </c>
      <c r="M1417">
        <v>40882</v>
      </c>
      <c r="N1417">
        <v>0</v>
      </c>
    </row>
    <row r="1418" spans="1:14" x14ac:dyDescent="0.3">
      <c r="A1418" s="1" t="s">
        <v>1463</v>
      </c>
      <c r="B1418" s="1" t="s">
        <v>69</v>
      </c>
      <c r="C1418">
        <v>51</v>
      </c>
      <c r="D1418" s="1" t="s">
        <v>16</v>
      </c>
      <c r="E1418" s="1" t="s">
        <v>24</v>
      </c>
      <c r="F1418" s="1" t="s">
        <v>25</v>
      </c>
      <c r="G1418" s="1" t="s">
        <v>19</v>
      </c>
      <c r="H1418" s="1" t="s">
        <v>20</v>
      </c>
      <c r="I1418" s="2">
        <v>45662</v>
      </c>
      <c r="J1418">
        <v>12696</v>
      </c>
      <c r="K1418" s="2">
        <v>45833</v>
      </c>
      <c r="L1418">
        <v>49019</v>
      </c>
      <c r="M1418">
        <v>61715</v>
      </c>
      <c r="N1418">
        <v>0</v>
      </c>
    </row>
    <row r="1419" spans="1:14" x14ac:dyDescent="0.3">
      <c r="A1419" s="1" t="s">
        <v>1464</v>
      </c>
      <c r="B1419" s="1" t="s">
        <v>27</v>
      </c>
      <c r="C1419">
        <v>52</v>
      </c>
      <c r="D1419" s="1" t="s">
        <v>16</v>
      </c>
      <c r="E1419" s="1" t="s">
        <v>38</v>
      </c>
      <c r="F1419" s="1" t="s">
        <v>18</v>
      </c>
      <c r="G1419" s="1" t="s">
        <v>41</v>
      </c>
      <c r="H1419" s="1" t="s">
        <v>20</v>
      </c>
      <c r="I1419" s="2">
        <v>44924</v>
      </c>
      <c r="J1419">
        <v>8197</v>
      </c>
      <c r="K1419" s="2">
        <v>45829</v>
      </c>
      <c r="L1419">
        <v>22846</v>
      </c>
      <c r="M1419">
        <v>31043</v>
      </c>
      <c r="N1419">
        <v>0</v>
      </c>
    </row>
    <row r="1420" spans="1:14" x14ac:dyDescent="0.3">
      <c r="A1420" s="1" t="s">
        <v>1465</v>
      </c>
      <c r="B1420" s="1" t="s">
        <v>52</v>
      </c>
      <c r="C1420">
        <v>49</v>
      </c>
      <c r="D1420" s="1" t="s">
        <v>16</v>
      </c>
      <c r="E1420" s="1" t="s">
        <v>35</v>
      </c>
      <c r="F1420" s="1" t="s">
        <v>25</v>
      </c>
      <c r="G1420" s="1" t="s">
        <v>41</v>
      </c>
      <c r="H1420" s="1" t="s">
        <v>20</v>
      </c>
      <c r="I1420" s="2">
        <v>45092</v>
      </c>
      <c r="J1420">
        <v>39640</v>
      </c>
      <c r="K1420" s="2">
        <v>45829</v>
      </c>
      <c r="L1420">
        <v>5764</v>
      </c>
      <c r="M1420">
        <v>45404</v>
      </c>
      <c r="N1420">
        <v>0</v>
      </c>
    </row>
    <row r="1421" spans="1:14" x14ac:dyDescent="0.3">
      <c r="A1421" s="1" t="s">
        <v>1466</v>
      </c>
      <c r="B1421" s="1" t="s">
        <v>29</v>
      </c>
      <c r="C1421">
        <v>41</v>
      </c>
      <c r="D1421" s="1" t="s">
        <v>23</v>
      </c>
      <c r="E1421" s="1" t="s">
        <v>35</v>
      </c>
      <c r="F1421" s="1" t="s">
        <v>18</v>
      </c>
      <c r="G1421" s="1" t="s">
        <v>41</v>
      </c>
      <c r="H1421" s="1" t="s">
        <v>20</v>
      </c>
      <c r="I1421" s="2">
        <v>45755</v>
      </c>
      <c r="J1421">
        <v>2102</v>
      </c>
      <c r="K1421" s="2">
        <v>45864</v>
      </c>
      <c r="L1421">
        <v>14943</v>
      </c>
      <c r="M1421">
        <v>17045</v>
      </c>
      <c r="N1421">
        <v>0</v>
      </c>
    </row>
    <row r="1422" spans="1:14" x14ac:dyDescent="0.3">
      <c r="A1422" s="1" t="s">
        <v>1467</v>
      </c>
      <c r="B1422" s="1" t="s">
        <v>61</v>
      </c>
      <c r="C1422">
        <v>31</v>
      </c>
      <c r="D1422" s="1" t="s">
        <v>23</v>
      </c>
      <c r="E1422" s="1" t="s">
        <v>35</v>
      </c>
      <c r="F1422" s="1" t="s">
        <v>18</v>
      </c>
      <c r="G1422" s="1" t="s">
        <v>19</v>
      </c>
      <c r="H1422" s="1" t="s">
        <v>20</v>
      </c>
      <c r="I1422" s="2">
        <v>44376</v>
      </c>
      <c r="J1422">
        <v>22974</v>
      </c>
      <c r="K1422" s="2">
        <v>45784</v>
      </c>
      <c r="L1422">
        <v>21679</v>
      </c>
      <c r="M1422">
        <v>44653</v>
      </c>
      <c r="N1422">
        <v>0</v>
      </c>
    </row>
    <row r="1423" spans="1:14" x14ac:dyDescent="0.3">
      <c r="A1423" s="1" t="s">
        <v>1468</v>
      </c>
      <c r="B1423" s="1" t="s">
        <v>32</v>
      </c>
      <c r="C1423">
        <v>49</v>
      </c>
      <c r="D1423" s="1" t="s">
        <v>16</v>
      </c>
      <c r="E1423" s="1" t="s">
        <v>24</v>
      </c>
      <c r="F1423" s="1" t="s">
        <v>25</v>
      </c>
      <c r="G1423" s="1" t="s">
        <v>19</v>
      </c>
      <c r="H1423" s="1" t="s">
        <v>20</v>
      </c>
      <c r="I1423" s="2">
        <v>45639</v>
      </c>
      <c r="J1423">
        <v>7699</v>
      </c>
      <c r="K1423" s="2">
        <v>45866</v>
      </c>
      <c r="L1423">
        <v>25771</v>
      </c>
      <c r="M1423">
        <v>33470</v>
      </c>
      <c r="N1423">
        <v>0</v>
      </c>
    </row>
    <row r="1424" spans="1:14" x14ac:dyDescent="0.3">
      <c r="A1424" s="1" t="s">
        <v>1469</v>
      </c>
      <c r="B1424" s="1" t="s">
        <v>29</v>
      </c>
      <c r="C1424">
        <v>63</v>
      </c>
      <c r="D1424" s="1" t="s">
        <v>23</v>
      </c>
      <c r="E1424" s="1" t="s">
        <v>24</v>
      </c>
      <c r="F1424" s="1" t="s">
        <v>18</v>
      </c>
      <c r="G1424" s="1" t="s">
        <v>19</v>
      </c>
      <c r="H1424" s="1" t="s">
        <v>20</v>
      </c>
      <c r="I1424" s="2">
        <v>44463</v>
      </c>
      <c r="J1424">
        <v>30235</v>
      </c>
      <c r="K1424" s="2">
        <v>45865</v>
      </c>
      <c r="L1424">
        <v>13332</v>
      </c>
      <c r="M1424">
        <v>43567</v>
      </c>
      <c r="N1424">
        <v>0</v>
      </c>
    </row>
    <row r="1425" spans="1:14" x14ac:dyDescent="0.3">
      <c r="A1425" s="1" t="s">
        <v>1470</v>
      </c>
      <c r="B1425" s="1" t="s">
        <v>61</v>
      </c>
      <c r="C1425">
        <v>60</v>
      </c>
      <c r="D1425" s="1" t="s">
        <v>16</v>
      </c>
      <c r="E1425" s="1" t="s">
        <v>38</v>
      </c>
      <c r="F1425" s="1" t="s">
        <v>25</v>
      </c>
      <c r="G1425" s="1" t="s">
        <v>19</v>
      </c>
      <c r="H1425" s="1" t="s">
        <v>20</v>
      </c>
      <c r="I1425" s="2">
        <v>45006</v>
      </c>
      <c r="J1425">
        <v>38417</v>
      </c>
      <c r="K1425" s="2">
        <v>45843</v>
      </c>
      <c r="L1425">
        <v>-2077</v>
      </c>
      <c r="M1425">
        <v>36340</v>
      </c>
      <c r="N1425">
        <v>0</v>
      </c>
    </row>
    <row r="1426" spans="1:14" x14ac:dyDescent="0.3">
      <c r="A1426" s="1" t="s">
        <v>1471</v>
      </c>
      <c r="B1426" s="1" t="s">
        <v>56</v>
      </c>
      <c r="C1426">
        <v>33</v>
      </c>
      <c r="D1426" s="1" t="s">
        <v>30</v>
      </c>
      <c r="E1426" s="1" t="s">
        <v>35</v>
      </c>
      <c r="F1426" s="1" t="s">
        <v>18</v>
      </c>
      <c r="G1426" s="1" t="s">
        <v>19</v>
      </c>
      <c r="H1426" s="1" t="s">
        <v>20</v>
      </c>
      <c r="I1426" s="2">
        <v>44562</v>
      </c>
      <c r="J1426">
        <v>1371</v>
      </c>
      <c r="K1426" s="2">
        <v>45721</v>
      </c>
      <c r="L1426">
        <v>7786</v>
      </c>
      <c r="M1426">
        <v>9157</v>
      </c>
      <c r="N1426">
        <v>0</v>
      </c>
    </row>
    <row r="1427" spans="1:14" x14ac:dyDescent="0.3">
      <c r="A1427" s="1" t="s">
        <v>1472</v>
      </c>
      <c r="B1427" s="1" t="s">
        <v>40</v>
      </c>
      <c r="C1427">
        <v>21</v>
      </c>
      <c r="D1427" s="1" t="s">
        <v>23</v>
      </c>
      <c r="E1427" s="1" t="s">
        <v>17</v>
      </c>
      <c r="F1427" s="1" t="s">
        <v>25</v>
      </c>
      <c r="G1427" s="1" t="s">
        <v>19</v>
      </c>
      <c r="H1427" s="1" t="s">
        <v>20</v>
      </c>
      <c r="I1427" s="2">
        <v>45205</v>
      </c>
      <c r="J1427">
        <v>10812</v>
      </c>
      <c r="K1427" s="2">
        <v>45861</v>
      </c>
      <c r="L1427">
        <v>14462</v>
      </c>
      <c r="M1427">
        <v>25274</v>
      </c>
      <c r="N1427">
        <v>0</v>
      </c>
    </row>
    <row r="1428" spans="1:14" x14ac:dyDescent="0.3">
      <c r="A1428" s="1" t="s">
        <v>1473</v>
      </c>
      <c r="B1428" s="1" t="s">
        <v>29</v>
      </c>
      <c r="C1428">
        <v>69</v>
      </c>
      <c r="D1428" s="1" t="s">
        <v>16</v>
      </c>
      <c r="E1428" s="1" t="s">
        <v>24</v>
      </c>
      <c r="F1428" s="1" t="s">
        <v>25</v>
      </c>
      <c r="G1428" s="1" t="s">
        <v>19</v>
      </c>
      <c r="H1428" s="1" t="s">
        <v>20</v>
      </c>
      <c r="I1428" s="2">
        <v>45131</v>
      </c>
      <c r="J1428">
        <v>14160</v>
      </c>
      <c r="K1428" s="2">
        <v>45866</v>
      </c>
      <c r="L1428">
        <v>7150</v>
      </c>
      <c r="M1428">
        <v>21310</v>
      </c>
      <c r="N1428">
        <v>0</v>
      </c>
    </row>
    <row r="1429" spans="1:14" x14ac:dyDescent="0.3">
      <c r="A1429" s="1" t="s">
        <v>1474</v>
      </c>
      <c r="B1429" s="1" t="s">
        <v>34</v>
      </c>
      <c r="C1429">
        <v>54</v>
      </c>
      <c r="D1429" s="1" t="s">
        <v>16</v>
      </c>
      <c r="E1429" s="1" t="s">
        <v>17</v>
      </c>
      <c r="F1429" s="1" t="s">
        <v>18</v>
      </c>
      <c r="G1429" s="1" t="s">
        <v>19</v>
      </c>
      <c r="H1429" s="1" t="s">
        <v>20</v>
      </c>
      <c r="I1429" s="2">
        <v>44832</v>
      </c>
      <c r="J1429">
        <v>1264</v>
      </c>
      <c r="K1429" s="2">
        <v>45797</v>
      </c>
      <c r="L1429">
        <v>35263</v>
      </c>
      <c r="M1429">
        <v>36527</v>
      </c>
      <c r="N1429">
        <v>0</v>
      </c>
    </row>
    <row r="1430" spans="1:14" x14ac:dyDescent="0.3">
      <c r="A1430" s="1" t="s">
        <v>1475</v>
      </c>
      <c r="B1430" s="1" t="s">
        <v>56</v>
      </c>
      <c r="C1430">
        <v>38</v>
      </c>
      <c r="D1430" s="1" t="s">
        <v>16</v>
      </c>
      <c r="E1430" s="1" t="s">
        <v>24</v>
      </c>
      <c r="F1430" s="1" t="s">
        <v>25</v>
      </c>
      <c r="G1430" s="1" t="s">
        <v>19</v>
      </c>
      <c r="H1430" s="1" t="s">
        <v>20</v>
      </c>
      <c r="I1430" s="2">
        <v>45641</v>
      </c>
      <c r="J1430">
        <v>16777</v>
      </c>
      <c r="K1430" s="2">
        <v>45866</v>
      </c>
      <c r="L1430">
        <v>22633</v>
      </c>
      <c r="M1430">
        <v>39410</v>
      </c>
      <c r="N1430">
        <v>0</v>
      </c>
    </row>
    <row r="1431" spans="1:14" x14ac:dyDescent="0.3">
      <c r="A1431" s="1" t="s">
        <v>1476</v>
      </c>
      <c r="B1431" s="1" t="s">
        <v>69</v>
      </c>
      <c r="C1431">
        <v>31</v>
      </c>
      <c r="D1431" s="1" t="s">
        <v>23</v>
      </c>
      <c r="E1431" s="1" t="s">
        <v>24</v>
      </c>
      <c r="F1431" s="1" t="s">
        <v>18</v>
      </c>
      <c r="G1431" s="1" t="s">
        <v>19</v>
      </c>
      <c r="H1431" s="1" t="s">
        <v>20</v>
      </c>
      <c r="I1431" s="2">
        <v>45300</v>
      </c>
      <c r="J1431">
        <v>7879</v>
      </c>
      <c r="K1431" s="2">
        <v>45868</v>
      </c>
      <c r="L1431">
        <v>9211</v>
      </c>
      <c r="M1431">
        <v>17090</v>
      </c>
      <c r="N1431">
        <v>0</v>
      </c>
    </row>
    <row r="1432" spans="1:14" x14ac:dyDescent="0.3">
      <c r="A1432" s="1" t="s">
        <v>1477</v>
      </c>
      <c r="B1432" s="1" t="s">
        <v>64</v>
      </c>
      <c r="C1432">
        <v>48</v>
      </c>
      <c r="D1432" s="1" t="s">
        <v>23</v>
      </c>
      <c r="E1432" s="1" t="s">
        <v>24</v>
      </c>
      <c r="F1432" s="1" t="s">
        <v>25</v>
      </c>
      <c r="G1432" s="1" t="s">
        <v>19</v>
      </c>
      <c r="H1432" s="1" t="s">
        <v>20</v>
      </c>
      <c r="I1432" s="2">
        <v>45403</v>
      </c>
      <c r="J1432">
        <v>4001</v>
      </c>
      <c r="K1432" s="2">
        <v>45839</v>
      </c>
      <c r="L1432">
        <v>7572</v>
      </c>
      <c r="M1432">
        <v>11573</v>
      </c>
      <c r="N1432">
        <v>0</v>
      </c>
    </row>
    <row r="1433" spans="1:14" x14ac:dyDescent="0.3">
      <c r="A1433" s="1" t="s">
        <v>1478</v>
      </c>
      <c r="B1433" s="1" t="s">
        <v>37</v>
      </c>
      <c r="C1433">
        <v>65</v>
      </c>
      <c r="D1433" s="1" t="s">
        <v>16</v>
      </c>
      <c r="E1433" s="1" t="s">
        <v>17</v>
      </c>
      <c r="F1433" s="1" t="s">
        <v>18</v>
      </c>
      <c r="G1433" s="1" t="s">
        <v>19</v>
      </c>
      <c r="H1433" s="1" t="s">
        <v>20</v>
      </c>
      <c r="I1433" s="2">
        <v>44449</v>
      </c>
      <c r="J1433">
        <v>6971</v>
      </c>
      <c r="K1433" s="2">
        <v>45815</v>
      </c>
      <c r="L1433">
        <v>21569</v>
      </c>
      <c r="M1433">
        <v>28540</v>
      </c>
      <c r="N1433">
        <v>0</v>
      </c>
    </row>
    <row r="1434" spans="1:14" x14ac:dyDescent="0.3">
      <c r="A1434" s="1" t="s">
        <v>1479</v>
      </c>
      <c r="B1434" s="1" t="s">
        <v>32</v>
      </c>
      <c r="C1434">
        <v>35</v>
      </c>
      <c r="D1434" s="1" t="s">
        <v>16</v>
      </c>
      <c r="E1434" s="1" t="s">
        <v>24</v>
      </c>
      <c r="F1434" s="1" t="s">
        <v>25</v>
      </c>
      <c r="G1434" s="1" t="s">
        <v>19</v>
      </c>
      <c r="H1434" s="1" t="s">
        <v>20</v>
      </c>
      <c r="I1434" s="2">
        <v>45674</v>
      </c>
      <c r="J1434">
        <v>5865</v>
      </c>
      <c r="K1434" s="2">
        <v>45847</v>
      </c>
      <c r="L1434">
        <v>14632</v>
      </c>
      <c r="M1434">
        <v>20497</v>
      </c>
      <c r="N1434">
        <v>0</v>
      </c>
    </row>
    <row r="1435" spans="1:14" x14ac:dyDescent="0.3">
      <c r="A1435" s="1" t="s">
        <v>1480</v>
      </c>
      <c r="B1435" s="1" t="s">
        <v>43</v>
      </c>
      <c r="C1435">
        <v>24</v>
      </c>
      <c r="D1435" s="1" t="s">
        <v>16</v>
      </c>
      <c r="E1435" s="1" t="s">
        <v>38</v>
      </c>
      <c r="F1435" s="1" t="s">
        <v>18</v>
      </c>
      <c r="G1435" s="1" t="s">
        <v>19</v>
      </c>
      <c r="H1435" s="1" t="s">
        <v>49</v>
      </c>
      <c r="I1435" s="2">
        <v>44476</v>
      </c>
      <c r="J1435">
        <v>7549</v>
      </c>
      <c r="K1435" s="2">
        <v>45803</v>
      </c>
      <c r="L1435">
        <v>20154</v>
      </c>
      <c r="M1435">
        <v>27703</v>
      </c>
      <c r="N1435">
        <v>0</v>
      </c>
    </row>
    <row r="1436" spans="1:14" x14ac:dyDescent="0.3">
      <c r="A1436" s="1" t="s">
        <v>1481</v>
      </c>
      <c r="B1436" s="1" t="s">
        <v>32</v>
      </c>
      <c r="C1436">
        <v>27</v>
      </c>
      <c r="D1436" s="1" t="s">
        <v>16</v>
      </c>
      <c r="E1436" s="1" t="s">
        <v>17</v>
      </c>
      <c r="F1436" s="1" t="s">
        <v>18</v>
      </c>
      <c r="G1436" s="1" t="s">
        <v>41</v>
      </c>
      <c r="H1436" s="1" t="s">
        <v>20</v>
      </c>
      <c r="I1436" s="2">
        <v>44569</v>
      </c>
      <c r="J1436">
        <v>16077</v>
      </c>
      <c r="K1436" s="2">
        <v>45867</v>
      </c>
      <c r="L1436">
        <v>31474</v>
      </c>
      <c r="M1436">
        <v>47551</v>
      </c>
      <c r="N1436">
        <v>0</v>
      </c>
    </row>
    <row r="1437" spans="1:14" x14ac:dyDescent="0.3">
      <c r="A1437" s="1" t="s">
        <v>1482</v>
      </c>
      <c r="B1437" s="1" t="s">
        <v>59</v>
      </c>
      <c r="C1437">
        <v>24</v>
      </c>
      <c r="D1437" s="1" t="s">
        <v>23</v>
      </c>
      <c r="E1437" s="1" t="s">
        <v>38</v>
      </c>
      <c r="F1437" s="1" t="s">
        <v>25</v>
      </c>
      <c r="G1437" s="1" t="s">
        <v>41</v>
      </c>
      <c r="H1437" s="1" t="s">
        <v>20</v>
      </c>
      <c r="I1437" s="2">
        <v>44411</v>
      </c>
      <c r="J1437">
        <v>35641</v>
      </c>
      <c r="K1437" s="2">
        <v>45794</v>
      </c>
      <c r="L1437">
        <v>4658</v>
      </c>
      <c r="M1437">
        <v>40299</v>
      </c>
      <c r="N1437">
        <v>0</v>
      </c>
    </row>
    <row r="1438" spans="1:14" x14ac:dyDescent="0.3">
      <c r="A1438" s="1" t="s">
        <v>1483</v>
      </c>
      <c r="B1438" s="1" t="s">
        <v>40</v>
      </c>
      <c r="C1438">
        <v>50</v>
      </c>
      <c r="D1438" s="1" t="s">
        <v>16</v>
      </c>
      <c r="E1438" s="1" t="s">
        <v>24</v>
      </c>
      <c r="F1438" s="1" t="s">
        <v>25</v>
      </c>
      <c r="G1438" s="1" t="s">
        <v>41</v>
      </c>
      <c r="H1438" s="1" t="s">
        <v>20</v>
      </c>
      <c r="I1438" s="2">
        <v>44933</v>
      </c>
      <c r="J1438">
        <v>12359</v>
      </c>
      <c r="K1438" s="2">
        <v>45845</v>
      </c>
      <c r="L1438">
        <v>15485</v>
      </c>
      <c r="M1438">
        <v>27844</v>
      </c>
      <c r="N1438">
        <v>0</v>
      </c>
    </row>
    <row r="1439" spans="1:14" x14ac:dyDescent="0.3">
      <c r="A1439" s="1" t="s">
        <v>1484</v>
      </c>
      <c r="B1439" s="1" t="s">
        <v>32</v>
      </c>
      <c r="C1439">
        <v>40</v>
      </c>
      <c r="D1439" s="1" t="s">
        <v>23</v>
      </c>
      <c r="E1439" s="1" t="s">
        <v>38</v>
      </c>
      <c r="F1439" s="1" t="s">
        <v>18</v>
      </c>
      <c r="G1439" s="1" t="s">
        <v>41</v>
      </c>
      <c r="H1439" s="1" t="s">
        <v>20</v>
      </c>
      <c r="I1439" s="2">
        <v>45682</v>
      </c>
      <c r="J1439">
        <v>40246</v>
      </c>
      <c r="K1439" s="2">
        <v>45860</v>
      </c>
      <c r="L1439">
        <v>19060</v>
      </c>
      <c r="M1439">
        <v>59306</v>
      </c>
      <c r="N1439">
        <v>0</v>
      </c>
    </row>
    <row r="1440" spans="1:14" x14ac:dyDescent="0.3">
      <c r="A1440" s="1" t="s">
        <v>1485</v>
      </c>
      <c r="B1440" s="1" t="s">
        <v>34</v>
      </c>
      <c r="C1440">
        <v>38</v>
      </c>
      <c r="D1440" s="1" t="s">
        <v>16</v>
      </c>
      <c r="E1440" s="1" t="s">
        <v>17</v>
      </c>
      <c r="F1440" s="1" t="s">
        <v>18</v>
      </c>
      <c r="G1440" s="1" t="s">
        <v>19</v>
      </c>
      <c r="H1440" s="1" t="s">
        <v>20</v>
      </c>
      <c r="I1440" s="2">
        <v>44619</v>
      </c>
      <c r="J1440">
        <v>4694</v>
      </c>
      <c r="K1440" s="2">
        <v>45864</v>
      </c>
      <c r="L1440">
        <v>-3040</v>
      </c>
      <c r="M1440">
        <v>1654</v>
      </c>
      <c r="N1440">
        <v>0</v>
      </c>
    </row>
    <row r="1441" spans="1:14" x14ac:dyDescent="0.3">
      <c r="A1441" s="1" t="s">
        <v>1486</v>
      </c>
      <c r="B1441" s="1" t="s">
        <v>22</v>
      </c>
      <c r="C1441">
        <v>36</v>
      </c>
      <c r="D1441" s="1" t="s">
        <v>16</v>
      </c>
      <c r="E1441" s="1" t="s">
        <v>35</v>
      </c>
      <c r="F1441" s="1" t="s">
        <v>18</v>
      </c>
      <c r="G1441" s="1" t="s">
        <v>19</v>
      </c>
      <c r="H1441" s="1" t="s">
        <v>20</v>
      </c>
      <c r="I1441" s="2">
        <v>44822</v>
      </c>
      <c r="J1441">
        <v>15567</v>
      </c>
      <c r="K1441" s="2">
        <v>45747</v>
      </c>
      <c r="L1441">
        <v>1782</v>
      </c>
      <c r="M1441">
        <v>17349</v>
      </c>
      <c r="N1441">
        <v>0</v>
      </c>
    </row>
    <row r="1442" spans="1:14" x14ac:dyDescent="0.3">
      <c r="A1442" s="1" t="s">
        <v>1487</v>
      </c>
      <c r="B1442" s="1" t="s">
        <v>75</v>
      </c>
      <c r="C1442">
        <v>65</v>
      </c>
      <c r="D1442" s="1" t="s">
        <v>16</v>
      </c>
      <c r="E1442" s="1" t="s">
        <v>24</v>
      </c>
      <c r="F1442" s="1" t="s">
        <v>18</v>
      </c>
      <c r="G1442" s="1" t="s">
        <v>19</v>
      </c>
      <c r="H1442" s="1" t="s">
        <v>20</v>
      </c>
      <c r="I1442" s="2">
        <v>45612</v>
      </c>
      <c r="J1442">
        <v>109821</v>
      </c>
      <c r="K1442" s="2">
        <v>45869</v>
      </c>
      <c r="L1442">
        <v>18258</v>
      </c>
      <c r="M1442">
        <v>128079</v>
      </c>
      <c r="N1442">
        <v>0</v>
      </c>
    </row>
    <row r="1443" spans="1:14" x14ac:dyDescent="0.3">
      <c r="A1443" s="1" t="s">
        <v>1488</v>
      </c>
      <c r="B1443" s="1" t="s">
        <v>40</v>
      </c>
      <c r="C1443">
        <v>36</v>
      </c>
      <c r="D1443" s="1" t="s">
        <v>16</v>
      </c>
      <c r="E1443" s="1" t="s">
        <v>35</v>
      </c>
      <c r="F1443" s="1" t="s">
        <v>18</v>
      </c>
      <c r="G1443" s="1" t="s">
        <v>19</v>
      </c>
      <c r="H1443" s="1" t="s">
        <v>20</v>
      </c>
      <c r="I1443" s="2">
        <v>45230</v>
      </c>
      <c r="J1443">
        <v>2723</v>
      </c>
      <c r="K1443" s="2">
        <v>45852</v>
      </c>
      <c r="L1443">
        <v>3784</v>
      </c>
      <c r="M1443">
        <v>6507</v>
      </c>
      <c r="N1443">
        <v>0</v>
      </c>
    </row>
    <row r="1444" spans="1:14" x14ac:dyDescent="0.3">
      <c r="A1444" s="1" t="s">
        <v>1489</v>
      </c>
      <c r="B1444" s="1" t="s">
        <v>22</v>
      </c>
      <c r="C1444">
        <v>53</v>
      </c>
      <c r="D1444" s="1" t="s">
        <v>23</v>
      </c>
      <c r="E1444" s="1" t="s">
        <v>35</v>
      </c>
      <c r="F1444" s="1" t="s">
        <v>25</v>
      </c>
      <c r="G1444" s="1" t="s">
        <v>19</v>
      </c>
      <c r="H1444" s="1" t="s">
        <v>20</v>
      </c>
      <c r="I1444" s="2">
        <v>45454</v>
      </c>
      <c r="J1444">
        <v>2621</v>
      </c>
      <c r="K1444" s="2">
        <v>45869</v>
      </c>
      <c r="L1444">
        <v>-13069</v>
      </c>
      <c r="M1444">
        <v>-10448</v>
      </c>
      <c r="N1444">
        <v>0</v>
      </c>
    </row>
    <row r="1445" spans="1:14" x14ac:dyDescent="0.3">
      <c r="A1445" s="1" t="s">
        <v>1490</v>
      </c>
      <c r="B1445" s="1" t="s">
        <v>87</v>
      </c>
      <c r="C1445">
        <v>46</v>
      </c>
      <c r="D1445" s="1" t="s">
        <v>16</v>
      </c>
      <c r="E1445" s="1" t="s">
        <v>17</v>
      </c>
      <c r="F1445" s="1" t="s">
        <v>18</v>
      </c>
      <c r="G1445" s="1" t="s">
        <v>19</v>
      </c>
      <c r="H1445" s="1" t="s">
        <v>20</v>
      </c>
      <c r="I1445" s="2">
        <v>44555</v>
      </c>
      <c r="J1445">
        <v>48049</v>
      </c>
      <c r="K1445" s="2">
        <v>45868</v>
      </c>
      <c r="L1445">
        <v>8255</v>
      </c>
      <c r="M1445">
        <v>56304</v>
      </c>
      <c r="N1445">
        <v>0</v>
      </c>
    </row>
    <row r="1446" spans="1:14" x14ac:dyDescent="0.3">
      <c r="A1446" s="1" t="s">
        <v>1491</v>
      </c>
      <c r="B1446" s="1" t="s">
        <v>61</v>
      </c>
      <c r="C1446">
        <v>35</v>
      </c>
      <c r="D1446" s="1" t="s">
        <v>23</v>
      </c>
      <c r="E1446" s="1" t="s">
        <v>17</v>
      </c>
      <c r="F1446" s="1" t="s">
        <v>25</v>
      </c>
      <c r="G1446" s="1" t="s">
        <v>19</v>
      </c>
      <c r="H1446" s="1" t="s">
        <v>49</v>
      </c>
      <c r="I1446" s="2">
        <v>45395</v>
      </c>
      <c r="J1446">
        <v>16656</v>
      </c>
      <c r="K1446" s="2">
        <v>45864</v>
      </c>
      <c r="L1446">
        <v>17096</v>
      </c>
      <c r="M1446">
        <v>33752</v>
      </c>
      <c r="N1446">
        <v>0</v>
      </c>
    </row>
    <row r="1447" spans="1:14" x14ac:dyDescent="0.3">
      <c r="A1447" s="1" t="s">
        <v>1492</v>
      </c>
      <c r="B1447" s="1" t="s">
        <v>40</v>
      </c>
      <c r="C1447">
        <v>19</v>
      </c>
      <c r="D1447" s="1" t="s">
        <v>16</v>
      </c>
      <c r="E1447" s="1" t="s">
        <v>24</v>
      </c>
      <c r="F1447" s="1" t="s">
        <v>25</v>
      </c>
      <c r="G1447" s="1" t="s">
        <v>19</v>
      </c>
      <c r="H1447" s="1" t="s">
        <v>20</v>
      </c>
      <c r="I1447" s="2">
        <v>44577</v>
      </c>
      <c r="J1447">
        <v>7321</v>
      </c>
      <c r="K1447" s="2">
        <v>45861</v>
      </c>
      <c r="L1447">
        <v>28753</v>
      </c>
      <c r="M1447">
        <v>36074</v>
      </c>
      <c r="N1447">
        <v>0</v>
      </c>
    </row>
    <row r="1448" spans="1:14" x14ac:dyDescent="0.3">
      <c r="A1448" s="1" t="s">
        <v>1493</v>
      </c>
      <c r="B1448" s="1" t="s">
        <v>40</v>
      </c>
      <c r="C1448">
        <v>18</v>
      </c>
      <c r="D1448" s="1" t="s">
        <v>23</v>
      </c>
      <c r="E1448" s="1" t="s">
        <v>24</v>
      </c>
      <c r="F1448" s="1" t="s">
        <v>18</v>
      </c>
      <c r="G1448" s="1" t="s">
        <v>19</v>
      </c>
      <c r="H1448" s="1" t="s">
        <v>20</v>
      </c>
      <c r="I1448" s="2">
        <v>45848</v>
      </c>
      <c r="J1448">
        <v>4317</v>
      </c>
      <c r="K1448" s="2">
        <v>45869</v>
      </c>
      <c r="L1448">
        <v>1729</v>
      </c>
      <c r="M1448">
        <v>6046</v>
      </c>
      <c r="N1448">
        <v>0</v>
      </c>
    </row>
    <row r="1449" spans="1:14" x14ac:dyDescent="0.3">
      <c r="A1449" s="1" t="s">
        <v>1494</v>
      </c>
      <c r="B1449" s="1" t="s">
        <v>52</v>
      </c>
      <c r="C1449">
        <v>64</v>
      </c>
      <c r="D1449" s="1" t="s">
        <v>16</v>
      </c>
      <c r="E1449" s="1" t="s">
        <v>17</v>
      </c>
      <c r="F1449" s="1" t="s">
        <v>18</v>
      </c>
      <c r="G1449" s="1" t="s">
        <v>19</v>
      </c>
      <c r="H1449" s="1" t="s">
        <v>20</v>
      </c>
      <c r="I1449" s="2">
        <v>45133</v>
      </c>
      <c r="J1449">
        <v>12887</v>
      </c>
      <c r="K1449" s="2">
        <v>45860</v>
      </c>
      <c r="L1449">
        <v>10809</v>
      </c>
      <c r="M1449">
        <v>23696</v>
      </c>
      <c r="N1449">
        <v>0</v>
      </c>
    </row>
    <row r="1450" spans="1:14" x14ac:dyDescent="0.3">
      <c r="A1450" s="1" t="s">
        <v>1495</v>
      </c>
      <c r="B1450" s="1" t="s">
        <v>27</v>
      </c>
      <c r="C1450">
        <v>22</v>
      </c>
      <c r="D1450" s="1" t="s">
        <v>16</v>
      </c>
      <c r="E1450" s="1" t="s">
        <v>17</v>
      </c>
      <c r="F1450" s="1" t="s">
        <v>18</v>
      </c>
      <c r="G1450" s="1" t="s">
        <v>19</v>
      </c>
      <c r="H1450" s="1" t="s">
        <v>20</v>
      </c>
      <c r="I1450" s="2">
        <v>45360</v>
      </c>
      <c r="J1450">
        <v>15269</v>
      </c>
      <c r="K1450" s="2">
        <v>45850</v>
      </c>
      <c r="L1450">
        <v>-1593</v>
      </c>
      <c r="M1450">
        <v>13676</v>
      </c>
      <c r="N1450">
        <v>0</v>
      </c>
    </row>
    <row r="1451" spans="1:14" x14ac:dyDescent="0.3">
      <c r="A1451" s="1" t="s">
        <v>1496</v>
      </c>
      <c r="B1451" s="1" t="s">
        <v>75</v>
      </c>
      <c r="C1451">
        <v>37</v>
      </c>
      <c r="D1451" s="1" t="s">
        <v>23</v>
      </c>
      <c r="E1451" s="1" t="s">
        <v>24</v>
      </c>
      <c r="F1451" s="1" t="s">
        <v>18</v>
      </c>
      <c r="G1451" s="1" t="s">
        <v>19</v>
      </c>
      <c r="H1451" s="1" t="s">
        <v>20</v>
      </c>
      <c r="I1451" s="2">
        <v>44395</v>
      </c>
      <c r="J1451">
        <v>15345</v>
      </c>
      <c r="K1451" s="2">
        <v>45861</v>
      </c>
      <c r="L1451">
        <v>14237</v>
      </c>
      <c r="M1451">
        <v>29582</v>
      </c>
      <c r="N1451">
        <v>0</v>
      </c>
    </row>
    <row r="1452" spans="1:14" x14ac:dyDescent="0.3">
      <c r="A1452" s="1" t="s">
        <v>1497</v>
      </c>
      <c r="B1452" s="1" t="s">
        <v>87</v>
      </c>
      <c r="C1452">
        <v>28</v>
      </c>
      <c r="D1452" s="1" t="s">
        <v>23</v>
      </c>
      <c r="E1452" s="1" t="s">
        <v>17</v>
      </c>
      <c r="F1452" s="1" t="s">
        <v>25</v>
      </c>
      <c r="G1452" s="1" t="s">
        <v>19</v>
      </c>
      <c r="H1452" s="1" t="s">
        <v>20</v>
      </c>
      <c r="I1452" s="2">
        <v>44616</v>
      </c>
      <c r="J1452">
        <v>4275</v>
      </c>
      <c r="K1452" s="2">
        <v>45835</v>
      </c>
      <c r="L1452">
        <v>26035</v>
      </c>
      <c r="M1452">
        <v>30310</v>
      </c>
      <c r="N1452">
        <v>0</v>
      </c>
    </row>
    <row r="1453" spans="1:14" x14ac:dyDescent="0.3">
      <c r="A1453" s="1" t="s">
        <v>1498</v>
      </c>
      <c r="B1453" s="1" t="s">
        <v>40</v>
      </c>
      <c r="C1453">
        <v>59</v>
      </c>
      <c r="D1453" s="1" t="s">
        <v>16</v>
      </c>
      <c r="E1453" s="1" t="s">
        <v>17</v>
      </c>
      <c r="F1453" s="1" t="s">
        <v>18</v>
      </c>
      <c r="G1453" s="1" t="s">
        <v>19</v>
      </c>
      <c r="H1453" s="1" t="s">
        <v>20</v>
      </c>
      <c r="I1453" s="2">
        <v>44430</v>
      </c>
      <c r="J1453">
        <v>9538</v>
      </c>
      <c r="K1453" s="2">
        <v>45826</v>
      </c>
      <c r="L1453">
        <v>32141</v>
      </c>
      <c r="M1453">
        <v>41679</v>
      </c>
      <c r="N1453">
        <v>0</v>
      </c>
    </row>
    <row r="1454" spans="1:14" x14ac:dyDescent="0.3">
      <c r="A1454" s="1" t="s">
        <v>1499</v>
      </c>
      <c r="B1454" s="1" t="s">
        <v>64</v>
      </c>
      <c r="C1454">
        <v>19</v>
      </c>
      <c r="D1454" s="1" t="s">
        <v>16</v>
      </c>
      <c r="E1454" s="1" t="s">
        <v>24</v>
      </c>
      <c r="F1454" s="1" t="s">
        <v>25</v>
      </c>
      <c r="G1454" s="1" t="s">
        <v>41</v>
      </c>
      <c r="H1454" s="1" t="s">
        <v>20</v>
      </c>
      <c r="I1454" s="2">
        <v>44849</v>
      </c>
      <c r="J1454">
        <v>7570</v>
      </c>
      <c r="K1454" s="2">
        <v>45839</v>
      </c>
      <c r="L1454">
        <v>14107</v>
      </c>
      <c r="M1454">
        <v>21677</v>
      </c>
      <c r="N1454">
        <v>0</v>
      </c>
    </row>
    <row r="1455" spans="1:14" x14ac:dyDescent="0.3">
      <c r="A1455" s="1" t="s">
        <v>1500</v>
      </c>
      <c r="B1455" s="1" t="s">
        <v>56</v>
      </c>
      <c r="C1455">
        <v>20</v>
      </c>
      <c r="D1455" s="1" t="s">
        <v>23</v>
      </c>
      <c r="E1455" s="1" t="s">
        <v>17</v>
      </c>
      <c r="F1455" s="1" t="s">
        <v>18</v>
      </c>
      <c r="G1455" s="1" t="s">
        <v>19</v>
      </c>
      <c r="H1455" s="1" t="s">
        <v>20</v>
      </c>
      <c r="I1455" s="2">
        <v>44672</v>
      </c>
      <c r="J1455">
        <v>25500</v>
      </c>
      <c r="K1455" s="2">
        <v>45835</v>
      </c>
      <c r="L1455">
        <v>8764</v>
      </c>
      <c r="M1455">
        <v>34264</v>
      </c>
      <c r="N1455">
        <v>0</v>
      </c>
    </row>
    <row r="1456" spans="1:14" x14ac:dyDescent="0.3">
      <c r="A1456" s="1" t="s">
        <v>1501</v>
      </c>
      <c r="B1456" s="1" t="s">
        <v>79</v>
      </c>
      <c r="C1456">
        <v>40</v>
      </c>
      <c r="D1456" s="1" t="s">
        <v>23</v>
      </c>
      <c r="E1456" s="1" t="s">
        <v>24</v>
      </c>
      <c r="F1456" s="1" t="s">
        <v>18</v>
      </c>
      <c r="G1456" s="1" t="s">
        <v>19</v>
      </c>
      <c r="H1456" s="1" t="s">
        <v>20</v>
      </c>
      <c r="I1456" s="2">
        <v>45423</v>
      </c>
      <c r="J1456">
        <v>4535</v>
      </c>
      <c r="K1456" s="2">
        <v>45861</v>
      </c>
      <c r="L1456">
        <v>18753</v>
      </c>
      <c r="M1456">
        <v>23288</v>
      </c>
      <c r="N1456">
        <v>0</v>
      </c>
    </row>
    <row r="1457" spans="1:14" x14ac:dyDescent="0.3">
      <c r="A1457" s="1" t="s">
        <v>1502</v>
      </c>
      <c r="B1457" s="1" t="s">
        <v>48</v>
      </c>
      <c r="C1457">
        <v>29</v>
      </c>
      <c r="D1457" s="1" t="s">
        <v>23</v>
      </c>
      <c r="E1457" s="1" t="s">
        <v>24</v>
      </c>
      <c r="F1457" s="1" t="s">
        <v>18</v>
      </c>
      <c r="G1457" s="1" t="s">
        <v>19</v>
      </c>
      <c r="H1457" s="1" t="s">
        <v>20</v>
      </c>
      <c r="I1457" s="2">
        <v>44378</v>
      </c>
      <c r="J1457">
        <v>14415</v>
      </c>
      <c r="K1457" s="2">
        <v>45837</v>
      </c>
      <c r="L1457">
        <v>39545</v>
      </c>
      <c r="M1457">
        <v>53960</v>
      </c>
      <c r="N1457">
        <v>0</v>
      </c>
    </row>
    <row r="1458" spans="1:14" x14ac:dyDescent="0.3">
      <c r="A1458" s="1" t="s">
        <v>1503</v>
      </c>
      <c r="B1458" s="1" t="s">
        <v>29</v>
      </c>
      <c r="C1458">
        <v>37</v>
      </c>
      <c r="D1458" s="1" t="s">
        <v>16</v>
      </c>
      <c r="E1458" s="1" t="s">
        <v>24</v>
      </c>
      <c r="F1458" s="1" t="s">
        <v>18</v>
      </c>
      <c r="G1458" s="1" t="s">
        <v>19</v>
      </c>
      <c r="H1458" s="1" t="s">
        <v>20</v>
      </c>
      <c r="I1458" s="2">
        <v>45455</v>
      </c>
      <c r="J1458">
        <v>186135</v>
      </c>
      <c r="K1458" s="2">
        <v>45853</v>
      </c>
      <c r="L1458">
        <v>2134</v>
      </c>
      <c r="M1458">
        <v>188269</v>
      </c>
      <c r="N1458">
        <v>0</v>
      </c>
    </row>
    <row r="1459" spans="1:14" x14ac:dyDescent="0.3">
      <c r="A1459" s="1" t="s">
        <v>1504</v>
      </c>
      <c r="B1459" s="1" t="s">
        <v>15</v>
      </c>
      <c r="C1459">
        <v>22</v>
      </c>
      <c r="D1459" s="1" t="s">
        <v>16</v>
      </c>
      <c r="E1459" s="1" t="s">
        <v>38</v>
      </c>
      <c r="F1459" s="1" t="s">
        <v>18</v>
      </c>
      <c r="G1459" s="1" t="s">
        <v>19</v>
      </c>
      <c r="H1459" s="1" t="s">
        <v>20</v>
      </c>
      <c r="I1459" s="2">
        <v>44273</v>
      </c>
      <c r="J1459">
        <v>4236</v>
      </c>
      <c r="K1459" s="2">
        <v>45801</v>
      </c>
      <c r="L1459">
        <v>3366</v>
      </c>
      <c r="M1459">
        <v>7602</v>
      </c>
      <c r="N1459">
        <v>0</v>
      </c>
    </row>
    <row r="1460" spans="1:14" x14ac:dyDescent="0.3">
      <c r="A1460" s="1" t="s">
        <v>1505</v>
      </c>
      <c r="B1460" s="1" t="s">
        <v>87</v>
      </c>
      <c r="C1460">
        <v>54</v>
      </c>
      <c r="D1460" s="1" t="s">
        <v>23</v>
      </c>
      <c r="E1460" s="1" t="s">
        <v>24</v>
      </c>
      <c r="F1460" s="1" t="s">
        <v>18</v>
      </c>
      <c r="G1460" s="1" t="s">
        <v>19</v>
      </c>
      <c r="H1460" s="1" t="s">
        <v>20</v>
      </c>
      <c r="I1460" s="2">
        <v>44534</v>
      </c>
      <c r="J1460">
        <v>6328</v>
      </c>
      <c r="K1460" s="2">
        <v>45696</v>
      </c>
      <c r="L1460">
        <v>8024</v>
      </c>
      <c r="M1460">
        <v>14352</v>
      </c>
      <c r="N1460">
        <v>0</v>
      </c>
    </row>
    <row r="1461" spans="1:14" x14ac:dyDescent="0.3">
      <c r="A1461" s="1" t="s">
        <v>1506</v>
      </c>
      <c r="B1461" s="1" t="s">
        <v>22</v>
      </c>
      <c r="C1461">
        <v>55</v>
      </c>
      <c r="D1461" s="1" t="s">
        <v>23</v>
      </c>
      <c r="E1461" s="1" t="s">
        <v>24</v>
      </c>
      <c r="F1461" s="1" t="s">
        <v>25</v>
      </c>
      <c r="G1461" s="1" t="s">
        <v>19</v>
      </c>
      <c r="H1461" s="1" t="s">
        <v>20</v>
      </c>
      <c r="I1461" s="2">
        <v>45521</v>
      </c>
      <c r="J1461">
        <v>12163</v>
      </c>
      <c r="K1461" s="2">
        <v>45865</v>
      </c>
      <c r="L1461">
        <v>-9465</v>
      </c>
      <c r="M1461">
        <v>2698</v>
      </c>
      <c r="N1461">
        <v>0</v>
      </c>
    </row>
    <row r="1462" spans="1:14" x14ac:dyDescent="0.3">
      <c r="A1462" s="1" t="s">
        <v>1507</v>
      </c>
      <c r="B1462" s="1" t="s">
        <v>15</v>
      </c>
      <c r="C1462">
        <v>47</v>
      </c>
      <c r="D1462" s="1" t="s">
        <v>23</v>
      </c>
      <c r="E1462" s="1" t="s">
        <v>24</v>
      </c>
      <c r="F1462" s="1" t="s">
        <v>25</v>
      </c>
      <c r="G1462" s="1" t="s">
        <v>41</v>
      </c>
      <c r="H1462" s="1" t="s">
        <v>20</v>
      </c>
      <c r="I1462" s="2">
        <v>45439</v>
      </c>
      <c r="J1462">
        <v>705</v>
      </c>
      <c r="K1462" s="2">
        <v>45862</v>
      </c>
      <c r="L1462">
        <v>13259</v>
      </c>
      <c r="M1462">
        <v>13964</v>
      </c>
      <c r="N1462">
        <v>0</v>
      </c>
    </row>
    <row r="1463" spans="1:14" x14ac:dyDescent="0.3">
      <c r="A1463" s="1" t="s">
        <v>1508</v>
      </c>
      <c r="B1463" s="1" t="s">
        <v>27</v>
      </c>
      <c r="C1463">
        <v>26</v>
      </c>
      <c r="D1463" s="1" t="s">
        <v>23</v>
      </c>
      <c r="E1463" s="1" t="s">
        <v>38</v>
      </c>
      <c r="F1463" s="1" t="s">
        <v>18</v>
      </c>
      <c r="G1463" s="1" t="s">
        <v>41</v>
      </c>
      <c r="H1463" s="1" t="s">
        <v>20</v>
      </c>
      <c r="I1463" s="2">
        <v>44993</v>
      </c>
      <c r="J1463">
        <v>3207</v>
      </c>
      <c r="K1463" s="2">
        <v>45817</v>
      </c>
      <c r="L1463">
        <v>644</v>
      </c>
      <c r="M1463">
        <v>3851</v>
      </c>
      <c r="N1463">
        <v>0</v>
      </c>
    </row>
    <row r="1464" spans="1:14" x14ac:dyDescent="0.3">
      <c r="A1464" s="1" t="s">
        <v>1509</v>
      </c>
      <c r="B1464" s="1" t="s">
        <v>75</v>
      </c>
      <c r="C1464">
        <v>51</v>
      </c>
      <c r="D1464" s="1" t="s">
        <v>23</v>
      </c>
      <c r="E1464" s="1" t="s">
        <v>38</v>
      </c>
      <c r="F1464" s="1" t="s">
        <v>18</v>
      </c>
      <c r="G1464" s="1" t="s">
        <v>19</v>
      </c>
      <c r="H1464" s="1" t="s">
        <v>20</v>
      </c>
      <c r="I1464" s="2">
        <v>44280</v>
      </c>
      <c r="J1464">
        <v>18228</v>
      </c>
      <c r="K1464" s="2">
        <v>45863</v>
      </c>
      <c r="L1464">
        <v>15281</v>
      </c>
      <c r="M1464">
        <v>33509</v>
      </c>
      <c r="N1464">
        <v>0</v>
      </c>
    </row>
    <row r="1465" spans="1:14" x14ac:dyDescent="0.3">
      <c r="A1465" s="1" t="s">
        <v>1510</v>
      </c>
      <c r="B1465" s="1" t="s">
        <v>69</v>
      </c>
      <c r="C1465">
        <v>61</v>
      </c>
      <c r="D1465" s="1" t="s">
        <v>23</v>
      </c>
      <c r="E1465" s="1" t="s">
        <v>38</v>
      </c>
      <c r="F1465" s="1" t="s">
        <v>18</v>
      </c>
      <c r="G1465" s="1" t="s">
        <v>19</v>
      </c>
      <c r="H1465" s="1" t="s">
        <v>20</v>
      </c>
      <c r="I1465" s="2">
        <v>45217</v>
      </c>
      <c r="J1465">
        <v>11207</v>
      </c>
      <c r="K1465" s="2">
        <v>45860</v>
      </c>
      <c r="L1465">
        <v>-19820</v>
      </c>
      <c r="M1465">
        <v>-8613</v>
      </c>
      <c r="N1465">
        <v>0</v>
      </c>
    </row>
    <row r="1466" spans="1:14" x14ac:dyDescent="0.3">
      <c r="A1466" s="1" t="s">
        <v>1511</v>
      </c>
      <c r="B1466" s="1" t="s">
        <v>37</v>
      </c>
      <c r="C1466">
        <v>52</v>
      </c>
      <c r="D1466" s="1" t="s">
        <v>23</v>
      </c>
      <c r="E1466" s="1" t="s">
        <v>38</v>
      </c>
      <c r="F1466" s="1" t="s">
        <v>18</v>
      </c>
      <c r="G1466" s="1" t="s">
        <v>19</v>
      </c>
      <c r="H1466" s="1" t="s">
        <v>20</v>
      </c>
      <c r="I1466" s="2">
        <v>44877</v>
      </c>
      <c r="J1466">
        <v>38358</v>
      </c>
      <c r="K1466" s="2">
        <v>45869</v>
      </c>
      <c r="L1466">
        <v>3268</v>
      </c>
      <c r="M1466">
        <v>41626</v>
      </c>
      <c r="N1466">
        <v>0</v>
      </c>
    </row>
    <row r="1467" spans="1:14" x14ac:dyDescent="0.3">
      <c r="A1467" s="1" t="s">
        <v>1512</v>
      </c>
      <c r="B1467" s="1" t="s">
        <v>64</v>
      </c>
      <c r="C1467">
        <v>69</v>
      </c>
      <c r="D1467" s="1" t="s">
        <v>16</v>
      </c>
      <c r="E1467" s="1" t="s">
        <v>17</v>
      </c>
      <c r="F1467" s="1" t="s">
        <v>18</v>
      </c>
      <c r="G1467" s="1" t="s">
        <v>19</v>
      </c>
      <c r="H1467" s="1" t="s">
        <v>20</v>
      </c>
      <c r="I1467" s="2">
        <v>44726</v>
      </c>
      <c r="J1467">
        <v>10529</v>
      </c>
      <c r="K1467" s="2">
        <v>45788</v>
      </c>
      <c r="L1467">
        <v>11112</v>
      </c>
      <c r="M1467">
        <v>21641</v>
      </c>
      <c r="N1467">
        <v>0</v>
      </c>
    </row>
    <row r="1468" spans="1:14" x14ac:dyDescent="0.3">
      <c r="A1468" s="1" t="s">
        <v>1513</v>
      </c>
      <c r="B1468" s="1" t="s">
        <v>15</v>
      </c>
      <c r="C1468">
        <v>39</v>
      </c>
      <c r="D1468" s="1" t="s">
        <v>23</v>
      </c>
      <c r="E1468" s="1" t="s">
        <v>24</v>
      </c>
      <c r="F1468" s="1" t="s">
        <v>18</v>
      </c>
      <c r="G1468" s="1" t="s">
        <v>19</v>
      </c>
      <c r="H1468" s="1" t="s">
        <v>20</v>
      </c>
      <c r="I1468" s="2">
        <v>45268</v>
      </c>
      <c r="J1468">
        <v>9642</v>
      </c>
      <c r="K1468" s="2">
        <v>45854</v>
      </c>
      <c r="L1468">
        <v>23470</v>
      </c>
      <c r="M1468">
        <v>33112</v>
      </c>
      <c r="N1468">
        <v>0</v>
      </c>
    </row>
    <row r="1469" spans="1:14" x14ac:dyDescent="0.3">
      <c r="A1469" s="1" t="s">
        <v>1514</v>
      </c>
      <c r="B1469" s="1" t="s">
        <v>15</v>
      </c>
      <c r="C1469">
        <v>61</v>
      </c>
      <c r="D1469" s="1" t="s">
        <v>16</v>
      </c>
      <c r="E1469" s="1" t="s">
        <v>17</v>
      </c>
      <c r="F1469" s="1" t="s">
        <v>18</v>
      </c>
      <c r="G1469" s="1" t="s">
        <v>19</v>
      </c>
      <c r="H1469" s="1" t="s">
        <v>20</v>
      </c>
      <c r="I1469" s="2">
        <v>44927</v>
      </c>
      <c r="J1469">
        <v>6615</v>
      </c>
      <c r="K1469" s="2">
        <v>45795</v>
      </c>
      <c r="L1469">
        <v>19203</v>
      </c>
      <c r="M1469">
        <v>25818</v>
      </c>
      <c r="N1469">
        <v>0</v>
      </c>
    </row>
    <row r="1470" spans="1:14" x14ac:dyDescent="0.3">
      <c r="A1470" s="1" t="s">
        <v>1515</v>
      </c>
      <c r="B1470" s="1" t="s">
        <v>34</v>
      </c>
      <c r="C1470">
        <v>41</v>
      </c>
      <c r="D1470" s="1" t="s">
        <v>16</v>
      </c>
      <c r="E1470" s="1" t="s">
        <v>35</v>
      </c>
      <c r="F1470" s="1" t="s">
        <v>18</v>
      </c>
      <c r="G1470" s="1" t="s">
        <v>19</v>
      </c>
      <c r="H1470" s="1" t="s">
        <v>20</v>
      </c>
      <c r="I1470" s="2">
        <v>44351</v>
      </c>
      <c r="J1470">
        <v>9482</v>
      </c>
      <c r="K1470" s="2">
        <v>45800</v>
      </c>
      <c r="L1470">
        <v>-13004</v>
      </c>
      <c r="M1470">
        <v>-3522</v>
      </c>
      <c r="N1470">
        <v>0</v>
      </c>
    </row>
    <row r="1471" spans="1:14" x14ac:dyDescent="0.3">
      <c r="A1471" s="1" t="s">
        <v>1516</v>
      </c>
      <c r="B1471" s="1" t="s">
        <v>40</v>
      </c>
      <c r="C1471">
        <v>34</v>
      </c>
      <c r="D1471" s="1" t="s">
        <v>16</v>
      </c>
      <c r="E1471" s="1" t="s">
        <v>38</v>
      </c>
      <c r="F1471" s="1" t="s">
        <v>18</v>
      </c>
      <c r="G1471" s="1" t="s">
        <v>19</v>
      </c>
      <c r="H1471" s="1" t="s">
        <v>20</v>
      </c>
      <c r="I1471" s="2">
        <v>45729</v>
      </c>
      <c r="J1471">
        <v>3978</v>
      </c>
      <c r="K1471" s="2">
        <v>45863</v>
      </c>
      <c r="L1471">
        <v>2623</v>
      </c>
      <c r="M1471">
        <v>6601</v>
      </c>
      <c r="N1471">
        <v>0</v>
      </c>
    </row>
    <row r="1472" spans="1:14" x14ac:dyDescent="0.3">
      <c r="A1472" s="1" t="s">
        <v>1517</v>
      </c>
      <c r="B1472" s="1" t="s">
        <v>64</v>
      </c>
      <c r="C1472">
        <v>27</v>
      </c>
      <c r="D1472" s="1" t="s">
        <v>16</v>
      </c>
      <c r="E1472" s="1" t="s">
        <v>38</v>
      </c>
      <c r="F1472" s="1" t="s">
        <v>18</v>
      </c>
      <c r="G1472" s="1" t="s">
        <v>19</v>
      </c>
      <c r="H1472" s="1" t="s">
        <v>20</v>
      </c>
      <c r="I1472" s="2">
        <v>45499</v>
      </c>
      <c r="J1472">
        <v>11528</v>
      </c>
      <c r="K1472" s="2">
        <v>45868</v>
      </c>
      <c r="L1472">
        <v>26187</v>
      </c>
      <c r="M1472">
        <v>37715</v>
      </c>
      <c r="N1472">
        <v>0</v>
      </c>
    </row>
    <row r="1473" spans="1:14" x14ac:dyDescent="0.3">
      <c r="A1473" s="1" t="s">
        <v>1518</v>
      </c>
      <c r="B1473" s="1" t="s">
        <v>32</v>
      </c>
      <c r="C1473">
        <v>47</v>
      </c>
      <c r="D1473" s="1" t="s">
        <v>16</v>
      </c>
      <c r="E1473" s="1" t="s">
        <v>24</v>
      </c>
      <c r="F1473" s="1" t="s">
        <v>25</v>
      </c>
      <c r="G1473" s="1" t="s">
        <v>19</v>
      </c>
      <c r="H1473" s="1" t="s">
        <v>49</v>
      </c>
      <c r="I1473" s="2">
        <v>44291</v>
      </c>
      <c r="J1473">
        <v>5058</v>
      </c>
      <c r="K1473" s="2">
        <v>45792</v>
      </c>
      <c r="L1473">
        <v>17354</v>
      </c>
      <c r="M1473">
        <v>22412</v>
      </c>
      <c r="N1473">
        <v>0</v>
      </c>
    </row>
    <row r="1474" spans="1:14" x14ac:dyDescent="0.3">
      <c r="A1474" s="1" t="s">
        <v>1519</v>
      </c>
      <c r="B1474" s="1" t="s">
        <v>27</v>
      </c>
      <c r="C1474">
        <v>63</v>
      </c>
      <c r="D1474" s="1" t="s">
        <v>16</v>
      </c>
      <c r="E1474" s="1" t="s">
        <v>38</v>
      </c>
      <c r="F1474" s="1" t="s">
        <v>18</v>
      </c>
      <c r="G1474" s="1" t="s">
        <v>19</v>
      </c>
      <c r="H1474" s="1" t="s">
        <v>20</v>
      </c>
      <c r="I1474" s="2">
        <v>45075</v>
      </c>
      <c r="J1474">
        <v>3981</v>
      </c>
      <c r="K1474" s="2">
        <v>45773</v>
      </c>
      <c r="L1474">
        <v>15119</v>
      </c>
      <c r="M1474">
        <v>19100</v>
      </c>
      <c r="N1474">
        <v>0</v>
      </c>
    </row>
    <row r="1475" spans="1:14" x14ac:dyDescent="0.3">
      <c r="A1475" s="1" t="s">
        <v>1520</v>
      </c>
      <c r="B1475" s="1" t="s">
        <v>59</v>
      </c>
      <c r="C1475">
        <v>40</v>
      </c>
      <c r="D1475" s="1" t="s">
        <v>16</v>
      </c>
      <c r="E1475" s="1" t="s">
        <v>24</v>
      </c>
      <c r="F1475" s="1" t="s">
        <v>18</v>
      </c>
      <c r="G1475" s="1" t="s">
        <v>41</v>
      </c>
      <c r="H1475" s="1" t="s">
        <v>20</v>
      </c>
      <c r="I1475" s="2">
        <v>44336</v>
      </c>
      <c r="J1475">
        <v>7048</v>
      </c>
      <c r="K1475" s="2">
        <v>45826</v>
      </c>
      <c r="L1475">
        <v>18321</v>
      </c>
      <c r="M1475">
        <v>25369</v>
      </c>
      <c r="N1475">
        <v>0</v>
      </c>
    </row>
    <row r="1476" spans="1:14" x14ac:dyDescent="0.3">
      <c r="A1476" s="1" t="s">
        <v>1521</v>
      </c>
      <c r="B1476" s="1" t="s">
        <v>87</v>
      </c>
      <c r="C1476">
        <v>49</v>
      </c>
      <c r="D1476" s="1" t="s">
        <v>16</v>
      </c>
      <c r="E1476" s="1" t="s">
        <v>17</v>
      </c>
      <c r="F1476" s="1" t="s">
        <v>18</v>
      </c>
      <c r="G1476" s="1" t="s">
        <v>19</v>
      </c>
      <c r="H1476" s="1" t="s">
        <v>20</v>
      </c>
      <c r="I1476" s="2">
        <v>45597</v>
      </c>
      <c r="J1476">
        <v>20976</v>
      </c>
      <c r="K1476" s="2">
        <v>45869</v>
      </c>
      <c r="L1476">
        <v>9742</v>
      </c>
      <c r="M1476">
        <v>30718</v>
      </c>
      <c r="N1476">
        <v>0</v>
      </c>
    </row>
    <row r="1477" spans="1:14" x14ac:dyDescent="0.3">
      <c r="A1477" s="1" t="s">
        <v>1522</v>
      </c>
      <c r="B1477" s="1" t="s">
        <v>52</v>
      </c>
      <c r="C1477">
        <v>34</v>
      </c>
      <c r="D1477" s="1" t="s">
        <v>16</v>
      </c>
      <c r="E1477" s="1" t="s">
        <v>24</v>
      </c>
      <c r="F1477" s="1" t="s">
        <v>25</v>
      </c>
      <c r="G1477" s="1" t="s">
        <v>19</v>
      </c>
      <c r="H1477" s="1" t="s">
        <v>20</v>
      </c>
      <c r="I1477" s="2">
        <v>45222</v>
      </c>
      <c r="J1477">
        <v>15402</v>
      </c>
      <c r="K1477" s="2">
        <v>45862</v>
      </c>
      <c r="L1477">
        <v>22896</v>
      </c>
      <c r="M1477">
        <v>38298</v>
      </c>
      <c r="N1477">
        <v>0</v>
      </c>
    </row>
    <row r="1478" spans="1:14" x14ac:dyDescent="0.3">
      <c r="A1478" s="1" t="s">
        <v>1523</v>
      </c>
      <c r="B1478" s="1" t="s">
        <v>75</v>
      </c>
      <c r="C1478">
        <v>67</v>
      </c>
      <c r="D1478" s="1" t="s">
        <v>16</v>
      </c>
      <c r="E1478" s="1" t="s">
        <v>24</v>
      </c>
      <c r="F1478" s="1" t="s">
        <v>25</v>
      </c>
      <c r="G1478" s="1" t="s">
        <v>19</v>
      </c>
      <c r="H1478" s="1" t="s">
        <v>20</v>
      </c>
      <c r="I1478" s="2">
        <v>44485</v>
      </c>
      <c r="J1478">
        <v>26046</v>
      </c>
      <c r="K1478" s="2">
        <v>45842</v>
      </c>
      <c r="L1478">
        <v>7337</v>
      </c>
      <c r="M1478">
        <v>33383</v>
      </c>
      <c r="N1478">
        <v>0</v>
      </c>
    </row>
    <row r="1479" spans="1:14" x14ac:dyDescent="0.3">
      <c r="A1479" s="1" t="s">
        <v>1524</v>
      </c>
      <c r="B1479" s="1" t="s">
        <v>15</v>
      </c>
      <c r="C1479">
        <v>68</v>
      </c>
      <c r="D1479" s="1" t="s">
        <v>23</v>
      </c>
      <c r="E1479" s="1" t="s">
        <v>24</v>
      </c>
      <c r="F1479" s="1" t="s">
        <v>25</v>
      </c>
      <c r="G1479" s="1" t="s">
        <v>19</v>
      </c>
      <c r="H1479" s="1" t="s">
        <v>49</v>
      </c>
      <c r="I1479" s="2">
        <v>44231</v>
      </c>
      <c r="J1479">
        <v>5307</v>
      </c>
      <c r="K1479" s="2">
        <v>45862</v>
      </c>
      <c r="L1479">
        <v>1849</v>
      </c>
      <c r="M1479">
        <v>7156</v>
      </c>
      <c r="N1479">
        <v>0</v>
      </c>
    </row>
    <row r="1480" spans="1:14" x14ac:dyDescent="0.3">
      <c r="A1480" s="1" t="s">
        <v>1525</v>
      </c>
      <c r="B1480" s="1" t="s">
        <v>27</v>
      </c>
      <c r="C1480">
        <v>34</v>
      </c>
      <c r="D1480" s="1" t="s">
        <v>23</v>
      </c>
      <c r="E1480" s="1" t="s">
        <v>38</v>
      </c>
      <c r="F1480" s="1" t="s">
        <v>18</v>
      </c>
      <c r="G1480" s="1" t="s">
        <v>41</v>
      </c>
      <c r="H1480" s="1" t="s">
        <v>20</v>
      </c>
      <c r="I1480" s="2">
        <v>44249</v>
      </c>
      <c r="J1480">
        <v>13185</v>
      </c>
      <c r="K1480" s="2">
        <v>45831</v>
      </c>
      <c r="L1480">
        <v>20691</v>
      </c>
      <c r="M1480">
        <v>33876</v>
      </c>
      <c r="N1480">
        <v>0</v>
      </c>
    </row>
    <row r="1481" spans="1:14" x14ac:dyDescent="0.3">
      <c r="A1481" s="1" t="s">
        <v>1526</v>
      </c>
      <c r="B1481" s="1" t="s">
        <v>32</v>
      </c>
      <c r="C1481">
        <v>31</v>
      </c>
      <c r="D1481" s="1" t="s">
        <v>23</v>
      </c>
      <c r="E1481" s="1" t="s">
        <v>17</v>
      </c>
      <c r="F1481" s="1" t="s">
        <v>18</v>
      </c>
      <c r="G1481" s="1" t="s">
        <v>19</v>
      </c>
      <c r="H1481" s="1" t="s">
        <v>20</v>
      </c>
      <c r="I1481" s="2">
        <v>45045</v>
      </c>
      <c r="J1481">
        <v>73262</v>
      </c>
      <c r="K1481" s="2">
        <v>45831</v>
      </c>
      <c r="L1481">
        <v>-1406</v>
      </c>
      <c r="M1481">
        <v>71856</v>
      </c>
      <c r="N1481">
        <v>0</v>
      </c>
    </row>
    <row r="1482" spans="1:14" x14ac:dyDescent="0.3">
      <c r="A1482" s="1" t="s">
        <v>1527</v>
      </c>
      <c r="B1482" s="1" t="s">
        <v>71</v>
      </c>
      <c r="C1482">
        <v>26</v>
      </c>
      <c r="D1482" s="1" t="s">
        <v>16</v>
      </c>
      <c r="E1482" s="1" t="s">
        <v>24</v>
      </c>
      <c r="F1482" s="1" t="s">
        <v>25</v>
      </c>
      <c r="G1482" s="1" t="s">
        <v>19</v>
      </c>
      <c r="H1482" s="1" t="s">
        <v>20</v>
      </c>
      <c r="I1482" s="2">
        <v>45425</v>
      </c>
      <c r="J1482">
        <v>54042</v>
      </c>
      <c r="K1482" s="2">
        <v>45852</v>
      </c>
      <c r="L1482">
        <v>19959</v>
      </c>
      <c r="M1482">
        <v>74001</v>
      </c>
      <c r="N1482">
        <v>0</v>
      </c>
    </row>
    <row r="1483" spans="1:14" x14ac:dyDescent="0.3">
      <c r="A1483" s="1" t="s">
        <v>1528</v>
      </c>
      <c r="B1483" s="1" t="s">
        <v>56</v>
      </c>
      <c r="C1483">
        <v>57</v>
      </c>
      <c r="D1483" s="1" t="s">
        <v>16</v>
      </c>
      <c r="E1483" s="1" t="s">
        <v>24</v>
      </c>
      <c r="F1483" s="1" t="s">
        <v>18</v>
      </c>
      <c r="G1483" s="1" t="s">
        <v>19</v>
      </c>
      <c r="H1483" s="1" t="s">
        <v>20</v>
      </c>
      <c r="I1483" s="2">
        <v>44399</v>
      </c>
      <c r="J1483">
        <v>3734</v>
      </c>
      <c r="K1483" s="2">
        <v>45812</v>
      </c>
      <c r="L1483">
        <v>11971</v>
      </c>
      <c r="M1483">
        <v>15705</v>
      </c>
      <c r="N1483">
        <v>0</v>
      </c>
    </row>
    <row r="1484" spans="1:14" x14ac:dyDescent="0.3">
      <c r="A1484" s="1" t="s">
        <v>1529</v>
      </c>
      <c r="B1484" s="1" t="s">
        <v>40</v>
      </c>
      <c r="C1484">
        <v>19</v>
      </c>
      <c r="D1484" s="1" t="s">
        <v>16</v>
      </c>
      <c r="E1484" s="1" t="s">
        <v>24</v>
      </c>
      <c r="F1484" s="1" t="s">
        <v>18</v>
      </c>
      <c r="G1484" s="1" t="s">
        <v>19</v>
      </c>
      <c r="H1484" s="1" t="s">
        <v>20</v>
      </c>
      <c r="I1484" s="2">
        <v>44567</v>
      </c>
      <c r="J1484">
        <v>4874</v>
      </c>
      <c r="K1484" s="2">
        <v>45772</v>
      </c>
      <c r="L1484">
        <v>-14703</v>
      </c>
      <c r="M1484">
        <v>-9829</v>
      </c>
      <c r="N1484">
        <v>0</v>
      </c>
    </row>
    <row r="1485" spans="1:14" x14ac:dyDescent="0.3">
      <c r="A1485" s="1" t="s">
        <v>1530</v>
      </c>
      <c r="B1485" s="1" t="s">
        <v>64</v>
      </c>
      <c r="C1485">
        <v>62</v>
      </c>
      <c r="D1485" s="1" t="s">
        <v>16</v>
      </c>
      <c r="E1485" s="1" t="s">
        <v>38</v>
      </c>
      <c r="F1485" s="1" t="s">
        <v>25</v>
      </c>
      <c r="G1485" s="1" t="s">
        <v>19</v>
      </c>
      <c r="H1485" s="1" t="s">
        <v>49</v>
      </c>
      <c r="I1485" s="2">
        <v>44744</v>
      </c>
      <c r="J1485">
        <v>72946</v>
      </c>
      <c r="K1485" s="2">
        <v>45861</v>
      </c>
      <c r="L1485">
        <v>18140</v>
      </c>
      <c r="M1485">
        <v>91086</v>
      </c>
      <c r="N1485">
        <v>0</v>
      </c>
    </row>
    <row r="1486" spans="1:14" x14ac:dyDescent="0.3">
      <c r="A1486" s="1" t="s">
        <v>1531</v>
      </c>
      <c r="B1486" s="1" t="s">
        <v>64</v>
      </c>
      <c r="C1486">
        <v>42</v>
      </c>
      <c r="D1486" s="1" t="s">
        <v>16</v>
      </c>
      <c r="E1486" s="1" t="s">
        <v>38</v>
      </c>
      <c r="F1486" s="1" t="s">
        <v>18</v>
      </c>
      <c r="G1486" s="1" t="s">
        <v>19</v>
      </c>
      <c r="H1486" s="1" t="s">
        <v>20</v>
      </c>
      <c r="I1486" s="2">
        <v>44561</v>
      </c>
      <c r="J1486">
        <v>20985</v>
      </c>
      <c r="K1486" s="2">
        <v>45791</v>
      </c>
      <c r="L1486">
        <v>18869</v>
      </c>
      <c r="M1486">
        <v>39854</v>
      </c>
      <c r="N1486">
        <v>0</v>
      </c>
    </row>
    <row r="1487" spans="1:14" x14ac:dyDescent="0.3">
      <c r="A1487" s="1" t="s">
        <v>1532</v>
      </c>
      <c r="B1487" s="1" t="s">
        <v>48</v>
      </c>
      <c r="C1487">
        <v>56</v>
      </c>
      <c r="D1487" s="1" t="s">
        <v>23</v>
      </c>
      <c r="E1487" s="1" t="s">
        <v>38</v>
      </c>
      <c r="F1487" s="1" t="s">
        <v>18</v>
      </c>
      <c r="G1487" s="1" t="s">
        <v>19</v>
      </c>
      <c r="H1487" s="1" t="s">
        <v>20</v>
      </c>
      <c r="I1487" s="2">
        <v>44851</v>
      </c>
      <c r="J1487">
        <v>11040</v>
      </c>
      <c r="K1487" s="2">
        <v>45823</v>
      </c>
      <c r="L1487">
        <v>-10697</v>
      </c>
      <c r="M1487">
        <v>343</v>
      </c>
      <c r="N1487">
        <v>0</v>
      </c>
    </row>
    <row r="1488" spans="1:14" x14ac:dyDescent="0.3">
      <c r="A1488" s="1" t="s">
        <v>1533</v>
      </c>
      <c r="B1488" s="1" t="s">
        <v>48</v>
      </c>
      <c r="C1488">
        <v>26</v>
      </c>
      <c r="D1488" s="1" t="s">
        <v>16</v>
      </c>
      <c r="E1488" s="1" t="s">
        <v>38</v>
      </c>
      <c r="F1488" s="1" t="s">
        <v>18</v>
      </c>
      <c r="G1488" s="1" t="s">
        <v>19</v>
      </c>
      <c r="H1488" s="1" t="s">
        <v>20</v>
      </c>
      <c r="I1488" s="2">
        <v>45133</v>
      </c>
      <c r="J1488">
        <v>9873</v>
      </c>
      <c r="K1488" s="2">
        <v>45860</v>
      </c>
      <c r="L1488">
        <v>-2461</v>
      </c>
      <c r="M1488">
        <v>7412</v>
      </c>
      <c r="N1488">
        <v>0</v>
      </c>
    </row>
    <row r="1489" spans="1:14" x14ac:dyDescent="0.3">
      <c r="A1489" s="1" t="s">
        <v>1534</v>
      </c>
      <c r="B1489" s="1" t="s">
        <v>32</v>
      </c>
      <c r="C1489">
        <v>39</v>
      </c>
      <c r="D1489" s="1" t="s">
        <v>16</v>
      </c>
      <c r="E1489" s="1" t="s">
        <v>38</v>
      </c>
      <c r="F1489" s="1" t="s">
        <v>18</v>
      </c>
      <c r="G1489" s="1" t="s">
        <v>19</v>
      </c>
      <c r="H1489" s="1" t="s">
        <v>20</v>
      </c>
      <c r="I1489" s="2">
        <v>45342</v>
      </c>
      <c r="J1489">
        <v>16772</v>
      </c>
      <c r="K1489" s="2">
        <v>45841</v>
      </c>
      <c r="L1489">
        <v>7321</v>
      </c>
      <c r="M1489">
        <v>24093</v>
      </c>
      <c r="N1489">
        <v>0</v>
      </c>
    </row>
    <row r="1490" spans="1:14" x14ac:dyDescent="0.3">
      <c r="A1490" s="1" t="s">
        <v>1535</v>
      </c>
      <c r="B1490" s="1" t="s">
        <v>59</v>
      </c>
      <c r="C1490">
        <v>60</v>
      </c>
      <c r="D1490" s="1" t="s">
        <v>30</v>
      </c>
      <c r="E1490" s="1" t="s">
        <v>17</v>
      </c>
      <c r="F1490" s="1" t="s">
        <v>18</v>
      </c>
      <c r="G1490" s="1" t="s">
        <v>41</v>
      </c>
      <c r="H1490" s="1" t="s">
        <v>20</v>
      </c>
      <c r="I1490" s="2">
        <v>45809</v>
      </c>
      <c r="J1490">
        <v>16983</v>
      </c>
      <c r="K1490" s="2">
        <v>45867</v>
      </c>
      <c r="L1490">
        <v>10591</v>
      </c>
      <c r="M1490">
        <v>27574</v>
      </c>
      <c r="N1490">
        <v>0</v>
      </c>
    </row>
    <row r="1491" spans="1:14" x14ac:dyDescent="0.3">
      <c r="A1491" s="1" t="s">
        <v>1536</v>
      </c>
      <c r="B1491" s="1" t="s">
        <v>40</v>
      </c>
      <c r="C1491">
        <v>63</v>
      </c>
      <c r="D1491" s="1" t="s">
        <v>23</v>
      </c>
      <c r="E1491" s="1" t="s">
        <v>38</v>
      </c>
      <c r="F1491" s="1" t="s">
        <v>25</v>
      </c>
      <c r="G1491" s="1" t="s">
        <v>19</v>
      </c>
      <c r="H1491" s="1" t="s">
        <v>20</v>
      </c>
      <c r="I1491" s="2">
        <v>45754</v>
      </c>
      <c r="J1491">
        <v>7839</v>
      </c>
      <c r="K1491" s="2">
        <v>45867</v>
      </c>
      <c r="L1491">
        <v>33681</v>
      </c>
      <c r="M1491">
        <v>41520</v>
      </c>
      <c r="N1491">
        <v>0</v>
      </c>
    </row>
    <row r="1492" spans="1:14" x14ac:dyDescent="0.3">
      <c r="A1492" s="1" t="s">
        <v>1537</v>
      </c>
      <c r="B1492" s="1" t="s">
        <v>71</v>
      </c>
      <c r="C1492">
        <v>21</v>
      </c>
      <c r="D1492" s="1" t="s">
        <v>16</v>
      </c>
      <c r="E1492" s="1" t="s">
        <v>24</v>
      </c>
      <c r="F1492" s="1" t="s">
        <v>25</v>
      </c>
      <c r="G1492" s="1" t="s">
        <v>19</v>
      </c>
      <c r="H1492" s="1" t="s">
        <v>20</v>
      </c>
      <c r="I1492" s="2">
        <v>45150</v>
      </c>
      <c r="J1492">
        <v>11348</v>
      </c>
      <c r="K1492" s="2">
        <v>45845</v>
      </c>
      <c r="L1492">
        <v>4243</v>
      </c>
      <c r="M1492">
        <v>15591</v>
      </c>
      <c r="N1492">
        <v>0</v>
      </c>
    </row>
    <row r="1493" spans="1:14" x14ac:dyDescent="0.3">
      <c r="A1493" s="1" t="s">
        <v>1538</v>
      </c>
      <c r="B1493" s="1" t="s">
        <v>22</v>
      </c>
      <c r="C1493">
        <v>43</v>
      </c>
      <c r="D1493" s="1" t="s">
        <v>16</v>
      </c>
      <c r="E1493" s="1" t="s">
        <v>17</v>
      </c>
      <c r="F1493" s="1" t="s">
        <v>18</v>
      </c>
      <c r="G1493" s="1" t="s">
        <v>19</v>
      </c>
      <c r="H1493" s="1" t="s">
        <v>20</v>
      </c>
      <c r="I1493" s="2">
        <v>45425</v>
      </c>
      <c r="J1493">
        <v>7569</v>
      </c>
      <c r="K1493" s="2">
        <v>45864</v>
      </c>
      <c r="L1493">
        <v>-20355</v>
      </c>
      <c r="M1493">
        <v>-12786</v>
      </c>
      <c r="N1493">
        <v>0</v>
      </c>
    </row>
    <row r="1494" spans="1:14" x14ac:dyDescent="0.3">
      <c r="A1494" s="1" t="s">
        <v>1539</v>
      </c>
      <c r="B1494" s="1" t="s">
        <v>71</v>
      </c>
      <c r="C1494">
        <v>46</v>
      </c>
      <c r="D1494" s="1" t="s">
        <v>16</v>
      </c>
      <c r="E1494" s="1" t="s">
        <v>17</v>
      </c>
      <c r="F1494" s="1" t="s">
        <v>25</v>
      </c>
      <c r="G1494" s="1" t="s">
        <v>19</v>
      </c>
      <c r="H1494" s="1" t="s">
        <v>20</v>
      </c>
      <c r="I1494" s="2">
        <v>45787</v>
      </c>
      <c r="J1494">
        <v>15815</v>
      </c>
      <c r="K1494" s="2">
        <v>45867</v>
      </c>
      <c r="L1494">
        <v>39905</v>
      </c>
      <c r="M1494">
        <v>55720</v>
      </c>
      <c r="N1494">
        <v>0</v>
      </c>
    </row>
    <row r="1495" spans="1:14" x14ac:dyDescent="0.3">
      <c r="A1495" s="1" t="s">
        <v>1540</v>
      </c>
      <c r="B1495" s="1" t="s">
        <v>87</v>
      </c>
      <c r="C1495">
        <v>62</v>
      </c>
      <c r="D1495" s="1" t="s">
        <v>16</v>
      </c>
      <c r="E1495" s="1" t="s">
        <v>38</v>
      </c>
      <c r="F1495" s="1" t="s">
        <v>18</v>
      </c>
      <c r="G1495" s="1" t="s">
        <v>19</v>
      </c>
      <c r="H1495" s="1" t="s">
        <v>20</v>
      </c>
      <c r="I1495" s="2">
        <v>44336</v>
      </c>
      <c r="J1495">
        <v>6390</v>
      </c>
      <c r="K1495" s="2">
        <v>45838</v>
      </c>
      <c r="L1495">
        <v>16724</v>
      </c>
      <c r="M1495">
        <v>23114</v>
      </c>
      <c r="N1495">
        <v>0</v>
      </c>
    </row>
    <row r="1496" spans="1:14" x14ac:dyDescent="0.3">
      <c r="A1496" s="1" t="s">
        <v>1541</v>
      </c>
      <c r="B1496" s="1" t="s">
        <v>48</v>
      </c>
      <c r="C1496">
        <v>51</v>
      </c>
      <c r="D1496" s="1" t="s">
        <v>16</v>
      </c>
      <c r="E1496" s="1" t="s">
        <v>38</v>
      </c>
      <c r="F1496" s="1" t="s">
        <v>18</v>
      </c>
      <c r="G1496" s="1" t="s">
        <v>19</v>
      </c>
      <c r="H1496" s="1" t="s">
        <v>20</v>
      </c>
      <c r="I1496" s="2">
        <v>44206</v>
      </c>
      <c r="J1496">
        <v>3760</v>
      </c>
      <c r="K1496" s="2">
        <v>45781</v>
      </c>
      <c r="L1496">
        <v>13944</v>
      </c>
      <c r="M1496">
        <v>17704</v>
      </c>
      <c r="N1496">
        <v>0</v>
      </c>
    </row>
    <row r="1497" spans="1:14" x14ac:dyDescent="0.3">
      <c r="A1497" s="1" t="s">
        <v>1542</v>
      </c>
      <c r="B1497" s="1" t="s">
        <v>61</v>
      </c>
      <c r="C1497">
        <v>40</v>
      </c>
      <c r="D1497" s="1" t="s">
        <v>23</v>
      </c>
      <c r="E1497" s="1" t="s">
        <v>17</v>
      </c>
      <c r="F1497" s="1" t="s">
        <v>25</v>
      </c>
      <c r="G1497" s="1" t="s">
        <v>19</v>
      </c>
      <c r="H1497" s="1" t="s">
        <v>20</v>
      </c>
      <c r="I1497" s="2">
        <v>44246</v>
      </c>
      <c r="J1497">
        <v>58418</v>
      </c>
      <c r="K1497" s="2">
        <v>45846</v>
      </c>
      <c r="L1497">
        <v>18339</v>
      </c>
      <c r="M1497">
        <v>76757</v>
      </c>
      <c r="N1497">
        <v>0</v>
      </c>
    </row>
    <row r="1498" spans="1:14" x14ac:dyDescent="0.3">
      <c r="A1498" s="1" t="s">
        <v>1543</v>
      </c>
      <c r="B1498" s="1" t="s">
        <v>87</v>
      </c>
      <c r="C1498">
        <v>54</v>
      </c>
      <c r="D1498" s="1" t="s">
        <v>16</v>
      </c>
      <c r="E1498" s="1" t="s">
        <v>38</v>
      </c>
      <c r="F1498" s="1" t="s">
        <v>25</v>
      </c>
      <c r="G1498" s="1" t="s">
        <v>19</v>
      </c>
      <c r="H1498" s="1" t="s">
        <v>20</v>
      </c>
      <c r="I1498" s="2">
        <v>45139</v>
      </c>
      <c r="J1498">
        <v>12462</v>
      </c>
      <c r="K1498" s="2">
        <v>45723</v>
      </c>
      <c r="L1498">
        <v>-6417</v>
      </c>
      <c r="M1498">
        <v>6045</v>
      </c>
      <c r="N1498">
        <v>0</v>
      </c>
    </row>
    <row r="1499" spans="1:14" x14ac:dyDescent="0.3">
      <c r="A1499" s="1" t="s">
        <v>1544</v>
      </c>
      <c r="B1499" s="1" t="s">
        <v>29</v>
      </c>
      <c r="C1499">
        <v>28</v>
      </c>
      <c r="D1499" s="1" t="s">
        <v>16</v>
      </c>
      <c r="E1499" s="1" t="s">
        <v>35</v>
      </c>
      <c r="F1499" s="1" t="s">
        <v>25</v>
      </c>
      <c r="G1499" s="1" t="s">
        <v>19</v>
      </c>
      <c r="H1499" s="1" t="s">
        <v>20</v>
      </c>
      <c r="I1499" s="2">
        <v>45473</v>
      </c>
      <c r="J1499">
        <v>72915</v>
      </c>
      <c r="K1499" s="2">
        <v>45834</v>
      </c>
      <c r="L1499">
        <v>21294</v>
      </c>
      <c r="M1499">
        <v>94209</v>
      </c>
      <c r="N1499">
        <v>0</v>
      </c>
    </row>
    <row r="1500" spans="1:14" x14ac:dyDescent="0.3">
      <c r="A1500" s="1" t="s">
        <v>1545</v>
      </c>
      <c r="B1500" s="1" t="s">
        <v>56</v>
      </c>
      <c r="C1500">
        <v>23</v>
      </c>
      <c r="D1500" s="1" t="s">
        <v>16</v>
      </c>
      <c r="E1500" s="1" t="s">
        <v>17</v>
      </c>
      <c r="F1500" s="1" t="s">
        <v>25</v>
      </c>
      <c r="G1500" s="1" t="s">
        <v>19</v>
      </c>
      <c r="H1500" s="1" t="s">
        <v>20</v>
      </c>
      <c r="I1500" s="2">
        <v>44811</v>
      </c>
      <c r="J1500">
        <v>1935</v>
      </c>
      <c r="K1500" s="2">
        <v>45829</v>
      </c>
      <c r="L1500">
        <v>6034</v>
      </c>
      <c r="M1500">
        <v>7969</v>
      </c>
      <c r="N1500">
        <v>0</v>
      </c>
    </row>
    <row r="1501" spans="1:14" x14ac:dyDescent="0.3">
      <c r="A1501" s="1" t="s">
        <v>1546</v>
      </c>
      <c r="B1501" s="1" t="s">
        <v>43</v>
      </c>
      <c r="C1501">
        <v>35</v>
      </c>
      <c r="D1501" s="1" t="s">
        <v>16</v>
      </c>
      <c r="E1501" s="1" t="s">
        <v>17</v>
      </c>
      <c r="F1501" s="1" t="s">
        <v>25</v>
      </c>
      <c r="G1501" s="1" t="s">
        <v>19</v>
      </c>
      <c r="H1501" s="1" t="s">
        <v>20</v>
      </c>
      <c r="I1501" s="2">
        <v>45109</v>
      </c>
      <c r="J1501">
        <v>3135</v>
      </c>
      <c r="K1501" s="2">
        <v>45851</v>
      </c>
      <c r="L1501">
        <v>30823</v>
      </c>
      <c r="M1501">
        <v>33958</v>
      </c>
      <c r="N1501">
        <v>0</v>
      </c>
    </row>
    <row r="1502" spans="1:14" x14ac:dyDescent="0.3">
      <c r="A1502" s="1" t="s">
        <v>1547</v>
      </c>
      <c r="B1502" s="1" t="s">
        <v>29</v>
      </c>
      <c r="C1502">
        <v>38</v>
      </c>
      <c r="D1502" s="1" t="s">
        <v>23</v>
      </c>
      <c r="E1502" s="1" t="s">
        <v>38</v>
      </c>
      <c r="F1502" s="1" t="s">
        <v>25</v>
      </c>
      <c r="G1502" s="1" t="s">
        <v>19</v>
      </c>
      <c r="H1502" s="1" t="s">
        <v>20</v>
      </c>
      <c r="I1502" s="2">
        <v>45060</v>
      </c>
      <c r="J1502">
        <v>21307</v>
      </c>
      <c r="K1502" s="2">
        <v>45868</v>
      </c>
      <c r="L1502">
        <v>17775</v>
      </c>
      <c r="M1502">
        <v>39082</v>
      </c>
      <c r="N1502">
        <v>0</v>
      </c>
    </row>
    <row r="1503" spans="1:14" x14ac:dyDescent="0.3">
      <c r="A1503" s="1" t="s">
        <v>1548</v>
      </c>
      <c r="B1503" s="1" t="s">
        <v>40</v>
      </c>
      <c r="C1503">
        <v>59</v>
      </c>
      <c r="D1503" s="1" t="s">
        <v>23</v>
      </c>
      <c r="E1503" s="1" t="s">
        <v>24</v>
      </c>
      <c r="F1503" s="1" t="s">
        <v>18</v>
      </c>
      <c r="G1503" s="1" t="s">
        <v>19</v>
      </c>
      <c r="H1503" s="1" t="s">
        <v>20</v>
      </c>
      <c r="I1503" s="2">
        <v>44355</v>
      </c>
      <c r="J1503">
        <v>12472</v>
      </c>
      <c r="K1503" s="2">
        <v>45858</v>
      </c>
      <c r="L1503">
        <v>-9049</v>
      </c>
      <c r="M1503">
        <v>3423</v>
      </c>
      <c r="N1503">
        <v>0</v>
      </c>
    </row>
    <row r="1504" spans="1:14" x14ac:dyDescent="0.3">
      <c r="A1504" s="1" t="s">
        <v>1549</v>
      </c>
      <c r="B1504" s="1" t="s">
        <v>29</v>
      </c>
      <c r="C1504">
        <v>53</v>
      </c>
      <c r="D1504" s="1" t="s">
        <v>30</v>
      </c>
      <c r="E1504" s="1" t="s">
        <v>24</v>
      </c>
      <c r="F1504" s="1" t="s">
        <v>25</v>
      </c>
      <c r="G1504" s="1" t="s">
        <v>19</v>
      </c>
      <c r="H1504" s="1" t="s">
        <v>20</v>
      </c>
      <c r="I1504" s="2">
        <v>44735</v>
      </c>
      <c r="J1504">
        <v>4198</v>
      </c>
      <c r="K1504" s="2">
        <v>45729</v>
      </c>
      <c r="L1504">
        <v>25311</v>
      </c>
      <c r="M1504">
        <v>29509</v>
      </c>
      <c r="N1504">
        <v>0</v>
      </c>
    </row>
    <row r="1505" spans="1:14" x14ac:dyDescent="0.3">
      <c r="A1505" s="1" t="s">
        <v>1550</v>
      </c>
      <c r="B1505" s="1" t="s">
        <v>87</v>
      </c>
      <c r="C1505">
        <v>58</v>
      </c>
      <c r="D1505" s="1" t="s">
        <v>16</v>
      </c>
      <c r="E1505" s="1" t="s">
        <v>17</v>
      </c>
      <c r="F1505" s="1" t="s">
        <v>25</v>
      </c>
      <c r="G1505" s="1" t="s">
        <v>41</v>
      </c>
      <c r="H1505" s="1" t="s">
        <v>20</v>
      </c>
      <c r="I1505" s="2">
        <v>44229</v>
      </c>
      <c r="J1505">
        <v>41627</v>
      </c>
      <c r="K1505" s="2">
        <v>45859</v>
      </c>
      <c r="L1505">
        <v>3433</v>
      </c>
      <c r="M1505">
        <v>45060</v>
      </c>
      <c r="N1505">
        <v>0</v>
      </c>
    </row>
    <row r="1506" spans="1:14" x14ac:dyDescent="0.3">
      <c r="A1506" s="1" t="s">
        <v>1551</v>
      </c>
      <c r="B1506" s="1" t="s">
        <v>69</v>
      </c>
      <c r="C1506">
        <v>55</v>
      </c>
      <c r="D1506" s="1" t="s">
        <v>16</v>
      </c>
      <c r="E1506" s="1" t="s">
        <v>24</v>
      </c>
      <c r="F1506" s="1" t="s">
        <v>25</v>
      </c>
      <c r="G1506" s="1" t="s">
        <v>19</v>
      </c>
      <c r="H1506" s="1" t="s">
        <v>20</v>
      </c>
      <c r="I1506" s="2">
        <v>44382</v>
      </c>
      <c r="J1506">
        <v>5598</v>
      </c>
      <c r="K1506" s="2">
        <v>45850</v>
      </c>
      <c r="L1506">
        <v>4808</v>
      </c>
      <c r="M1506">
        <v>10406</v>
      </c>
      <c r="N1506">
        <v>0</v>
      </c>
    </row>
    <row r="1507" spans="1:14" x14ac:dyDescent="0.3">
      <c r="A1507" s="1" t="s">
        <v>1552</v>
      </c>
      <c r="B1507" s="1" t="s">
        <v>59</v>
      </c>
      <c r="C1507">
        <v>51</v>
      </c>
      <c r="D1507" s="1" t="s">
        <v>23</v>
      </c>
      <c r="E1507" s="1" t="s">
        <v>38</v>
      </c>
      <c r="F1507" s="1" t="s">
        <v>18</v>
      </c>
      <c r="G1507" s="1" t="s">
        <v>19</v>
      </c>
      <c r="H1507" s="1" t="s">
        <v>20</v>
      </c>
      <c r="I1507" s="2">
        <v>45555</v>
      </c>
      <c r="J1507">
        <v>44292</v>
      </c>
      <c r="K1507" s="2">
        <v>45869</v>
      </c>
      <c r="L1507">
        <v>9537</v>
      </c>
      <c r="M1507">
        <v>53829</v>
      </c>
      <c r="N1507">
        <v>0</v>
      </c>
    </row>
    <row r="1508" spans="1:14" x14ac:dyDescent="0.3">
      <c r="A1508" s="1" t="s">
        <v>1553</v>
      </c>
      <c r="B1508" s="1" t="s">
        <v>27</v>
      </c>
      <c r="C1508">
        <v>34</v>
      </c>
      <c r="D1508" s="1" t="s">
        <v>16</v>
      </c>
      <c r="E1508" s="1" t="s">
        <v>38</v>
      </c>
      <c r="F1508" s="1" t="s">
        <v>18</v>
      </c>
      <c r="G1508" s="1" t="s">
        <v>19</v>
      </c>
      <c r="H1508" s="1" t="s">
        <v>20</v>
      </c>
      <c r="I1508" s="2">
        <v>45584</v>
      </c>
      <c r="J1508">
        <v>12451</v>
      </c>
      <c r="K1508" s="2">
        <v>45868</v>
      </c>
      <c r="L1508">
        <v>5611</v>
      </c>
      <c r="M1508">
        <v>18062</v>
      </c>
      <c r="N1508">
        <v>0</v>
      </c>
    </row>
    <row r="1509" spans="1:14" x14ac:dyDescent="0.3">
      <c r="A1509" s="1" t="s">
        <v>1554</v>
      </c>
      <c r="B1509" s="1" t="s">
        <v>71</v>
      </c>
      <c r="C1509">
        <v>54</v>
      </c>
      <c r="D1509" s="1" t="s">
        <v>16</v>
      </c>
      <c r="E1509" s="1" t="s">
        <v>38</v>
      </c>
      <c r="F1509" s="1" t="s">
        <v>18</v>
      </c>
      <c r="G1509" s="1" t="s">
        <v>19</v>
      </c>
      <c r="H1509" s="1" t="s">
        <v>20</v>
      </c>
      <c r="I1509" s="2">
        <v>45538</v>
      </c>
      <c r="J1509">
        <v>4583</v>
      </c>
      <c r="K1509" s="2">
        <v>45841</v>
      </c>
      <c r="L1509">
        <v>16554</v>
      </c>
      <c r="M1509">
        <v>21137</v>
      </c>
      <c r="N1509">
        <v>0</v>
      </c>
    </row>
    <row r="1510" spans="1:14" x14ac:dyDescent="0.3">
      <c r="A1510" s="1" t="s">
        <v>1555</v>
      </c>
      <c r="B1510" s="1" t="s">
        <v>40</v>
      </c>
      <c r="C1510">
        <v>42</v>
      </c>
      <c r="D1510" s="1" t="s">
        <v>16</v>
      </c>
      <c r="E1510" s="1" t="s">
        <v>38</v>
      </c>
      <c r="F1510" s="1" t="s">
        <v>18</v>
      </c>
      <c r="G1510" s="1" t="s">
        <v>19</v>
      </c>
      <c r="H1510" s="1" t="s">
        <v>20</v>
      </c>
      <c r="I1510" s="2">
        <v>45412</v>
      </c>
      <c r="J1510">
        <v>6845</v>
      </c>
      <c r="K1510" s="2">
        <v>45856</v>
      </c>
      <c r="L1510">
        <v>-11870</v>
      </c>
      <c r="M1510">
        <v>-5025</v>
      </c>
      <c r="N1510">
        <v>0</v>
      </c>
    </row>
    <row r="1511" spans="1:14" x14ac:dyDescent="0.3">
      <c r="A1511" s="1" t="s">
        <v>1556</v>
      </c>
      <c r="B1511" s="1" t="s">
        <v>15</v>
      </c>
      <c r="C1511">
        <v>55</v>
      </c>
      <c r="D1511" s="1" t="s">
        <v>23</v>
      </c>
      <c r="E1511" s="1" t="s">
        <v>38</v>
      </c>
      <c r="F1511" s="1" t="s">
        <v>25</v>
      </c>
      <c r="G1511" s="1" t="s">
        <v>19</v>
      </c>
      <c r="H1511" s="1" t="s">
        <v>20</v>
      </c>
      <c r="I1511" s="2">
        <v>45524</v>
      </c>
      <c r="J1511">
        <v>52689</v>
      </c>
      <c r="K1511" s="2">
        <v>45845</v>
      </c>
      <c r="L1511">
        <v>14604</v>
      </c>
      <c r="M1511">
        <v>67293</v>
      </c>
      <c r="N1511">
        <v>0</v>
      </c>
    </row>
    <row r="1512" spans="1:14" x14ac:dyDescent="0.3">
      <c r="A1512" s="1" t="s">
        <v>1557</v>
      </c>
      <c r="B1512" s="1" t="s">
        <v>34</v>
      </c>
      <c r="C1512">
        <v>29</v>
      </c>
      <c r="D1512" s="1" t="s">
        <v>16</v>
      </c>
      <c r="E1512" s="1" t="s">
        <v>38</v>
      </c>
      <c r="F1512" s="1" t="s">
        <v>18</v>
      </c>
      <c r="G1512" s="1" t="s">
        <v>19</v>
      </c>
      <c r="H1512" s="1" t="s">
        <v>20</v>
      </c>
      <c r="I1512" s="2">
        <v>45319</v>
      </c>
      <c r="J1512">
        <v>9919</v>
      </c>
      <c r="K1512" s="2">
        <v>45853</v>
      </c>
      <c r="L1512">
        <v>4612</v>
      </c>
      <c r="M1512">
        <v>14531</v>
      </c>
      <c r="N1512">
        <v>0</v>
      </c>
    </row>
    <row r="1513" spans="1:14" x14ac:dyDescent="0.3">
      <c r="A1513" s="1" t="s">
        <v>1558</v>
      </c>
      <c r="B1513" s="1" t="s">
        <v>71</v>
      </c>
      <c r="C1513">
        <v>40</v>
      </c>
      <c r="D1513" s="1" t="s">
        <v>16</v>
      </c>
      <c r="E1513" s="1" t="s">
        <v>17</v>
      </c>
      <c r="F1513" s="1" t="s">
        <v>18</v>
      </c>
      <c r="G1513" s="1" t="s">
        <v>19</v>
      </c>
      <c r="H1513" s="1" t="s">
        <v>20</v>
      </c>
      <c r="I1513" s="2">
        <v>45317</v>
      </c>
      <c r="J1513">
        <v>35325</v>
      </c>
      <c r="K1513" s="2">
        <v>45862</v>
      </c>
      <c r="L1513">
        <v>7102</v>
      </c>
      <c r="M1513">
        <v>42427</v>
      </c>
      <c r="N1513">
        <v>0</v>
      </c>
    </row>
    <row r="1514" spans="1:14" x14ac:dyDescent="0.3">
      <c r="A1514" s="1" t="s">
        <v>1559</v>
      </c>
      <c r="B1514" s="1" t="s">
        <v>27</v>
      </c>
      <c r="C1514">
        <v>59</v>
      </c>
      <c r="D1514" s="1" t="s">
        <v>23</v>
      </c>
      <c r="E1514" s="1" t="s">
        <v>24</v>
      </c>
      <c r="F1514" s="1" t="s">
        <v>25</v>
      </c>
      <c r="G1514" s="1" t="s">
        <v>19</v>
      </c>
      <c r="H1514" s="1" t="s">
        <v>20</v>
      </c>
      <c r="I1514" s="2">
        <v>45313</v>
      </c>
      <c r="J1514">
        <v>54200</v>
      </c>
      <c r="K1514" s="2">
        <v>45852</v>
      </c>
      <c r="L1514">
        <v>-7558</v>
      </c>
      <c r="M1514">
        <v>46642</v>
      </c>
      <c r="N1514">
        <v>0</v>
      </c>
    </row>
    <row r="1515" spans="1:14" x14ac:dyDescent="0.3">
      <c r="A1515" s="1" t="s">
        <v>1560</v>
      </c>
      <c r="B1515" s="1" t="s">
        <v>79</v>
      </c>
      <c r="C1515">
        <v>39</v>
      </c>
      <c r="D1515" s="1" t="s">
        <v>16</v>
      </c>
      <c r="E1515" s="1" t="s">
        <v>17</v>
      </c>
      <c r="F1515" s="1" t="s">
        <v>18</v>
      </c>
      <c r="G1515" s="1" t="s">
        <v>19</v>
      </c>
      <c r="H1515" s="1" t="s">
        <v>20</v>
      </c>
      <c r="I1515" s="2">
        <v>45056</v>
      </c>
      <c r="J1515">
        <v>12327</v>
      </c>
      <c r="K1515" s="2">
        <v>45844</v>
      </c>
      <c r="L1515">
        <v>13981</v>
      </c>
      <c r="M1515">
        <v>26308</v>
      </c>
      <c r="N1515">
        <v>0</v>
      </c>
    </row>
    <row r="1516" spans="1:14" x14ac:dyDescent="0.3">
      <c r="A1516" s="1" t="s">
        <v>1561</v>
      </c>
      <c r="B1516" s="1" t="s">
        <v>32</v>
      </c>
      <c r="C1516">
        <v>38</v>
      </c>
      <c r="D1516" s="1" t="s">
        <v>16</v>
      </c>
      <c r="E1516" s="1" t="s">
        <v>38</v>
      </c>
      <c r="F1516" s="1" t="s">
        <v>18</v>
      </c>
      <c r="G1516" s="1" t="s">
        <v>19</v>
      </c>
      <c r="H1516" s="1" t="s">
        <v>20</v>
      </c>
      <c r="I1516" s="2">
        <v>44804</v>
      </c>
      <c r="J1516">
        <v>10687</v>
      </c>
      <c r="K1516" s="2">
        <v>45783</v>
      </c>
      <c r="L1516">
        <v>23280</v>
      </c>
      <c r="M1516">
        <v>33967</v>
      </c>
      <c r="N1516">
        <v>0</v>
      </c>
    </row>
    <row r="1517" spans="1:14" x14ac:dyDescent="0.3">
      <c r="A1517" s="1" t="s">
        <v>1562</v>
      </c>
      <c r="B1517" s="1" t="s">
        <v>43</v>
      </c>
      <c r="C1517">
        <v>44</v>
      </c>
      <c r="D1517" s="1" t="s">
        <v>16</v>
      </c>
      <c r="E1517" s="1" t="s">
        <v>24</v>
      </c>
      <c r="F1517" s="1" t="s">
        <v>18</v>
      </c>
      <c r="G1517" s="1" t="s">
        <v>19</v>
      </c>
      <c r="H1517" s="1" t="s">
        <v>20</v>
      </c>
      <c r="I1517" s="2">
        <v>45418</v>
      </c>
      <c r="J1517">
        <v>8911</v>
      </c>
      <c r="K1517" s="2">
        <v>45864</v>
      </c>
      <c r="L1517">
        <v>28580</v>
      </c>
      <c r="M1517">
        <v>37491</v>
      </c>
      <c r="N1517">
        <v>0</v>
      </c>
    </row>
    <row r="1518" spans="1:14" x14ac:dyDescent="0.3">
      <c r="A1518" s="1" t="s">
        <v>1563</v>
      </c>
      <c r="B1518" s="1" t="s">
        <v>69</v>
      </c>
      <c r="C1518">
        <v>48</v>
      </c>
      <c r="D1518" s="1" t="s">
        <v>16</v>
      </c>
      <c r="E1518" s="1" t="s">
        <v>24</v>
      </c>
      <c r="F1518" s="1" t="s">
        <v>25</v>
      </c>
      <c r="G1518" s="1" t="s">
        <v>19</v>
      </c>
      <c r="H1518" s="1" t="s">
        <v>49</v>
      </c>
      <c r="I1518" s="2">
        <v>44696</v>
      </c>
      <c r="J1518">
        <v>18998</v>
      </c>
      <c r="K1518" s="2">
        <v>45706</v>
      </c>
      <c r="L1518">
        <v>24348</v>
      </c>
      <c r="M1518">
        <v>43346</v>
      </c>
      <c r="N1518">
        <v>0</v>
      </c>
    </row>
    <row r="1519" spans="1:14" x14ac:dyDescent="0.3">
      <c r="A1519" s="1" t="s">
        <v>1564</v>
      </c>
      <c r="B1519" s="1" t="s">
        <v>27</v>
      </c>
      <c r="C1519">
        <v>23</v>
      </c>
      <c r="D1519" s="1" t="s">
        <v>23</v>
      </c>
      <c r="E1519" s="1" t="s">
        <v>24</v>
      </c>
      <c r="F1519" s="1" t="s">
        <v>18</v>
      </c>
      <c r="G1519" s="1" t="s">
        <v>19</v>
      </c>
      <c r="H1519" s="1" t="s">
        <v>20</v>
      </c>
      <c r="I1519" s="2">
        <v>45105</v>
      </c>
      <c r="J1519">
        <v>60230</v>
      </c>
      <c r="K1519" s="2">
        <v>45848</v>
      </c>
      <c r="L1519">
        <v>20566</v>
      </c>
      <c r="M1519">
        <v>80796</v>
      </c>
      <c r="N1519">
        <v>0</v>
      </c>
    </row>
    <row r="1520" spans="1:14" x14ac:dyDescent="0.3">
      <c r="A1520" s="1" t="s">
        <v>1565</v>
      </c>
      <c r="B1520" s="1" t="s">
        <v>34</v>
      </c>
      <c r="C1520">
        <v>44</v>
      </c>
      <c r="D1520" s="1" t="s">
        <v>23</v>
      </c>
      <c r="E1520" s="1" t="s">
        <v>38</v>
      </c>
      <c r="F1520" s="1" t="s">
        <v>25</v>
      </c>
      <c r="G1520" s="1" t="s">
        <v>19</v>
      </c>
      <c r="H1520" s="1" t="s">
        <v>20</v>
      </c>
      <c r="I1520" s="2">
        <v>44922</v>
      </c>
      <c r="J1520">
        <v>3917</v>
      </c>
      <c r="K1520" s="2">
        <v>45862</v>
      </c>
      <c r="L1520">
        <v>-5345</v>
      </c>
      <c r="M1520">
        <v>-1428</v>
      </c>
      <c r="N1520">
        <v>0</v>
      </c>
    </row>
    <row r="1521" spans="1:14" x14ac:dyDescent="0.3">
      <c r="A1521" s="1" t="s">
        <v>1566</v>
      </c>
      <c r="B1521" s="1" t="s">
        <v>64</v>
      </c>
      <c r="C1521">
        <v>57</v>
      </c>
      <c r="D1521" s="1" t="s">
        <v>23</v>
      </c>
      <c r="E1521" s="1" t="s">
        <v>38</v>
      </c>
      <c r="F1521" s="1" t="s">
        <v>18</v>
      </c>
      <c r="G1521" s="1" t="s">
        <v>19</v>
      </c>
      <c r="H1521" s="1" t="s">
        <v>20</v>
      </c>
      <c r="I1521" s="2">
        <v>44659</v>
      </c>
      <c r="J1521">
        <v>16633</v>
      </c>
      <c r="K1521" s="2">
        <v>45861</v>
      </c>
      <c r="L1521">
        <v>-14250</v>
      </c>
      <c r="M1521">
        <v>2383</v>
      </c>
      <c r="N1521">
        <v>0</v>
      </c>
    </row>
    <row r="1522" spans="1:14" x14ac:dyDescent="0.3">
      <c r="A1522" s="1" t="s">
        <v>1567</v>
      </c>
      <c r="B1522" s="1" t="s">
        <v>29</v>
      </c>
      <c r="C1522">
        <v>51</v>
      </c>
      <c r="D1522" s="1" t="s">
        <v>23</v>
      </c>
      <c r="E1522" s="1" t="s">
        <v>24</v>
      </c>
      <c r="F1522" s="1" t="s">
        <v>18</v>
      </c>
      <c r="G1522" s="1" t="s">
        <v>19</v>
      </c>
      <c r="H1522" s="1" t="s">
        <v>20</v>
      </c>
      <c r="I1522" s="2">
        <v>45827</v>
      </c>
      <c r="J1522">
        <v>15929</v>
      </c>
      <c r="K1522" s="2">
        <v>45867</v>
      </c>
      <c r="L1522">
        <v>23081</v>
      </c>
      <c r="M1522">
        <v>39010</v>
      </c>
      <c r="N1522">
        <v>0</v>
      </c>
    </row>
    <row r="1523" spans="1:14" x14ac:dyDescent="0.3">
      <c r="A1523" s="1" t="s">
        <v>1568</v>
      </c>
      <c r="B1523" s="1" t="s">
        <v>56</v>
      </c>
      <c r="C1523">
        <v>29</v>
      </c>
      <c r="D1523" s="1" t="s">
        <v>16</v>
      </c>
      <c r="E1523" s="1" t="s">
        <v>38</v>
      </c>
      <c r="F1523" s="1" t="s">
        <v>18</v>
      </c>
      <c r="G1523" s="1" t="s">
        <v>19</v>
      </c>
      <c r="H1523" s="1" t="s">
        <v>20</v>
      </c>
      <c r="I1523" s="2">
        <v>44629</v>
      </c>
      <c r="J1523">
        <v>2199</v>
      </c>
      <c r="K1523" s="2">
        <v>45777</v>
      </c>
      <c r="L1523">
        <v>17426</v>
      </c>
      <c r="M1523">
        <v>19625</v>
      </c>
      <c r="N1523">
        <v>0</v>
      </c>
    </row>
    <row r="1524" spans="1:14" x14ac:dyDescent="0.3">
      <c r="A1524" s="1" t="s">
        <v>1569</v>
      </c>
      <c r="B1524" s="1" t="s">
        <v>29</v>
      </c>
      <c r="C1524">
        <v>62</v>
      </c>
      <c r="D1524" s="1" t="s">
        <v>23</v>
      </c>
      <c r="E1524" s="1" t="s">
        <v>24</v>
      </c>
      <c r="F1524" s="1" t="s">
        <v>25</v>
      </c>
      <c r="G1524" s="1" t="s">
        <v>19</v>
      </c>
      <c r="H1524" s="1" t="s">
        <v>20</v>
      </c>
      <c r="I1524" s="2">
        <v>44714</v>
      </c>
      <c r="J1524">
        <v>5500</v>
      </c>
      <c r="K1524" s="2">
        <v>45746</v>
      </c>
      <c r="L1524">
        <v>13259</v>
      </c>
      <c r="M1524">
        <v>18759</v>
      </c>
      <c r="N1524">
        <v>0</v>
      </c>
    </row>
    <row r="1525" spans="1:14" x14ac:dyDescent="0.3">
      <c r="A1525" s="1" t="s">
        <v>1570</v>
      </c>
      <c r="B1525" s="1" t="s">
        <v>43</v>
      </c>
      <c r="C1525">
        <v>24</v>
      </c>
      <c r="D1525" s="1" t="s">
        <v>16</v>
      </c>
      <c r="E1525" s="1" t="s">
        <v>24</v>
      </c>
      <c r="F1525" s="1" t="s">
        <v>18</v>
      </c>
      <c r="G1525" s="1" t="s">
        <v>19</v>
      </c>
      <c r="H1525" s="1" t="s">
        <v>20</v>
      </c>
      <c r="I1525" s="2">
        <v>44467</v>
      </c>
      <c r="J1525">
        <v>6751</v>
      </c>
      <c r="K1525" s="2">
        <v>45855</v>
      </c>
      <c r="L1525">
        <v>3180</v>
      </c>
      <c r="M1525">
        <v>9931</v>
      </c>
      <c r="N1525">
        <v>0</v>
      </c>
    </row>
    <row r="1526" spans="1:14" x14ac:dyDescent="0.3">
      <c r="A1526" s="1" t="s">
        <v>1571</v>
      </c>
      <c r="B1526" s="1" t="s">
        <v>69</v>
      </c>
      <c r="C1526">
        <v>27</v>
      </c>
      <c r="D1526" s="1" t="s">
        <v>30</v>
      </c>
      <c r="E1526" s="1" t="s">
        <v>38</v>
      </c>
      <c r="F1526" s="1" t="s">
        <v>18</v>
      </c>
      <c r="G1526" s="1" t="s">
        <v>41</v>
      </c>
      <c r="H1526" s="1" t="s">
        <v>49</v>
      </c>
      <c r="I1526" s="2">
        <v>45573</v>
      </c>
      <c r="J1526">
        <v>28682</v>
      </c>
      <c r="K1526" s="2">
        <v>45859</v>
      </c>
      <c r="L1526">
        <v>12900</v>
      </c>
      <c r="M1526">
        <v>41582</v>
      </c>
      <c r="N1526">
        <v>0</v>
      </c>
    </row>
    <row r="1527" spans="1:14" x14ac:dyDescent="0.3">
      <c r="A1527" s="1" t="s">
        <v>1572</v>
      </c>
      <c r="B1527" s="1" t="s">
        <v>15</v>
      </c>
      <c r="C1527">
        <v>62</v>
      </c>
      <c r="D1527" s="1" t="s">
        <v>16</v>
      </c>
      <c r="E1527" s="1" t="s">
        <v>24</v>
      </c>
      <c r="F1527" s="1" t="s">
        <v>18</v>
      </c>
      <c r="G1527" s="1" t="s">
        <v>19</v>
      </c>
      <c r="H1527" s="1" t="s">
        <v>20</v>
      </c>
      <c r="I1527" s="2">
        <v>45178</v>
      </c>
      <c r="J1527">
        <v>34165</v>
      </c>
      <c r="K1527" s="2">
        <v>45842</v>
      </c>
      <c r="L1527">
        <v>18430</v>
      </c>
      <c r="M1527">
        <v>52595</v>
      </c>
      <c r="N1527">
        <v>0</v>
      </c>
    </row>
    <row r="1528" spans="1:14" x14ac:dyDescent="0.3">
      <c r="A1528" s="1" t="s">
        <v>1573</v>
      </c>
      <c r="B1528" s="1" t="s">
        <v>61</v>
      </c>
      <c r="C1528">
        <v>34</v>
      </c>
      <c r="D1528" s="1" t="s">
        <v>16</v>
      </c>
      <c r="E1528" s="1" t="s">
        <v>35</v>
      </c>
      <c r="F1528" s="1" t="s">
        <v>25</v>
      </c>
      <c r="G1528" s="1" t="s">
        <v>19</v>
      </c>
      <c r="H1528" s="1" t="s">
        <v>20</v>
      </c>
      <c r="I1528" s="2">
        <v>45222</v>
      </c>
      <c r="J1528">
        <v>2048</v>
      </c>
      <c r="K1528" s="2">
        <v>45856</v>
      </c>
      <c r="L1528">
        <v>20845</v>
      </c>
      <c r="M1528">
        <v>22893</v>
      </c>
      <c r="N1528">
        <v>0</v>
      </c>
    </row>
    <row r="1529" spans="1:14" x14ac:dyDescent="0.3">
      <c r="A1529" s="1" t="s">
        <v>1574</v>
      </c>
      <c r="B1529" s="1" t="s">
        <v>69</v>
      </c>
      <c r="C1529">
        <v>43</v>
      </c>
      <c r="D1529" s="1" t="s">
        <v>16</v>
      </c>
      <c r="E1529" s="1" t="s">
        <v>17</v>
      </c>
      <c r="F1529" s="1" t="s">
        <v>18</v>
      </c>
      <c r="G1529" s="1" t="s">
        <v>19</v>
      </c>
      <c r="H1529" s="1" t="s">
        <v>20</v>
      </c>
      <c r="I1529" s="2">
        <v>45569</v>
      </c>
      <c r="J1529">
        <v>25316</v>
      </c>
      <c r="K1529" s="2">
        <v>45857</v>
      </c>
      <c r="L1529">
        <v>-2187</v>
      </c>
      <c r="M1529">
        <v>23129</v>
      </c>
      <c r="N1529">
        <v>0</v>
      </c>
    </row>
    <row r="1530" spans="1:14" x14ac:dyDescent="0.3">
      <c r="A1530" s="1" t="s">
        <v>1575</v>
      </c>
      <c r="B1530" s="1" t="s">
        <v>59</v>
      </c>
      <c r="C1530">
        <v>38</v>
      </c>
      <c r="D1530" s="1" t="s">
        <v>16</v>
      </c>
      <c r="E1530" s="1" t="s">
        <v>17</v>
      </c>
      <c r="F1530" s="1" t="s">
        <v>25</v>
      </c>
      <c r="G1530" s="1" t="s">
        <v>19</v>
      </c>
      <c r="H1530" s="1" t="s">
        <v>20</v>
      </c>
      <c r="I1530" s="2">
        <v>44770</v>
      </c>
      <c r="J1530">
        <v>22246</v>
      </c>
      <c r="K1530" s="2">
        <v>45836</v>
      </c>
      <c r="L1530">
        <v>11318</v>
      </c>
      <c r="M1530">
        <v>33564</v>
      </c>
      <c r="N1530">
        <v>0</v>
      </c>
    </row>
    <row r="1531" spans="1:14" x14ac:dyDescent="0.3">
      <c r="A1531" s="1" t="s">
        <v>1576</v>
      </c>
      <c r="B1531" s="1" t="s">
        <v>79</v>
      </c>
      <c r="C1531">
        <v>45</v>
      </c>
      <c r="D1531" s="1" t="s">
        <v>23</v>
      </c>
      <c r="E1531" s="1" t="s">
        <v>35</v>
      </c>
      <c r="F1531" s="1" t="s">
        <v>25</v>
      </c>
      <c r="G1531" s="1" t="s">
        <v>19</v>
      </c>
      <c r="H1531" s="1" t="s">
        <v>20</v>
      </c>
      <c r="I1531" s="2">
        <v>44520</v>
      </c>
      <c r="J1531">
        <v>23823</v>
      </c>
      <c r="K1531" s="2">
        <v>45848</v>
      </c>
      <c r="L1531">
        <v>4422</v>
      </c>
      <c r="M1531">
        <v>28245</v>
      </c>
      <c r="N1531">
        <v>0</v>
      </c>
    </row>
    <row r="1532" spans="1:14" x14ac:dyDescent="0.3">
      <c r="A1532" s="1" t="s">
        <v>1577</v>
      </c>
      <c r="B1532" s="1" t="s">
        <v>27</v>
      </c>
      <c r="C1532">
        <v>63</v>
      </c>
      <c r="D1532" s="1" t="s">
        <v>16</v>
      </c>
      <c r="E1532" s="1" t="s">
        <v>17</v>
      </c>
      <c r="F1532" s="1" t="s">
        <v>18</v>
      </c>
      <c r="G1532" s="1" t="s">
        <v>19</v>
      </c>
      <c r="H1532" s="1" t="s">
        <v>20</v>
      </c>
      <c r="I1532" s="2">
        <v>44528</v>
      </c>
      <c r="J1532">
        <v>15564</v>
      </c>
      <c r="K1532" s="2">
        <v>45852</v>
      </c>
      <c r="L1532">
        <v>10682</v>
      </c>
      <c r="M1532">
        <v>26246</v>
      </c>
      <c r="N1532">
        <v>0</v>
      </c>
    </row>
    <row r="1533" spans="1:14" x14ac:dyDescent="0.3">
      <c r="A1533" s="1" t="s">
        <v>1578</v>
      </c>
      <c r="B1533" s="1" t="s">
        <v>64</v>
      </c>
      <c r="C1533">
        <v>19</v>
      </c>
      <c r="D1533" s="1" t="s">
        <v>16</v>
      </c>
      <c r="E1533" s="1" t="s">
        <v>35</v>
      </c>
      <c r="F1533" s="1" t="s">
        <v>18</v>
      </c>
      <c r="G1533" s="1" t="s">
        <v>19</v>
      </c>
      <c r="H1533" s="1" t="s">
        <v>20</v>
      </c>
      <c r="I1533" s="2">
        <v>45422</v>
      </c>
      <c r="J1533">
        <v>34560</v>
      </c>
      <c r="K1533" s="2">
        <v>45865</v>
      </c>
      <c r="L1533">
        <v>26610</v>
      </c>
      <c r="M1533">
        <v>61170</v>
      </c>
      <c r="N1533">
        <v>0</v>
      </c>
    </row>
    <row r="1534" spans="1:14" x14ac:dyDescent="0.3">
      <c r="A1534" s="1" t="s">
        <v>1579</v>
      </c>
      <c r="B1534" s="1" t="s">
        <v>43</v>
      </c>
      <c r="C1534">
        <v>60</v>
      </c>
      <c r="D1534" s="1" t="s">
        <v>16</v>
      </c>
      <c r="E1534" s="1" t="s">
        <v>35</v>
      </c>
      <c r="F1534" s="1" t="s">
        <v>18</v>
      </c>
      <c r="G1534" s="1" t="s">
        <v>19</v>
      </c>
      <c r="H1534" s="1" t="s">
        <v>20</v>
      </c>
      <c r="I1534" s="2">
        <v>45224</v>
      </c>
      <c r="J1534">
        <v>43110</v>
      </c>
      <c r="K1534" s="2">
        <v>45865</v>
      </c>
      <c r="L1534">
        <v>-3796</v>
      </c>
      <c r="M1534">
        <v>39314</v>
      </c>
      <c r="N1534">
        <v>0</v>
      </c>
    </row>
    <row r="1535" spans="1:14" x14ac:dyDescent="0.3">
      <c r="A1535" s="1" t="s">
        <v>1580</v>
      </c>
      <c r="B1535" s="1" t="s">
        <v>75</v>
      </c>
      <c r="C1535">
        <v>18</v>
      </c>
      <c r="D1535" s="1" t="s">
        <v>16</v>
      </c>
      <c r="E1535" s="1" t="s">
        <v>17</v>
      </c>
      <c r="F1535" s="1" t="s">
        <v>18</v>
      </c>
      <c r="G1535" s="1" t="s">
        <v>19</v>
      </c>
      <c r="H1535" s="1" t="s">
        <v>20</v>
      </c>
      <c r="I1535" s="2">
        <v>44542</v>
      </c>
      <c r="J1535">
        <v>2607</v>
      </c>
      <c r="K1535" s="2">
        <v>45863</v>
      </c>
      <c r="L1535">
        <v>-8736</v>
      </c>
      <c r="M1535">
        <v>-6129</v>
      </c>
      <c r="N1535">
        <v>0</v>
      </c>
    </row>
    <row r="1536" spans="1:14" x14ac:dyDescent="0.3">
      <c r="A1536" s="1" t="s">
        <v>1581</v>
      </c>
      <c r="B1536" s="1" t="s">
        <v>56</v>
      </c>
      <c r="C1536">
        <v>68</v>
      </c>
      <c r="D1536" s="1" t="s">
        <v>16</v>
      </c>
      <c r="E1536" s="1" t="s">
        <v>24</v>
      </c>
      <c r="F1536" s="1" t="s">
        <v>18</v>
      </c>
      <c r="G1536" s="1" t="s">
        <v>19</v>
      </c>
      <c r="H1536" s="1" t="s">
        <v>20</v>
      </c>
      <c r="I1536" s="2">
        <v>44439</v>
      </c>
      <c r="J1536">
        <v>12724</v>
      </c>
      <c r="K1536" s="2">
        <v>45798</v>
      </c>
      <c r="L1536">
        <v>6174</v>
      </c>
      <c r="M1536">
        <v>18898</v>
      </c>
      <c r="N1536">
        <v>0</v>
      </c>
    </row>
    <row r="1537" spans="1:14" x14ac:dyDescent="0.3">
      <c r="A1537" s="1" t="s">
        <v>1582</v>
      </c>
      <c r="B1537" s="1" t="s">
        <v>40</v>
      </c>
      <c r="C1537">
        <v>53</v>
      </c>
      <c r="D1537" s="1" t="s">
        <v>16</v>
      </c>
      <c r="E1537" s="1" t="s">
        <v>17</v>
      </c>
      <c r="F1537" s="1" t="s">
        <v>18</v>
      </c>
      <c r="G1537" s="1" t="s">
        <v>19</v>
      </c>
      <c r="H1537" s="1" t="s">
        <v>20</v>
      </c>
      <c r="I1537" s="2">
        <v>44398</v>
      </c>
      <c r="J1537">
        <v>10358</v>
      </c>
      <c r="K1537" s="2">
        <v>45840</v>
      </c>
      <c r="L1537">
        <v>4980</v>
      </c>
      <c r="M1537">
        <v>15338</v>
      </c>
      <c r="N1537">
        <v>0</v>
      </c>
    </row>
    <row r="1538" spans="1:14" x14ac:dyDescent="0.3">
      <c r="A1538" s="1" t="s">
        <v>1583</v>
      </c>
      <c r="B1538" s="1" t="s">
        <v>22</v>
      </c>
      <c r="C1538">
        <v>68</v>
      </c>
      <c r="D1538" s="1" t="s">
        <v>23</v>
      </c>
      <c r="E1538" s="1" t="s">
        <v>24</v>
      </c>
      <c r="F1538" s="1" t="s">
        <v>18</v>
      </c>
      <c r="G1538" s="1" t="s">
        <v>19</v>
      </c>
      <c r="H1538" s="1" t="s">
        <v>20</v>
      </c>
      <c r="I1538" s="2">
        <v>45247</v>
      </c>
      <c r="J1538">
        <v>7535</v>
      </c>
      <c r="K1538" s="2">
        <v>45866</v>
      </c>
      <c r="L1538">
        <v>8797</v>
      </c>
      <c r="M1538">
        <v>16332</v>
      </c>
      <c r="N1538">
        <v>0</v>
      </c>
    </row>
    <row r="1539" spans="1:14" x14ac:dyDescent="0.3">
      <c r="A1539" s="1" t="s">
        <v>1584</v>
      </c>
      <c r="B1539" s="1" t="s">
        <v>56</v>
      </c>
      <c r="C1539">
        <v>43</v>
      </c>
      <c r="D1539" s="1" t="s">
        <v>30</v>
      </c>
      <c r="E1539" s="1" t="s">
        <v>17</v>
      </c>
      <c r="F1539" s="1" t="s">
        <v>18</v>
      </c>
      <c r="G1539" s="1" t="s">
        <v>19</v>
      </c>
      <c r="H1539" s="1" t="s">
        <v>20</v>
      </c>
      <c r="I1539" s="2">
        <v>44197</v>
      </c>
      <c r="J1539">
        <v>8480</v>
      </c>
      <c r="K1539" s="2">
        <v>45840</v>
      </c>
      <c r="L1539">
        <v>15795</v>
      </c>
      <c r="M1539">
        <v>24275</v>
      </c>
      <c r="N1539">
        <v>0</v>
      </c>
    </row>
    <row r="1540" spans="1:14" x14ac:dyDescent="0.3">
      <c r="A1540" s="1" t="s">
        <v>1585</v>
      </c>
      <c r="B1540" s="1" t="s">
        <v>43</v>
      </c>
      <c r="C1540">
        <v>46</v>
      </c>
      <c r="D1540" s="1" t="s">
        <v>16</v>
      </c>
      <c r="E1540" s="1" t="s">
        <v>17</v>
      </c>
      <c r="F1540" s="1" t="s">
        <v>18</v>
      </c>
      <c r="G1540" s="1" t="s">
        <v>19</v>
      </c>
      <c r="H1540" s="1" t="s">
        <v>20</v>
      </c>
      <c r="I1540" s="2">
        <v>44227</v>
      </c>
      <c r="J1540">
        <v>16103</v>
      </c>
      <c r="K1540" s="2">
        <v>45763</v>
      </c>
      <c r="L1540">
        <v>408</v>
      </c>
      <c r="M1540">
        <v>16511</v>
      </c>
      <c r="N1540">
        <v>0</v>
      </c>
    </row>
    <row r="1541" spans="1:14" x14ac:dyDescent="0.3">
      <c r="A1541" s="1" t="s">
        <v>1586</v>
      </c>
      <c r="B1541" s="1" t="s">
        <v>61</v>
      </c>
      <c r="C1541">
        <v>38</v>
      </c>
      <c r="D1541" s="1" t="s">
        <v>23</v>
      </c>
      <c r="E1541" s="1" t="s">
        <v>24</v>
      </c>
      <c r="F1541" s="1" t="s">
        <v>18</v>
      </c>
      <c r="G1541" s="1" t="s">
        <v>19</v>
      </c>
      <c r="H1541" s="1" t="s">
        <v>20</v>
      </c>
      <c r="I1541" s="2">
        <v>44848</v>
      </c>
      <c r="J1541">
        <v>3653</v>
      </c>
      <c r="K1541" s="2">
        <v>45868</v>
      </c>
      <c r="L1541">
        <v>1556</v>
      </c>
      <c r="M1541">
        <v>5209</v>
      </c>
      <c r="N1541">
        <v>0</v>
      </c>
    </row>
    <row r="1542" spans="1:14" x14ac:dyDescent="0.3">
      <c r="A1542" s="1" t="s">
        <v>1587</v>
      </c>
      <c r="B1542" s="1" t="s">
        <v>87</v>
      </c>
      <c r="C1542">
        <v>28</v>
      </c>
      <c r="D1542" s="1" t="s">
        <v>16</v>
      </c>
      <c r="E1542" s="1" t="s">
        <v>24</v>
      </c>
      <c r="F1542" s="1" t="s">
        <v>25</v>
      </c>
      <c r="G1542" s="1" t="s">
        <v>19</v>
      </c>
      <c r="H1542" s="1" t="s">
        <v>20</v>
      </c>
      <c r="I1542" s="2">
        <v>45353</v>
      </c>
      <c r="J1542">
        <v>26124</v>
      </c>
      <c r="K1542" s="2">
        <v>45859</v>
      </c>
      <c r="L1542">
        <v>18299</v>
      </c>
      <c r="M1542">
        <v>44423</v>
      </c>
      <c r="N1542">
        <v>0</v>
      </c>
    </row>
    <row r="1543" spans="1:14" x14ac:dyDescent="0.3">
      <c r="A1543" s="1" t="s">
        <v>1588</v>
      </c>
      <c r="B1543" s="1" t="s">
        <v>32</v>
      </c>
      <c r="C1543">
        <v>57</v>
      </c>
      <c r="D1543" s="1" t="s">
        <v>23</v>
      </c>
      <c r="E1543" s="1" t="s">
        <v>35</v>
      </c>
      <c r="F1543" s="1" t="s">
        <v>25</v>
      </c>
      <c r="G1543" s="1" t="s">
        <v>19</v>
      </c>
      <c r="H1543" s="1" t="s">
        <v>20</v>
      </c>
      <c r="I1543" s="2">
        <v>45359</v>
      </c>
      <c r="J1543">
        <v>9236</v>
      </c>
      <c r="K1543" s="2">
        <v>45864</v>
      </c>
      <c r="L1543">
        <v>643</v>
      </c>
      <c r="M1543">
        <v>9879</v>
      </c>
      <c r="N1543">
        <v>0</v>
      </c>
    </row>
    <row r="1544" spans="1:14" x14ac:dyDescent="0.3">
      <c r="A1544" s="1" t="s">
        <v>1589</v>
      </c>
      <c r="B1544" s="1" t="s">
        <v>79</v>
      </c>
      <c r="C1544">
        <v>28</v>
      </c>
      <c r="D1544" s="1" t="s">
        <v>16</v>
      </c>
      <c r="E1544" s="1" t="s">
        <v>38</v>
      </c>
      <c r="F1544" s="1" t="s">
        <v>25</v>
      </c>
      <c r="G1544" s="1" t="s">
        <v>19</v>
      </c>
      <c r="H1544" s="1" t="s">
        <v>20</v>
      </c>
      <c r="I1544" s="2">
        <v>44916</v>
      </c>
      <c r="J1544">
        <v>32037</v>
      </c>
      <c r="K1544" s="2">
        <v>45842</v>
      </c>
      <c r="L1544">
        <v>-5192</v>
      </c>
      <c r="M1544">
        <v>26845</v>
      </c>
      <c r="N1544">
        <v>0</v>
      </c>
    </row>
    <row r="1545" spans="1:14" x14ac:dyDescent="0.3">
      <c r="A1545" s="1" t="s">
        <v>1590</v>
      </c>
      <c r="B1545" s="1" t="s">
        <v>27</v>
      </c>
      <c r="C1545">
        <v>53</v>
      </c>
      <c r="D1545" s="1" t="s">
        <v>16</v>
      </c>
      <c r="E1545" s="1" t="s">
        <v>38</v>
      </c>
      <c r="F1545" s="1" t="s">
        <v>18</v>
      </c>
      <c r="G1545" s="1" t="s">
        <v>19</v>
      </c>
      <c r="H1545" s="1" t="s">
        <v>20</v>
      </c>
      <c r="I1545" s="2">
        <v>45353</v>
      </c>
      <c r="J1545">
        <v>7187</v>
      </c>
      <c r="K1545" s="2">
        <v>45860</v>
      </c>
      <c r="L1545">
        <v>1718</v>
      </c>
      <c r="M1545">
        <v>8905</v>
      </c>
      <c r="N1545">
        <v>0</v>
      </c>
    </row>
    <row r="1546" spans="1:14" x14ac:dyDescent="0.3">
      <c r="A1546" s="1" t="s">
        <v>1591</v>
      </c>
      <c r="B1546" s="1" t="s">
        <v>75</v>
      </c>
      <c r="C1546">
        <v>66</v>
      </c>
      <c r="D1546" s="1" t="s">
        <v>23</v>
      </c>
      <c r="E1546" s="1" t="s">
        <v>24</v>
      </c>
      <c r="F1546" s="1" t="s">
        <v>18</v>
      </c>
      <c r="G1546" s="1" t="s">
        <v>19</v>
      </c>
      <c r="H1546" s="1" t="s">
        <v>20</v>
      </c>
      <c r="I1546" s="2">
        <v>45068</v>
      </c>
      <c r="J1546">
        <v>6808</v>
      </c>
      <c r="K1546" s="2">
        <v>45867</v>
      </c>
      <c r="L1546">
        <v>23188</v>
      </c>
      <c r="M1546">
        <v>29996</v>
      </c>
      <c r="N1546">
        <v>0</v>
      </c>
    </row>
    <row r="1547" spans="1:14" x14ac:dyDescent="0.3">
      <c r="A1547" s="1" t="s">
        <v>1592</v>
      </c>
      <c r="B1547" s="1" t="s">
        <v>27</v>
      </c>
      <c r="C1547">
        <v>56</v>
      </c>
      <c r="D1547" s="1" t="s">
        <v>30</v>
      </c>
      <c r="E1547" s="1" t="s">
        <v>38</v>
      </c>
      <c r="F1547" s="1" t="s">
        <v>18</v>
      </c>
      <c r="G1547" s="1" t="s">
        <v>41</v>
      </c>
      <c r="H1547" s="1" t="s">
        <v>20</v>
      </c>
      <c r="I1547" s="2">
        <v>45831</v>
      </c>
      <c r="J1547">
        <v>5190</v>
      </c>
      <c r="K1547" s="2">
        <v>45869</v>
      </c>
      <c r="L1547">
        <v>8568</v>
      </c>
      <c r="M1547">
        <v>13758</v>
      </c>
      <c r="N1547">
        <v>0</v>
      </c>
    </row>
    <row r="1548" spans="1:14" x14ac:dyDescent="0.3">
      <c r="A1548" s="1" t="s">
        <v>1593</v>
      </c>
      <c r="B1548" s="1" t="s">
        <v>29</v>
      </c>
      <c r="C1548">
        <v>57</v>
      </c>
      <c r="D1548" s="1" t="s">
        <v>16</v>
      </c>
      <c r="E1548" s="1" t="s">
        <v>24</v>
      </c>
      <c r="F1548" s="1" t="s">
        <v>18</v>
      </c>
      <c r="G1548" s="1" t="s">
        <v>19</v>
      </c>
      <c r="H1548" s="1" t="s">
        <v>20</v>
      </c>
      <c r="I1548" s="2">
        <v>44468</v>
      </c>
      <c r="J1548">
        <v>7227</v>
      </c>
      <c r="K1548" s="2">
        <v>45823</v>
      </c>
      <c r="L1548">
        <v>-2997</v>
      </c>
      <c r="M1548">
        <v>4230</v>
      </c>
      <c r="N1548">
        <v>0</v>
      </c>
    </row>
    <row r="1549" spans="1:14" x14ac:dyDescent="0.3">
      <c r="A1549" s="1" t="s">
        <v>1594</v>
      </c>
      <c r="B1549" s="1" t="s">
        <v>56</v>
      </c>
      <c r="C1549">
        <v>52</v>
      </c>
      <c r="D1549" s="1" t="s">
        <v>23</v>
      </c>
      <c r="E1549" s="1" t="s">
        <v>38</v>
      </c>
      <c r="F1549" s="1" t="s">
        <v>18</v>
      </c>
      <c r="G1549" s="1" t="s">
        <v>19</v>
      </c>
      <c r="H1549" s="1" t="s">
        <v>20</v>
      </c>
      <c r="I1549" s="2">
        <v>45201</v>
      </c>
      <c r="J1549">
        <v>5994</v>
      </c>
      <c r="K1549" s="2">
        <v>45868</v>
      </c>
      <c r="L1549">
        <v>42585</v>
      </c>
      <c r="M1549">
        <v>48579</v>
      </c>
      <c r="N1549">
        <v>0</v>
      </c>
    </row>
    <row r="1550" spans="1:14" x14ac:dyDescent="0.3">
      <c r="A1550" s="1" t="s">
        <v>1595</v>
      </c>
      <c r="B1550" s="1" t="s">
        <v>15</v>
      </c>
      <c r="C1550">
        <v>51</v>
      </c>
      <c r="D1550" s="1" t="s">
        <v>16</v>
      </c>
      <c r="E1550" s="1" t="s">
        <v>35</v>
      </c>
      <c r="F1550" s="1" t="s">
        <v>25</v>
      </c>
      <c r="G1550" s="1" t="s">
        <v>19</v>
      </c>
      <c r="H1550" s="1" t="s">
        <v>20</v>
      </c>
      <c r="I1550" s="2">
        <v>45018</v>
      </c>
      <c r="J1550">
        <v>20635</v>
      </c>
      <c r="K1550" s="2">
        <v>45827</v>
      </c>
      <c r="L1550">
        <v>-3130</v>
      </c>
      <c r="M1550">
        <v>17505</v>
      </c>
      <c r="N1550">
        <v>0</v>
      </c>
    </row>
    <row r="1551" spans="1:14" x14ac:dyDescent="0.3">
      <c r="A1551" s="1" t="s">
        <v>1596</v>
      </c>
      <c r="B1551" s="1" t="s">
        <v>29</v>
      </c>
      <c r="C1551">
        <v>64</v>
      </c>
      <c r="D1551" s="1" t="s">
        <v>16</v>
      </c>
      <c r="E1551" s="1" t="s">
        <v>24</v>
      </c>
      <c r="F1551" s="1" t="s">
        <v>18</v>
      </c>
      <c r="G1551" s="1" t="s">
        <v>19</v>
      </c>
      <c r="H1551" s="1" t="s">
        <v>20</v>
      </c>
      <c r="I1551" s="2">
        <v>44522</v>
      </c>
      <c r="J1551">
        <v>38067</v>
      </c>
      <c r="K1551" s="2">
        <v>45841</v>
      </c>
      <c r="L1551">
        <v>17715</v>
      </c>
      <c r="M1551">
        <v>55782</v>
      </c>
      <c r="N1551">
        <v>0</v>
      </c>
    </row>
    <row r="1552" spans="1:14" x14ac:dyDescent="0.3">
      <c r="A1552" s="1" t="s">
        <v>1597</v>
      </c>
      <c r="B1552" s="1" t="s">
        <v>59</v>
      </c>
      <c r="C1552">
        <v>41</v>
      </c>
      <c r="D1552" s="1" t="s">
        <v>23</v>
      </c>
      <c r="E1552" s="1" t="s">
        <v>38</v>
      </c>
      <c r="F1552" s="1" t="s">
        <v>18</v>
      </c>
      <c r="G1552" s="1" t="s">
        <v>19</v>
      </c>
      <c r="H1552" s="1" t="s">
        <v>20</v>
      </c>
      <c r="I1552" s="2">
        <v>45451</v>
      </c>
      <c r="J1552">
        <v>19690</v>
      </c>
      <c r="K1552" s="2">
        <v>45834</v>
      </c>
      <c r="L1552">
        <v>15279</v>
      </c>
      <c r="M1552">
        <v>34969</v>
      </c>
      <c r="N1552">
        <v>0</v>
      </c>
    </row>
    <row r="1553" spans="1:14" x14ac:dyDescent="0.3">
      <c r="A1553" s="1" t="s">
        <v>1598</v>
      </c>
      <c r="B1553" s="1" t="s">
        <v>75</v>
      </c>
      <c r="C1553">
        <v>39</v>
      </c>
      <c r="D1553" s="1" t="s">
        <v>23</v>
      </c>
      <c r="E1553" s="1" t="s">
        <v>38</v>
      </c>
      <c r="F1553" s="1" t="s">
        <v>25</v>
      </c>
      <c r="G1553" s="1" t="s">
        <v>19</v>
      </c>
      <c r="H1553" s="1" t="s">
        <v>20</v>
      </c>
      <c r="I1553" s="2">
        <v>44657</v>
      </c>
      <c r="J1553">
        <v>12364</v>
      </c>
      <c r="K1553" s="2">
        <v>45857</v>
      </c>
      <c r="L1553">
        <v>891</v>
      </c>
      <c r="M1553">
        <v>13255</v>
      </c>
      <c r="N1553">
        <v>0</v>
      </c>
    </row>
    <row r="1554" spans="1:14" x14ac:dyDescent="0.3">
      <c r="A1554" s="1" t="s">
        <v>1599</v>
      </c>
      <c r="B1554" s="1" t="s">
        <v>75</v>
      </c>
      <c r="C1554">
        <v>22</v>
      </c>
      <c r="D1554" s="1" t="s">
        <v>23</v>
      </c>
      <c r="E1554" s="1" t="s">
        <v>35</v>
      </c>
      <c r="F1554" s="1" t="s">
        <v>18</v>
      </c>
      <c r="G1554" s="1" t="s">
        <v>19</v>
      </c>
      <c r="H1554" s="1" t="s">
        <v>20</v>
      </c>
      <c r="I1554" s="2">
        <v>44835</v>
      </c>
      <c r="J1554">
        <v>21740</v>
      </c>
      <c r="K1554" s="2">
        <v>45823</v>
      </c>
      <c r="L1554">
        <v>9697</v>
      </c>
      <c r="M1554">
        <v>31437</v>
      </c>
      <c r="N1554">
        <v>0</v>
      </c>
    </row>
    <row r="1555" spans="1:14" x14ac:dyDescent="0.3">
      <c r="A1555" s="1" t="s">
        <v>1600</v>
      </c>
      <c r="B1555" s="1" t="s">
        <v>75</v>
      </c>
      <c r="C1555">
        <v>50</v>
      </c>
      <c r="D1555" s="1" t="s">
        <v>23</v>
      </c>
      <c r="E1555" s="1" t="s">
        <v>38</v>
      </c>
      <c r="F1555" s="1" t="s">
        <v>18</v>
      </c>
      <c r="G1555" s="1" t="s">
        <v>19</v>
      </c>
      <c r="H1555" s="1" t="s">
        <v>20</v>
      </c>
      <c r="I1555" s="2">
        <v>44824</v>
      </c>
      <c r="J1555">
        <v>12882</v>
      </c>
      <c r="K1555" s="2">
        <v>45835</v>
      </c>
      <c r="L1555">
        <v>18178</v>
      </c>
      <c r="M1555">
        <v>31060</v>
      </c>
      <c r="N1555">
        <v>0</v>
      </c>
    </row>
    <row r="1556" spans="1:14" x14ac:dyDescent="0.3">
      <c r="A1556" s="1" t="s">
        <v>1601</v>
      </c>
      <c r="B1556" s="1" t="s">
        <v>34</v>
      </c>
      <c r="C1556">
        <v>53</v>
      </c>
      <c r="D1556" s="1" t="s">
        <v>16</v>
      </c>
      <c r="E1556" s="1" t="s">
        <v>24</v>
      </c>
      <c r="F1556" s="1" t="s">
        <v>18</v>
      </c>
      <c r="G1556" s="1" t="s">
        <v>19</v>
      </c>
      <c r="H1556" s="1" t="s">
        <v>20</v>
      </c>
      <c r="I1556" s="2">
        <v>44605</v>
      </c>
      <c r="J1556">
        <v>13747</v>
      </c>
      <c r="K1556" s="2">
        <v>45795</v>
      </c>
      <c r="L1556">
        <v>3417</v>
      </c>
      <c r="M1556">
        <v>17164</v>
      </c>
      <c r="N1556">
        <v>0</v>
      </c>
    </row>
    <row r="1557" spans="1:14" x14ac:dyDescent="0.3">
      <c r="A1557" s="1" t="s">
        <v>1602</v>
      </c>
      <c r="B1557" s="1" t="s">
        <v>71</v>
      </c>
      <c r="C1557">
        <v>64</v>
      </c>
      <c r="D1557" s="1" t="s">
        <v>16</v>
      </c>
      <c r="E1557" s="1" t="s">
        <v>24</v>
      </c>
      <c r="F1557" s="1" t="s">
        <v>18</v>
      </c>
      <c r="G1557" s="1" t="s">
        <v>19</v>
      </c>
      <c r="H1557" s="1" t="s">
        <v>20</v>
      </c>
      <c r="I1557" s="2">
        <v>44917</v>
      </c>
      <c r="J1557">
        <v>9832</v>
      </c>
      <c r="K1557" s="2">
        <v>45817</v>
      </c>
      <c r="L1557">
        <v>-16203</v>
      </c>
      <c r="M1557">
        <v>-6371</v>
      </c>
      <c r="N1557">
        <v>0</v>
      </c>
    </row>
    <row r="1558" spans="1:14" x14ac:dyDescent="0.3">
      <c r="A1558" s="1" t="s">
        <v>1603</v>
      </c>
      <c r="B1558" s="1" t="s">
        <v>40</v>
      </c>
      <c r="C1558">
        <v>37</v>
      </c>
      <c r="D1558" s="1" t="s">
        <v>23</v>
      </c>
      <c r="E1558" s="1" t="s">
        <v>17</v>
      </c>
      <c r="F1558" s="1" t="s">
        <v>25</v>
      </c>
      <c r="G1558" s="1" t="s">
        <v>19</v>
      </c>
      <c r="H1558" s="1" t="s">
        <v>20</v>
      </c>
      <c r="I1558" s="2">
        <v>44988</v>
      </c>
      <c r="J1558">
        <v>30841</v>
      </c>
      <c r="K1558" s="2">
        <v>45816</v>
      </c>
      <c r="L1558">
        <v>25930</v>
      </c>
      <c r="M1558">
        <v>56771</v>
      </c>
      <c r="N1558">
        <v>0</v>
      </c>
    </row>
    <row r="1559" spans="1:14" x14ac:dyDescent="0.3">
      <c r="A1559" s="1" t="s">
        <v>1604</v>
      </c>
      <c r="B1559" s="1" t="s">
        <v>43</v>
      </c>
      <c r="C1559">
        <v>36</v>
      </c>
      <c r="D1559" s="1" t="s">
        <v>16</v>
      </c>
      <c r="E1559" s="1" t="s">
        <v>38</v>
      </c>
      <c r="F1559" s="1" t="s">
        <v>18</v>
      </c>
      <c r="G1559" s="1" t="s">
        <v>19</v>
      </c>
      <c r="H1559" s="1" t="s">
        <v>20</v>
      </c>
      <c r="I1559" s="2">
        <v>45442</v>
      </c>
      <c r="J1559">
        <v>1027</v>
      </c>
      <c r="K1559" s="2">
        <v>45847</v>
      </c>
      <c r="L1559">
        <v>-20447</v>
      </c>
      <c r="M1559">
        <v>-19420</v>
      </c>
      <c r="N1559">
        <v>0</v>
      </c>
    </row>
    <row r="1560" spans="1:14" x14ac:dyDescent="0.3">
      <c r="A1560" s="1" t="s">
        <v>1605</v>
      </c>
      <c r="B1560" s="1" t="s">
        <v>59</v>
      </c>
      <c r="C1560">
        <v>52</v>
      </c>
      <c r="D1560" s="1" t="s">
        <v>23</v>
      </c>
      <c r="E1560" s="1" t="s">
        <v>17</v>
      </c>
      <c r="F1560" s="1" t="s">
        <v>18</v>
      </c>
      <c r="G1560" s="1" t="s">
        <v>19</v>
      </c>
      <c r="H1560" s="1" t="s">
        <v>20</v>
      </c>
      <c r="I1560" s="2">
        <v>45476</v>
      </c>
      <c r="J1560">
        <v>1583</v>
      </c>
      <c r="K1560" s="2">
        <v>45868</v>
      </c>
      <c r="L1560">
        <v>11287</v>
      </c>
      <c r="M1560">
        <v>12870</v>
      </c>
      <c r="N1560">
        <v>0</v>
      </c>
    </row>
    <row r="1561" spans="1:14" x14ac:dyDescent="0.3">
      <c r="A1561" s="1" t="s">
        <v>1606</v>
      </c>
      <c r="B1561" s="1" t="s">
        <v>79</v>
      </c>
      <c r="C1561">
        <v>69</v>
      </c>
      <c r="D1561" s="1" t="s">
        <v>30</v>
      </c>
      <c r="E1561" s="1" t="s">
        <v>38</v>
      </c>
      <c r="F1561" s="1" t="s">
        <v>25</v>
      </c>
      <c r="G1561" s="1" t="s">
        <v>19</v>
      </c>
      <c r="H1561" s="1" t="s">
        <v>20</v>
      </c>
      <c r="I1561" s="2">
        <v>44462</v>
      </c>
      <c r="J1561">
        <v>37318</v>
      </c>
      <c r="K1561" s="2">
        <v>45705</v>
      </c>
      <c r="L1561">
        <v>376</v>
      </c>
      <c r="M1561">
        <v>37694</v>
      </c>
      <c r="N1561">
        <v>0</v>
      </c>
    </row>
    <row r="1562" spans="1:14" x14ac:dyDescent="0.3">
      <c r="A1562" s="1" t="s">
        <v>1607</v>
      </c>
      <c r="B1562" s="1" t="s">
        <v>37</v>
      </c>
      <c r="C1562">
        <v>60</v>
      </c>
      <c r="D1562" s="1" t="s">
        <v>30</v>
      </c>
      <c r="E1562" s="1" t="s">
        <v>17</v>
      </c>
      <c r="F1562" s="1" t="s">
        <v>25</v>
      </c>
      <c r="G1562" s="1" t="s">
        <v>19</v>
      </c>
      <c r="H1562" s="1" t="s">
        <v>20</v>
      </c>
      <c r="I1562" s="2">
        <v>45188</v>
      </c>
      <c r="J1562">
        <v>10976</v>
      </c>
      <c r="K1562" s="2">
        <v>45852</v>
      </c>
      <c r="L1562">
        <v>7542</v>
      </c>
      <c r="M1562">
        <v>18518</v>
      </c>
      <c r="N1562">
        <v>0</v>
      </c>
    </row>
    <row r="1563" spans="1:14" x14ac:dyDescent="0.3">
      <c r="A1563" s="1" t="s">
        <v>1608</v>
      </c>
      <c r="B1563" s="1" t="s">
        <v>69</v>
      </c>
      <c r="C1563">
        <v>34</v>
      </c>
      <c r="D1563" s="1" t="s">
        <v>23</v>
      </c>
      <c r="E1563" s="1" t="s">
        <v>17</v>
      </c>
      <c r="F1563" s="1" t="s">
        <v>25</v>
      </c>
      <c r="G1563" s="1" t="s">
        <v>19</v>
      </c>
      <c r="H1563" s="1" t="s">
        <v>20</v>
      </c>
      <c r="I1563" s="2">
        <v>45696</v>
      </c>
      <c r="J1563">
        <v>33431</v>
      </c>
      <c r="K1563" s="2">
        <v>45855</v>
      </c>
      <c r="L1563">
        <v>12544</v>
      </c>
      <c r="M1563">
        <v>45975</v>
      </c>
      <c r="N1563">
        <v>0</v>
      </c>
    </row>
    <row r="1564" spans="1:14" x14ac:dyDescent="0.3">
      <c r="A1564" s="1" t="s">
        <v>1609</v>
      </c>
      <c r="B1564" s="1" t="s">
        <v>75</v>
      </c>
      <c r="C1564">
        <v>62</v>
      </c>
      <c r="D1564" s="1" t="s">
        <v>16</v>
      </c>
      <c r="E1564" s="1" t="s">
        <v>24</v>
      </c>
      <c r="F1564" s="1" t="s">
        <v>25</v>
      </c>
      <c r="G1564" s="1" t="s">
        <v>19</v>
      </c>
      <c r="H1564" s="1" t="s">
        <v>20</v>
      </c>
      <c r="I1564" s="2">
        <v>44378</v>
      </c>
      <c r="J1564">
        <v>7273</v>
      </c>
      <c r="K1564" s="2">
        <v>45829</v>
      </c>
      <c r="L1564">
        <v>4105</v>
      </c>
      <c r="M1564">
        <v>11378</v>
      </c>
      <c r="N1564">
        <v>0</v>
      </c>
    </row>
    <row r="1565" spans="1:14" x14ac:dyDescent="0.3">
      <c r="A1565" s="1" t="s">
        <v>1610</v>
      </c>
      <c r="B1565" s="1" t="s">
        <v>52</v>
      </c>
      <c r="C1565">
        <v>60</v>
      </c>
      <c r="D1565" s="1" t="s">
        <v>16</v>
      </c>
      <c r="E1565" s="1" t="s">
        <v>38</v>
      </c>
      <c r="F1565" s="1" t="s">
        <v>18</v>
      </c>
      <c r="G1565" s="1" t="s">
        <v>19</v>
      </c>
      <c r="H1565" s="1" t="s">
        <v>20</v>
      </c>
      <c r="I1565" s="2">
        <v>44988</v>
      </c>
      <c r="J1565">
        <v>71271</v>
      </c>
      <c r="K1565" s="2">
        <v>45849</v>
      </c>
      <c r="L1565">
        <v>-457</v>
      </c>
      <c r="M1565">
        <v>70814</v>
      </c>
      <c r="N1565">
        <v>0</v>
      </c>
    </row>
    <row r="1566" spans="1:14" x14ac:dyDescent="0.3">
      <c r="A1566" s="1" t="s">
        <v>1611</v>
      </c>
      <c r="B1566" s="1" t="s">
        <v>52</v>
      </c>
      <c r="C1566">
        <v>51</v>
      </c>
      <c r="D1566" s="1" t="s">
        <v>23</v>
      </c>
      <c r="E1566" s="1" t="s">
        <v>17</v>
      </c>
      <c r="F1566" s="1" t="s">
        <v>18</v>
      </c>
      <c r="G1566" s="1" t="s">
        <v>19</v>
      </c>
      <c r="H1566" s="1" t="s">
        <v>20</v>
      </c>
      <c r="I1566" s="2">
        <v>45452</v>
      </c>
      <c r="J1566">
        <v>11655</v>
      </c>
      <c r="K1566" s="2">
        <v>45850</v>
      </c>
      <c r="L1566">
        <v>-9492</v>
      </c>
      <c r="M1566">
        <v>2163</v>
      </c>
      <c r="N1566">
        <v>0</v>
      </c>
    </row>
    <row r="1567" spans="1:14" x14ac:dyDescent="0.3">
      <c r="A1567" s="1" t="s">
        <v>1612</v>
      </c>
      <c r="B1567" s="1" t="s">
        <v>15</v>
      </c>
      <c r="C1567">
        <v>26</v>
      </c>
      <c r="D1567" s="1" t="s">
        <v>23</v>
      </c>
      <c r="E1567" s="1" t="s">
        <v>24</v>
      </c>
      <c r="F1567" s="1" t="s">
        <v>18</v>
      </c>
      <c r="G1567" s="1" t="s">
        <v>19</v>
      </c>
      <c r="H1567" s="1" t="s">
        <v>20</v>
      </c>
      <c r="I1567" s="2">
        <v>45220</v>
      </c>
      <c r="J1567">
        <v>20939</v>
      </c>
      <c r="K1567" s="2">
        <v>45863</v>
      </c>
      <c r="L1567">
        <v>22635</v>
      </c>
      <c r="M1567">
        <v>43574</v>
      </c>
      <c r="N1567">
        <v>0</v>
      </c>
    </row>
    <row r="1568" spans="1:14" x14ac:dyDescent="0.3">
      <c r="A1568" s="1" t="s">
        <v>1613</v>
      </c>
      <c r="B1568" s="1" t="s">
        <v>56</v>
      </c>
      <c r="C1568">
        <v>43</v>
      </c>
      <c r="D1568" s="1" t="s">
        <v>16</v>
      </c>
      <c r="E1568" s="1" t="s">
        <v>24</v>
      </c>
      <c r="F1568" s="1" t="s">
        <v>18</v>
      </c>
      <c r="G1568" s="1" t="s">
        <v>19</v>
      </c>
      <c r="H1568" s="1" t="s">
        <v>20</v>
      </c>
      <c r="I1568" s="2">
        <v>44365</v>
      </c>
      <c r="J1568">
        <v>8543</v>
      </c>
      <c r="K1568" s="2">
        <v>45864</v>
      </c>
      <c r="L1568">
        <v>15712</v>
      </c>
      <c r="M1568">
        <v>24255</v>
      </c>
      <c r="N1568">
        <v>0</v>
      </c>
    </row>
    <row r="1569" spans="1:14" x14ac:dyDescent="0.3">
      <c r="A1569" s="1" t="s">
        <v>1614</v>
      </c>
      <c r="B1569" s="1" t="s">
        <v>37</v>
      </c>
      <c r="C1569">
        <v>19</v>
      </c>
      <c r="D1569" s="1" t="s">
        <v>16</v>
      </c>
      <c r="E1569" s="1" t="s">
        <v>17</v>
      </c>
      <c r="F1569" s="1" t="s">
        <v>25</v>
      </c>
      <c r="G1569" s="1" t="s">
        <v>19</v>
      </c>
      <c r="H1569" s="1" t="s">
        <v>20</v>
      </c>
      <c r="I1569" s="2">
        <v>44860</v>
      </c>
      <c r="J1569">
        <v>5447</v>
      </c>
      <c r="K1569" s="2">
        <v>45862</v>
      </c>
      <c r="L1569">
        <v>20666</v>
      </c>
      <c r="M1569">
        <v>26113</v>
      </c>
      <c r="N1569">
        <v>0</v>
      </c>
    </row>
    <row r="1570" spans="1:14" x14ac:dyDescent="0.3">
      <c r="A1570" s="1" t="s">
        <v>1615</v>
      </c>
      <c r="B1570" s="1" t="s">
        <v>27</v>
      </c>
      <c r="C1570">
        <v>26</v>
      </c>
      <c r="D1570" s="1" t="s">
        <v>30</v>
      </c>
      <c r="E1570" s="1" t="s">
        <v>17</v>
      </c>
      <c r="F1570" s="1" t="s">
        <v>25</v>
      </c>
      <c r="G1570" s="1" t="s">
        <v>19</v>
      </c>
      <c r="H1570" s="1" t="s">
        <v>20</v>
      </c>
      <c r="I1570" s="2">
        <v>45045</v>
      </c>
      <c r="J1570">
        <v>2343</v>
      </c>
      <c r="K1570" s="2">
        <v>45820</v>
      </c>
      <c r="L1570">
        <v>3295</v>
      </c>
      <c r="M1570">
        <v>5638</v>
      </c>
      <c r="N1570">
        <v>0</v>
      </c>
    </row>
    <row r="1571" spans="1:14" x14ac:dyDescent="0.3">
      <c r="A1571" s="1" t="s">
        <v>1616</v>
      </c>
      <c r="B1571" s="1" t="s">
        <v>64</v>
      </c>
      <c r="C1571">
        <v>26</v>
      </c>
      <c r="D1571" s="1" t="s">
        <v>16</v>
      </c>
      <c r="E1571" s="1" t="s">
        <v>38</v>
      </c>
      <c r="F1571" s="1" t="s">
        <v>18</v>
      </c>
      <c r="G1571" s="1" t="s">
        <v>19</v>
      </c>
      <c r="H1571" s="1" t="s">
        <v>20</v>
      </c>
      <c r="I1571" s="2">
        <v>45863</v>
      </c>
      <c r="J1571">
        <v>29311</v>
      </c>
      <c r="K1571" s="2">
        <v>45869</v>
      </c>
      <c r="L1571">
        <v>31137</v>
      </c>
      <c r="M1571">
        <v>60448</v>
      </c>
      <c r="N1571">
        <v>0</v>
      </c>
    </row>
    <row r="1572" spans="1:14" x14ac:dyDescent="0.3">
      <c r="A1572" s="1" t="s">
        <v>1617</v>
      </c>
      <c r="B1572" s="1" t="s">
        <v>61</v>
      </c>
      <c r="C1572">
        <v>57</v>
      </c>
      <c r="D1572" s="1" t="s">
        <v>16</v>
      </c>
      <c r="E1572" s="1" t="s">
        <v>24</v>
      </c>
      <c r="F1572" s="1" t="s">
        <v>18</v>
      </c>
      <c r="G1572" s="1" t="s">
        <v>19</v>
      </c>
      <c r="H1572" s="1" t="s">
        <v>20</v>
      </c>
      <c r="I1572" s="2">
        <v>44495</v>
      </c>
      <c r="J1572">
        <v>19839</v>
      </c>
      <c r="K1572" s="2">
        <v>45784</v>
      </c>
      <c r="L1572">
        <v>20974</v>
      </c>
      <c r="M1572">
        <v>40813</v>
      </c>
      <c r="N1572">
        <v>0</v>
      </c>
    </row>
    <row r="1573" spans="1:14" x14ac:dyDescent="0.3">
      <c r="A1573" s="1" t="s">
        <v>1618</v>
      </c>
      <c r="B1573" s="1" t="s">
        <v>71</v>
      </c>
      <c r="C1573">
        <v>34</v>
      </c>
      <c r="D1573" s="1" t="s">
        <v>16</v>
      </c>
      <c r="E1573" s="1" t="s">
        <v>17</v>
      </c>
      <c r="F1573" s="1" t="s">
        <v>18</v>
      </c>
      <c r="G1573" s="1" t="s">
        <v>19</v>
      </c>
      <c r="H1573" s="1" t="s">
        <v>20</v>
      </c>
      <c r="I1573" s="2">
        <v>45840</v>
      </c>
      <c r="J1573">
        <v>14672</v>
      </c>
      <c r="K1573" s="2">
        <v>45869</v>
      </c>
      <c r="L1573">
        <v>14557</v>
      </c>
      <c r="M1573">
        <v>29229</v>
      </c>
      <c r="N1573">
        <v>0</v>
      </c>
    </row>
    <row r="1574" spans="1:14" x14ac:dyDescent="0.3">
      <c r="A1574" s="1" t="s">
        <v>1619</v>
      </c>
      <c r="B1574" s="1" t="s">
        <v>15</v>
      </c>
      <c r="C1574">
        <v>18</v>
      </c>
      <c r="D1574" s="1" t="s">
        <v>16</v>
      </c>
      <c r="E1574" s="1" t="s">
        <v>38</v>
      </c>
      <c r="F1574" s="1" t="s">
        <v>25</v>
      </c>
      <c r="G1574" s="1" t="s">
        <v>19</v>
      </c>
      <c r="H1574" s="1" t="s">
        <v>20</v>
      </c>
      <c r="I1574" s="2">
        <v>44826</v>
      </c>
      <c r="J1574">
        <v>4279</v>
      </c>
      <c r="K1574" s="2">
        <v>45807</v>
      </c>
      <c r="L1574">
        <v>4412</v>
      </c>
      <c r="M1574">
        <v>8691</v>
      </c>
      <c r="N1574">
        <v>0</v>
      </c>
    </row>
    <row r="1575" spans="1:14" x14ac:dyDescent="0.3">
      <c r="A1575" s="1" t="s">
        <v>1620</v>
      </c>
      <c r="B1575" s="1" t="s">
        <v>34</v>
      </c>
      <c r="C1575">
        <v>42</v>
      </c>
      <c r="D1575" s="1" t="s">
        <v>16</v>
      </c>
      <c r="E1575" s="1" t="s">
        <v>35</v>
      </c>
      <c r="F1575" s="1" t="s">
        <v>18</v>
      </c>
      <c r="G1575" s="1" t="s">
        <v>19</v>
      </c>
      <c r="H1575" s="1" t="s">
        <v>20</v>
      </c>
      <c r="I1575" s="2">
        <v>44532</v>
      </c>
      <c r="J1575">
        <v>55021</v>
      </c>
      <c r="K1575" s="2">
        <v>45855</v>
      </c>
      <c r="L1575">
        <v>27095</v>
      </c>
      <c r="M1575">
        <v>82116</v>
      </c>
      <c r="N1575">
        <v>0</v>
      </c>
    </row>
    <row r="1576" spans="1:14" x14ac:dyDescent="0.3">
      <c r="A1576" s="1" t="s">
        <v>1621</v>
      </c>
      <c r="B1576" s="1" t="s">
        <v>69</v>
      </c>
      <c r="C1576">
        <v>60</v>
      </c>
      <c r="D1576" s="1" t="s">
        <v>23</v>
      </c>
      <c r="E1576" s="1" t="s">
        <v>24</v>
      </c>
      <c r="F1576" s="1" t="s">
        <v>25</v>
      </c>
      <c r="G1576" s="1" t="s">
        <v>19</v>
      </c>
      <c r="H1576" s="1" t="s">
        <v>20</v>
      </c>
      <c r="I1576" s="2">
        <v>44889</v>
      </c>
      <c r="J1576">
        <v>14852</v>
      </c>
      <c r="K1576" s="2">
        <v>45866</v>
      </c>
      <c r="L1576">
        <v>4180</v>
      </c>
      <c r="M1576">
        <v>19032</v>
      </c>
      <c r="N1576">
        <v>0</v>
      </c>
    </row>
    <row r="1577" spans="1:14" x14ac:dyDescent="0.3">
      <c r="A1577" s="1" t="s">
        <v>1622</v>
      </c>
      <c r="B1577" s="1" t="s">
        <v>37</v>
      </c>
      <c r="C1577">
        <v>57</v>
      </c>
      <c r="D1577" s="1" t="s">
        <v>16</v>
      </c>
      <c r="E1577" s="1" t="s">
        <v>24</v>
      </c>
      <c r="F1577" s="1" t="s">
        <v>25</v>
      </c>
      <c r="G1577" s="1" t="s">
        <v>19</v>
      </c>
      <c r="H1577" s="1" t="s">
        <v>20</v>
      </c>
      <c r="I1577" s="2">
        <v>45224</v>
      </c>
      <c r="J1577">
        <v>26981</v>
      </c>
      <c r="K1577" s="2">
        <v>45860</v>
      </c>
      <c r="L1577">
        <v>7027</v>
      </c>
      <c r="M1577">
        <v>34008</v>
      </c>
      <c r="N1577">
        <v>0</v>
      </c>
    </row>
    <row r="1578" spans="1:14" x14ac:dyDescent="0.3">
      <c r="A1578" s="1" t="s">
        <v>1623</v>
      </c>
      <c r="B1578" s="1" t="s">
        <v>59</v>
      </c>
      <c r="C1578">
        <v>59</v>
      </c>
      <c r="D1578" s="1" t="s">
        <v>16</v>
      </c>
      <c r="E1578" s="1" t="s">
        <v>38</v>
      </c>
      <c r="F1578" s="1" t="s">
        <v>25</v>
      </c>
      <c r="G1578" s="1" t="s">
        <v>19</v>
      </c>
      <c r="H1578" s="1" t="s">
        <v>20</v>
      </c>
      <c r="I1578" s="2">
        <v>44554</v>
      </c>
      <c r="J1578">
        <v>13320</v>
      </c>
      <c r="K1578" s="2">
        <v>45770</v>
      </c>
      <c r="L1578">
        <v>11123</v>
      </c>
      <c r="M1578">
        <v>24443</v>
      </c>
      <c r="N1578">
        <v>0</v>
      </c>
    </row>
    <row r="1579" spans="1:14" x14ac:dyDescent="0.3">
      <c r="A1579" s="1" t="s">
        <v>1624</v>
      </c>
      <c r="B1579" s="1" t="s">
        <v>61</v>
      </c>
      <c r="C1579">
        <v>42</v>
      </c>
      <c r="D1579" s="1" t="s">
        <v>23</v>
      </c>
      <c r="E1579" s="1" t="s">
        <v>35</v>
      </c>
      <c r="F1579" s="1" t="s">
        <v>25</v>
      </c>
      <c r="G1579" s="1" t="s">
        <v>41</v>
      </c>
      <c r="H1579" s="1" t="s">
        <v>20</v>
      </c>
      <c r="I1579" s="2">
        <v>44684</v>
      </c>
      <c r="J1579">
        <v>4494</v>
      </c>
      <c r="K1579" s="2">
        <v>45802</v>
      </c>
      <c r="L1579">
        <v>22972</v>
      </c>
      <c r="M1579">
        <v>27466</v>
      </c>
      <c r="N1579">
        <v>0</v>
      </c>
    </row>
    <row r="1580" spans="1:14" x14ac:dyDescent="0.3">
      <c r="A1580" s="1" t="s">
        <v>1625</v>
      </c>
      <c r="B1580" s="1" t="s">
        <v>22</v>
      </c>
      <c r="C1580">
        <v>56</v>
      </c>
      <c r="D1580" s="1" t="s">
        <v>16</v>
      </c>
      <c r="E1580" s="1" t="s">
        <v>38</v>
      </c>
      <c r="F1580" s="1" t="s">
        <v>25</v>
      </c>
      <c r="G1580" s="1" t="s">
        <v>19</v>
      </c>
      <c r="H1580" s="1" t="s">
        <v>20</v>
      </c>
      <c r="I1580" s="2">
        <v>45626</v>
      </c>
      <c r="J1580">
        <v>36042</v>
      </c>
      <c r="K1580" s="2">
        <v>45867</v>
      </c>
      <c r="L1580">
        <v>8015</v>
      </c>
      <c r="M1580">
        <v>44057</v>
      </c>
      <c r="N1580">
        <v>0</v>
      </c>
    </row>
    <row r="1581" spans="1:14" x14ac:dyDescent="0.3">
      <c r="A1581" s="1" t="s">
        <v>1626</v>
      </c>
      <c r="B1581" s="1" t="s">
        <v>52</v>
      </c>
      <c r="C1581">
        <v>52</v>
      </c>
      <c r="D1581" s="1" t="s">
        <v>23</v>
      </c>
      <c r="E1581" s="1" t="s">
        <v>24</v>
      </c>
      <c r="F1581" s="1" t="s">
        <v>18</v>
      </c>
      <c r="G1581" s="1" t="s">
        <v>19</v>
      </c>
      <c r="H1581" s="1" t="s">
        <v>20</v>
      </c>
      <c r="I1581" s="2">
        <v>45868</v>
      </c>
      <c r="J1581">
        <v>20968</v>
      </c>
      <c r="K1581" s="2">
        <v>45869</v>
      </c>
      <c r="L1581">
        <v>14354</v>
      </c>
      <c r="M1581">
        <v>35322</v>
      </c>
      <c r="N1581">
        <v>0</v>
      </c>
    </row>
    <row r="1582" spans="1:14" x14ac:dyDescent="0.3">
      <c r="A1582" s="1" t="s">
        <v>1627</v>
      </c>
      <c r="B1582" s="1" t="s">
        <v>27</v>
      </c>
      <c r="C1582">
        <v>20</v>
      </c>
      <c r="D1582" s="1" t="s">
        <v>16</v>
      </c>
      <c r="E1582" s="1" t="s">
        <v>24</v>
      </c>
      <c r="F1582" s="1" t="s">
        <v>18</v>
      </c>
      <c r="G1582" s="1" t="s">
        <v>19</v>
      </c>
      <c r="H1582" s="1" t="s">
        <v>20</v>
      </c>
      <c r="I1582" s="2">
        <v>44729</v>
      </c>
      <c r="J1582">
        <v>11143</v>
      </c>
      <c r="K1582" s="2">
        <v>45794</v>
      </c>
      <c r="L1582">
        <v>12694</v>
      </c>
      <c r="M1582">
        <v>23837</v>
      </c>
      <c r="N1582">
        <v>0</v>
      </c>
    </row>
    <row r="1583" spans="1:14" x14ac:dyDescent="0.3">
      <c r="A1583" s="1" t="s">
        <v>1628</v>
      </c>
      <c r="B1583" s="1" t="s">
        <v>15</v>
      </c>
      <c r="C1583">
        <v>67</v>
      </c>
      <c r="D1583" s="1" t="s">
        <v>16</v>
      </c>
      <c r="E1583" s="1" t="s">
        <v>38</v>
      </c>
      <c r="F1583" s="1" t="s">
        <v>18</v>
      </c>
      <c r="G1583" s="1" t="s">
        <v>19</v>
      </c>
      <c r="H1583" s="1" t="s">
        <v>20</v>
      </c>
      <c r="I1583" s="2">
        <v>44446</v>
      </c>
      <c r="J1583">
        <v>20613</v>
      </c>
      <c r="K1583" s="2">
        <v>45859</v>
      </c>
      <c r="L1583">
        <v>27799</v>
      </c>
      <c r="M1583">
        <v>48412</v>
      </c>
      <c r="N1583">
        <v>0</v>
      </c>
    </row>
    <row r="1584" spans="1:14" x14ac:dyDescent="0.3">
      <c r="A1584" s="1" t="s">
        <v>1629</v>
      </c>
      <c r="B1584" s="1" t="s">
        <v>75</v>
      </c>
      <c r="C1584">
        <v>54</v>
      </c>
      <c r="D1584" s="1" t="s">
        <v>23</v>
      </c>
      <c r="E1584" s="1" t="s">
        <v>17</v>
      </c>
      <c r="F1584" s="1" t="s">
        <v>18</v>
      </c>
      <c r="G1584" s="1" t="s">
        <v>19</v>
      </c>
      <c r="H1584" s="1" t="s">
        <v>20</v>
      </c>
      <c r="I1584" s="2">
        <v>45523</v>
      </c>
      <c r="J1584">
        <v>30259</v>
      </c>
      <c r="K1584" s="2">
        <v>45865</v>
      </c>
      <c r="L1584">
        <v>33071</v>
      </c>
      <c r="M1584">
        <v>63330</v>
      </c>
      <c r="N1584">
        <v>0</v>
      </c>
    </row>
    <row r="1585" spans="1:14" x14ac:dyDescent="0.3">
      <c r="A1585" s="1" t="s">
        <v>1630</v>
      </c>
      <c r="B1585" s="1" t="s">
        <v>48</v>
      </c>
      <c r="C1585">
        <v>61</v>
      </c>
      <c r="D1585" s="1" t="s">
        <v>23</v>
      </c>
      <c r="E1585" s="1" t="s">
        <v>24</v>
      </c>
      <c r="F1585" s="1" t="s">
        <v>25</v>
      </c>
      <c r="G1585" s="1" t="s">
        <v>19</v>
      </c>
      <c r="H1585" s="1" t="s">
        <v>20</v>
      </c>
      <c r="I1585" s="2">
        <v>45201</v>
      </c>
      <c r="J1585">
        <v>25854</v>
      </c>
      <c r="K1585" s="2">
        <v>45753</v>
      </c>
      <c r="L1585">
        <v>-7135</v>
      </c>
      <c r="M1585">
        <v>18719</v>
      </c>
      <c r="N1585">
        <v>0</v>
      </c>
    </row>
    <row r="1586" spans="1:14" x14ac:dyDescent="0.3">
      <c r="A1586" s="1" t="s">
        <v>1631</v>
      </c>
      <c r="B1586" s="1" t="s">
        <v>71</v>
      </c>
      <c r="C1586">
        <v>61</v>
      </c>
      <c r="D1586" s="1" t="s">
        <v>23</v>
      </c>
      <c r="E1586" s="1" t="s">
        <v>38</v>
      </c>
      <c r="F1586" s="1" t="s">
        <v>18</v>
      </c>
      <c r="G1586" s="1" t="s">
        <v>19</v>
      </c>
      <c r="H1586" s="1" t="s">
        <v>49</v>
      </c>
      <c r="I1586" s="2">
        <v>44364</v>
      </c>
      <c r="J1586">
        <v>2413</v>
      </c>
      <c r="K1586" s="2">
        <v>45847</v>
      </c>
      <c r="L1586">
        <v>-2989</v>
      </c>
      <c r="M1586">
        <v>-576</v>
      </c>
      <c r="N1586">
        <v>0</v>
      </c>
    </row>
    <row r="1587" spans="1:14" x14ac:dyDescent="0.3">
      <c r="A1587" s="1" t="s">
        <v>1632</v>
      </c>
      <c r="B1587" s="1" t="s">
        <v>79</v>
      </c>
      <c r="C1587">
        <v>68</v>
      </c>
      <c r="D1587" s="1" t="s">
        <v>16</v>
      </c>
      <c r="E1587" s="1" t="s">
        <v>38</v>
      </c>
      <c r="F1587" s="1" t="s">
        <v>25</v>
      </c>
      <c r="G1587" s="1" t="s">
        <v>19</v>
      </c>
      <c r="H1587" s="1" t="s">
        <v>20</v>
      </c>
      <c r="I1587" s="2">
        <v>45780</v>
      </c>
      <c r="J1587">
        <v>3010</v>
      </c>
      <c r="K1587" s="2">
        <v>45867</v>
      </c>
      <c r="L1587">
        <v>-5698</v>
      </c>
      <c r="M1587">
        <v>-2688</v>
      </c>
      <c r="N1587">
        <v>0</v>
      </c>
    </row>
    <row r="1588" spans="1:14" x14ac:dyDescent="0.3">
      <c r="A1588" s="1" t="s">
        <v>1633</v>
      </c>
      <c r="B1588" s="1" t="s">
        <v>79</v>
      </c>
      <c r="C1588">
        <v>47</v>
      </c>
      <c r="D1588" s="1" t="s">
        <v>23</v>
      </c>
      <c r="E1588" s="1" t="s">
        <v>24</v>
      </c>
      <c r="F1588" s="1" t="s">
        <v>18</v>
      </c>
      <c r="G1588" s="1" t="s">
        <v>19</v>
      </c>
      <c r="H1588" s="1" t="s">
        <v>20</v>
      </c>
      <c r="I1588" s="2">
        <v>44327</v>
      </c>
      <c r="J1588">
        <v>27802</v>
      </c>
      <c r="K1588" s="2">
        <v>45851</v>
      </c>
      <c r="L1588">
        <v>31180</v>
      </c>
      <c r="M1588">
        <v>58982</v>
      </c>
      <c r="N1588">
        <v>0</v>
      </c>
    </row>
    <row r="1589" spans="1:14" x14ac:dyDescent="0.3">
      <c r="A1589" s="1" t="s">
        <v>1634</v>
      </c>
      <c r="B1589" s="1" t="s">
        <v>87</v>
      </c>
      <c r="C1589">
        <v>55</v>
      </c>
      <c r="D1589" s="1" t="s">
        <v>16</v>
      </c>
      <c r="E1589" s="1" t="s">
        <v>38</v>
      </c>
      <c r="F1589" s="1" t="s">
        <v>18</v>
      </c>
      <c r="G1589" s="1" t="s">
        <v>19</v>
      </c>
      <c r="H1589" s="1" t="s">
        <v>49</v>
      </c>
      <c r="I1589" s="2">
        <v>45243</v>
      </c>
      <c r="J1589">
        <v>6660</v>
      </c>
      <c r="K1589" s="2">
        <v>45851</v>
      </c>
      <c r="L1589">
        <v>-9715</v>
      </c>
      <c r="M1589">
        <v>-3055</v>
      </c>
      <c r="N1589">
        <v>0</v>
      </c>
    </row>
    <row r="1590" spans="1:14" x14ac:dyDescent="0.3">
      <c r="A1590" s="1" t="s">
        <v>1635</v>
      </c>
      <c r="B1590" s="1" t="s">
        <v>22</v>
      </c>
      <c r="C1590">
        <v>51</v>
      </c>
      <c r="D1590" s="1" t="s">
        <v>23</v>
      </c>
      <c r="E1590" s="1" t="s">
        <v>17</v>
      </c>
      <c r="F1590" s="1" t="s">
        <v>25</v>
      </c>
      <c r="G1590" s="1" t="s">
        <v>19</v>
      </c>
      <c r="H1590" s="1" t="s">
        <v>20</v>
      </c>
      <c r="I1590" s="2">
        <v>44906</v>
      </c>
      <c r="J1590">
        <v>4682</v>
      </c>
      <c r="K1590" s="2">
        <v>45847</v>
      </c>
      <c r="L1590">
        <v>-507</v>
      </c>
      <c r="M1590">
        <v>4175</v>
      </c>
      <c r="N1590">
        <v>0</v>
      </c>
    </row>
    <row r="1591" spans="1:14" x14ac:dyDescent="0.3">
      <c r="A1591" s="1" t="s">
        <v>1636</v>
      </c>
      <c r="B1591" s="1" t="s">
        <v>64</v>
      </c>
      <c r="C1591">
        <v>29</v>
      </c>
      <c r="D1591" s="1" t="s">
        <v>30</v>
      </c>
      <c r="E1591" s="1" t="s">
        <v>24</v>
      </c>
      <c r="F1591" s="1" t="s">
        <v>18</v>
      </c>
      <c r="G1591" s="1" t="s">
        <v>19</v>
      </c>
      <c r="H1591" s="1" t="s">
        <v>20</v>
      </c>
      <c r="I1591" s="2">
        <v>45128</v>
      </c>
      <c r="J1591">
        <v>19382</v>
      </c>
      <c r="K1591" s="2">
        <v>45868</v>
      </c>
      <c r="L1591">
        <v>14007</v>
      </c>
      <c r="M1591">
        <v>33389</v>
      </c>
      <c r="N1591">
        <v>0</v>
      </c>
    </row>
    <row r="1592" spans="1:14" x14ac:dyDescent="0.3">
      <c r="A1592" s="1" t="s">
        <v>1637</v>
      </c>
      <c r="B1592" s="1" t="s">
        <v>69</v>
      </c>
      <c r="C1592">
        <v>36</v>
      </c>
      <c r="D1592" s="1" t="s">
        <v>30</v>
      </c>
      <c r="E1592" s="1" t="s">
        <v>38</v>
      </c>
      <c r="F1592" s="1" t="s">
        <v>18</v>
      </c>
      <c r="G1592" s="1" t="s">
        <v>19</v>
      </c>
      <c r="H1592" s="1" t="s">
        <v>20</v>
      </c>
      <c r="I1592" s="2">
        <v>44553</v>
      </c>
      <c r="J1592">
        <v>4542</v>
      </c>
      <c r="K1592" s="2">
        <v>45857</v>
      </c>
      <c r="L1592">
        <v>1629</v>
      </c>
      <c r="M1592">
        <v>6171</v>
      </c>
      <c r="N1592">
        <v>0</v>
      </c>
    </row>
    <row r="1593" spans="1:14" x14ac:dyDescent="0.3">
      <c r="A1593" s="1" t="s">
        <v>1638</v>
      </c>
      <c r="B1593" s="1" t="s">
        <v>22</v>
      </c>
      <c r="C1593">
        <v>54</v>
      </c>
      <c r="D1593" s="1" t="s">
        <v>16</v>
      </c>
      <c r="E1593" s="1" t="s">
        <v>17</v>
      </c>
      <c r="F1593" s="1" t="s">
        <v>18</v>
      </c>
      <c r="G1593" s="1" t="s">
        <v>19</v>
      </c>
      <c r="H1593" s="1" t="s">
        <v>20</v>
      </c>
      <c r="I1593" s="2">
        <v>45348</v>
      </c>
      <c r="J1593">
        <v>8274</v>
      </c>
      <c r="K1593" s="2">
        <v>45858</v>
      </c>
      <c r="L1593">
        <v>35679</v>
      </c>
      <c r="M1593">
        <v>43953</v>
      </c>
      <c r="N1593">
        <v>0</v>
      </c>
    </row>
    <row r="1594" spans="1:14" x14ac:dyDescent="0.3">
      <c r="A1594" s="1" t="s">
        <v>1639</v>
      </c>
      <c r="B1594" s="1" t="s">
        <v>37</v>
      </c>
      <c r="C1594">
        <v>61</v>
      </c>
      <c r="D1594" s="1" t="s">
        <v>16</v>
      </c>
      <c r="E1594" s="1" t="s">
        <v>17</v>
      </c>
      <c r="F1594" s="1" t="s">
        <v>25</v>
      </c>
      <c r="G1594" s="1" t="s">
        <v>19</v>
      </c>
      <c r="H1594" s="1" t="s">
        <v>20</v>
      </c>
      <c r="I1594" s="2">
        <v>45802</v>
      </c>
      <c r="J1594">
        <v>31328</v>
      </c>
      <c r="K1594" s="2">
        <v>45869</v>
      </c>
      <c r="L1594">
        <v>-1137</v>
      </c>
      <c r="M1594">
        <v>30191</v>
      </c>
      <c r="N1594">
        <v>0</v>
      </c>
    </row>
    <row r="1595" spans="1:14" x14ac:dyDescent="0.3">
      <c r="A1595" s="1" t="s">
        <v>1640</v>
      </c>
      <c r="B1595" s="1" t="s">
        <v>87</v>
      </c>
      <c r="C1595">
        <v>66</v>
      </c>
      <c r="D1595" s="1" t="s">
        <v>16</v>
      </c>
      <c r="E1595" s="1" t="s">
        <v>35</v>
      </c>
      <c r="F1595" s="1" t="s">
        <v>18</v>
      </c>
      <c r="G1595" s="1" t="s">
        <v>19</v>
      </c>
      <c r="H1595" s="1" t="s">
        <v>20</v>
      </c>
      <c r="I1595" s="2">
        <v>44963</v>
      </c>
      <c r="J1595">
        <v>2939</v>
      </c>
      <c r="K1595" s="2">
        <v>45859</v>
      </c>
      <c r="L1595">
        <v>30496</v>
      </c>
      <c r="M1595">
        <v>33435</v>
      </c>
      <c r="N1595">
        <v>0</v>
      </c>
    </row>
    <row r="1596" spans="1:14" x14ac:dyDescent="0.3">
      <c r="A1596" s="1" t="s">
        <v>1641</v>
      </c>
      <c r="B1596" s="1" t="s">
        <v>22</v>
      </c>
      <c r="C1596">
        <v>34</v>
      </c>
      <c r="D1596" s="1" t="s">
        <v>16</v>
      </c>
      <c r="E1596" s="1" t="s">
        <v>17</v>
      </c>
      <c r="F1596" s="1" t="s">
        <v>18</v>
      </c>
      <c r="G1596" s="1" t="s">
        <v>19</v>
      </c>
      <c r="H1596" s="1" t="s">
        <v>20</v>
      </c>
      <c r="I1596" s="2">
        <v>45071</v>
      </c>
      <c r="J1596">
        <v>3401</v>
      </c>
      <c r="K1596" s="2">
        <v>45863</v>
      </c>
      <c r="L1596">
        <v>11957</v>
      </c>
      <c r="M1596">
        <v>15358</v>
      </c>
      <c r="N1596">
        <v>0</v>
      </c>
    </row>
    <row r="1597" spans="1:14" x14ac:dyDescent="0.3">
      <c r="A1597" s="1" t="s">
        <v>1642</v>
      </c>
      <c r="B1597" s="1" t="s">
        <v>43</v>
      </c>
      <c r="C1597">
        <v>27</v>
      </c>
      <c r="D1597" s="1" t="s">
        <v>23</v>
      </c>
      <c r="E1597" s="1" t="s">
        <v>24</v>
      </c>
      <c r="F1597" s="1" t="s">
        <v>18</v>
      </c>
      <c r="G1597" s="1" t="s">
        <v>19</v>
      </c>
      <c r="H1597" s="1" t="s">
        <v>20</v>
      </c>
      <c r="I1597" s="2">
        <v>44598</v>
      </c>
      <c r="J1597">
        <v>2668</v>
      </c>
      <c r="K1597" s="2">
        <v>45836</v>
      </c>
      <c r="L1597">
        <v>565</v>
      </c>
      <c r="M1597">
        <v>3233</v>
      </c>
      <c r="N1597">
        <v>0</v>
      </c>
    </row>
    <row r="1598" spans="1:14" x14ac:dyDescent="0.3">
      <c r="A1598" s="1" t="s">
        <v>1643</v>
      </c>
      <c r="B1598" s="1" t="s">
        <v>40</v>
      </c>
      <c r="C1598">
        <v>66</v>
      </c>
      <c r="D1598" s="1" t="s">
        <v>23</v>
      </c>
      <c r="E1598" s="1" t="s">
        <v>35</v>
      </c>
      <c r="F1598" s="1" t="s">
        <v>25</v>
      </c>
      <c r="G1598" s="1" t="s">
        <v>19</v>
      </c>
      <c r="H1598" s="1" t="s">
        <v>20</v>
      </c>
      <c r="I1598" s="2">
        <v>45689</v>
      </c>
      <c r="J1598">
        <v>5647</v>
      </c>
      <c r="K1598" s="2">
        <v>45863</v>
      </c>
      <c r="L1598">
        <v>5180</v>
      </c>
      <c r="M1598">
        <v>10827</v>
      </c>
      <c r="N1598">
        <v>0</v>
      </c>
    </row>
    <row r="1599" spans="1:14" x14ac:dyDescent="0.3">
      <c r="A1599" s="1" t="s">
        <v>1644</v>
      </c>
      <c r="B1599" s="1" t="s">
        <v>79</v>
      </c>
      <c r="C1599">
        <v>64</v>
      </c>
      <c r="D1599" s="1" t="s">
        <v>23</v>
      </c>
      <c r="E1599" s="1" t="s">
        <v>38</v>
      </c>
      <c r="F1599" s="1" t="s">
        <v>25</v>
      </c>
      <c r="G1599" s="1" t="s">
        <v>19</v>
      </c>
      <c r="H1599" s="1" t="s">
        <v>20</v>
      </c>
      <c r="I1599" s="2">
        <v>45821</v>
      </c>
      <c r="J1599">
        <v>14512</v>
      </c>
      <c r="K1599" s="2">
        <v>45869</v>
      </c>
      <c r="L1599">
        <v>4424</v>
      </c>
      <c r="M1599">
        <v>18936</v>
      </c>
      <c r="N1599">
        <v>0</v>
      </c>
    </row>
    <row r="1600" spans="1:14" x14ac:dyDescent="0.3">
      <c r="A1600" s="1" t="s">
        <v>1645</v>
      </c>
      <c r="B1600" s="1" t="s">
        <v>71</v>
      </c>
      <c r="C1600">
        <v>29</v>
      </c>
      <c r="D1600" s="1" t="s">
        <v>23</v>
      </c>
      <c r="E1600" s="1" t="s">
        <v>38</v>
      </c>
      <c r="F1600" s="1" t="s">
        <v>18</v>
      </c>
      <c r="G1600" s="1" t="s">
        <v>19</v>
      </c>
      <c r="H1600" s="1" t="s">
        <v>20</v>
      </c>
      <c r="I1600" s="2">
        <v>45512</v>
      </c>
      <c r="J1600">
        <v>7196</v>
      </c>
      <c r="K1600" s="2">
        <v>45856</v>
      </c>
      <c r="L1600">
        <v>14782</v>
      </c>
      <c r="M1600">
        <v>21978</v>
      </c>
      <c r="N1600">
        <v>0</v>
      </c>
    </row>
    <row r="1601" spans="1:14" x14ac:dyDescent="0.3">
      <c r="A1601" s="1" t="s">
        <v>1646</v>
      </c>
      <c r="B1601" s="1" t="s">
        <v>56</v>
      </c>
      <c r="C1601">
        <v>33</v>
      </c>
      <c r="D1601" s="1" t="s">
        <v>23</v>
      </c>
      <c r="E1601" s="1" t="s">
        <v>38</v>
      </c>
      <c r="F1601" s="1" t="s">
        <v>18</v>
      </c>
      <c r="G1601" s="1" t="s">
        <v>19</v>
      </c>
      <c r="H1601" s="1" t="s">
        <v>20</v>
      </c>
      <c r="I1601" s="2">
        <v>45105</v>
      </c>
      <c r="J1601">
        <v>60075</v>
      </c>
      <c r="K1601" s="2">
        <v>45855</v>
      </c>
      <c r="L1601">
        <v>10917</v>
      </c>
      <c r="M1601">
        <v>70992</v>
      </c>
      <c r="N1601">
        <v>0</v>
      </c>
    </row>
    <row r="1602" spans="1:14" x14ac:dyDescent="0.3">
      <c r="A1602" s="1" t="s">
        <v>1647</v>
      </c>
      <c r="B1602" s="1" t="s">
        <v>37</v>
      </c>
      <c r="C1602">
        <v>41</v>
      </c>
      <c r="D1602" s="1" t="s">
        <v>16</v>
      </c>
      <c r="E1602" s="1" t="s">
        <v>17</v>
      </c>
      <c r="F1602" s="1" t="s">
        <v>25</v>
      </c>
      <c r="G1602" s="1" t="s">
        <v>19</v>
      </c>
      <c r="H1602" s="1" t="s">
        <v>20</v>
      </c>
      <c r="I1602" s="2">
        <v>45797</v>
      </c>
      <c r="J1602">
        <v>21064</v>
      </c>
      <c r="K1602" s="2">
        <v>45861</v>
      </c>
      <c r="L1602">
        <v>4315</v>
      </c>
      <c r="M1602">
        <v>25379</v>
      </c>
      <c r="N1602">
        <v>0</v>
      </c>
    </row>
    <row r="1603" spans="1:14" x14ac:dyDescent="0.3">
      <c r="A1603" s="1" t="s">
        <v>1648</v>
      </c>
      <c r="B1603" s="1" t="s">
        <v>27</v>
      </c>
      <c r="C1603">
        <v>36</v>
      </c>
      <c r="D1603" s="1" t="s">
        <v>30</v>
      </c>
      <c r="E1603" s="1" t="s">
        <v>38</v>
      </c>
      <c r="F1603" s="1" t="s">
        <v>18</v>
      </c>
      <c r="G1603" s="1" t="s">
        <v>19</v>
      </c>
      <c r="H1603" s="1" t="s">
        <v>20</v>
      </c>
      <c r="I1603" s="2">
        <v>44454</v>
      </c>
      <c r="J1603">
        <v>13111</v>
      </c>
      <c r="K1603" s="2">
        <v>45833</v>
      </c>
      <c r="L1603">
        <v>15951</v>
      </c>
      <c r="M1603">
        <v>29062</v>
      </c>
      <c r="N1603">
        <v>0</v>
      </c>
    </row>
    <row r="1604" spans="1:14" x14ac:dyDescent="0.3">
      <c r="A1604" s="1" t="s">
        <v>1649</v>
      </c>
      <c r="B1604" s="1" t="s">
        <v>64</v>
      </c>
      <c r="C1604">
        <v>25</v>
      </c>
      <c r="D1604" s="1" t="s">
        <v>23</v>
      </c>
      <c r="E1604" s="1" t="s">
        <v>24</v>
      </c>
      <c r="F1604" s="1" t="s">
        <v>18</v>
      </c>
      <c r="G1604" s="1" t="s">
        <v>41</v>
      </c>
      <c r="H1604" s="1" t="s">
        <v>20</v>
      </c>
      <c r="I1604" s="2">
        <v>44997</v>
      </c>
      <c r="J1604">
        <v>47449</v>
      </c>
      <c r="K1604" s="2">
        <v>45863</v>
      </c>
      <c r="L1604">
        <v>21403</v>
      </c>
      <c r="M1604">
        <v>68852</v>
      </c>
      <c r="N1604">
        <v>0</v>
      </c>
    </row>
    <row r="1605" spans="1:14" x14ac:dyDescent="0.3">
      <c r="A1605" s="1" t="s">
        <v>1650</v>
      </c>
      <c r="B1605" s="1" t="s">
        <v>34</v>
      </c>
      <c r="C1605">
        <v>48</v>
      </c>
      <c r="D1605" s="1" t="s">
        <v>16</v>
      </c>
      <c r="E1605" s="1" t="s">
        <v>38</v>
      </c>
      <c r="F1605" s="1" t="s">
        <v>18</v>
      </c>
      <c r="G1605" s="1" t="s">
        <v>19</v>
      </c>
      <c r="H1605" s="1" t="s">
        <v>49</v>
      </c>
      <c r="I1605" s="2">
        <v>45096</v>
      </c>
      <c r="J1605">
        <v>3530</v>
      </c>
      <c r="K1605" s="2">
        <v>45826</v>
      </c>
      <c r="L1605">
        <v>24310</v>
      </c>
      <c r="M1605">
        <v>27840</v>
      </c>
      <c r="N1605">
        <v>0</v>
      </c>
    </row>
    <row r="1606" spans="1:14" x14ac:dyDescent="0.3">
      <c r="A1606" s="1" t="s">
        <v>1651</v>
      </c>
      <c r="B1606" s="1" t="s">
        <v>64</v>
      </c>
      <c r="C1606">
        <v>38</v>
      </c>
      <c r="D1606" s="1" t="s">
        <v>23</v>
      </c>
      <c r="E1606" s="1" t="s">
        <v>24</v>
      </c>
      <c r="F1606" s="1" t="s">
        <v>25</v>
      </c>
      <c r="G1606" s="1" t="s">
        <v>19</v>
      </c>
      <c r="H1606" s="1" t="s">
        <v>20</v>
      </c>
      <c r="I1606" s="2">
        <v>45019</v>
      </c>
      <c r="J1606">
        <v>31779</v>
      </c>
      <c r="K1606" s="2">
        <v>45800</v>
      </c>
      <c r="L1606">
        <v>2555</v>
      </c>
      <c r="M1606">
        <v>34334</v>
      </c>
      <c r="N1606">
        <v>0</v>
      </c>
    </row>
    <row r="1607" spans="1:14" x14ac:dyDescent="0.3">
      <c r="A1607" s="1" t="s">
        <v>1652</v>
      </c>
      <c r="B1607" s="1" t="s">
        <v>29</v>
      </c>
      <c r="C1607">
        <v>34</v>
      </c>
      <c r="D1607" s="1" t="s">
        <v>16</v>
      </c>
      <c r="E1607" s="1" t="s">
        <v>24</v>
      </c>
      <c r="F1607" s="1" t="s">
        <v>18</v>
      </c>
      <c r="G1607" s="1" t="s">
        <v>19</v>
      </c>
      <c r="H1607" s="1" t="s">
        <v>20</v>
      </c>
      <c r="I1607" s="2">
        <v>45539</v>
      </c>
      <c r="J1607">
        <v>10549</v>
      </c>
      <c r="K1607" s="2">
        <v>45860</v>
      </c>
      <c r="L1607">
        <v>-2415</v>
      </c>
      <c r="M1607">
        <v>8134</v>
      </c>
      <c r="N1607">
        <v>0</v>
      </c>
    </row>
    <row r="1608" spans="1:14" x14ac:dyDescent="0.3">
      <c r="A1608" s="1" t="s">
        <v>1653</v>
      </c>
      <c r="B1608" s="1" t="s">
        <v>56</v>
      </c>
      <c r="C1608">
        <v>40</v>
      </c>
      <c r="D1608" s="1" t="s">
        <v>16</v>
      </c>
      <c r="E1608" s="1" t="s">
        <v>24</v>
      </c>
      <c r="F1608" s="1" t="s">
        <v>18</v>
      </c>
      <c r="G1608" s="1" t="s">
        <v>19</v>
      </c>
      <c r="H1608" s="1" t="s">
        <v>20</v>
      </c>
      <c r="I1608" s="2">
        <v>45318</v>
      </c>
      <c r="J1608">
        <v>8473</v>
      </c>
      <c r="K1608" s="2">
        <v>45866</v>
      </c>
      <c r="L1608">
        <v>17463</v>
      </c>
      <c r="M1608">
        <v>25936</v>
      </c>
      <c r="N1608">
        <v>0</v>
      </c>
    </row>
    <row r="1609" spans="1:14" x14ac:dyDescent="0.3">
      <c r="A1609" s="1" t="s">
        <v>1654</v>
      </c>
      <c r="B1609" s="1" t="s">
        <v>64</v>
      </c>
      <c r="C1609">
        <v>54</v>
      </c>
      <c r="D1609" s="1" t="s">
        <v>16</v>
      </c>
      <c r="E1609" s="1" t="s">
        <v>24</v>
      </c>
      <c r="F1609" s="1" t="s">
        <v>25</v>
      </c>
      <c r="G1609" s="1" t="s">
        <v>19</v>
      </c>
      <c r="H1609" s="1" t="s">
        <v>20</v>
      </c>
      <c r="I1609" s="2">
        <v>44408</v>
      </c>
      <c r="J1609">
        <v>24614</v>
      </c>
      <c r="K1609" s="2">
        <v>45818</v>
      </c>
      <c r="L1609">
        <v>-8319</v>
      </c>
      <c r="M1609">
        <v>16295</v>
      </c>
      <c r="N1609">
        <v>0</v>
      </c>
    </row>
    <row r="1610" spans="1:14" x14ac:dyDescent="0.3">
      <c r="A1610" s="1" t="s">
        <v>1655</v>
      </c>
      <c r="B1610" s="1" t="s">
        <v>61</v>
      </c>
      <c r="C1610">
        <v>33</v>
      </c>
      <c r="D1610" s="1" t="s">
        <v>30</v>
      </c>
      <c r="E1610" s="1" t="s">
        <v>38</v>
      </c>
      <c r="F1610" s="1" t="s">
        <v>25</v>
      </c>
      <c r="G1610" s="1" t="s">
        <v>41</v>
      </c>
      <c r="H1610" s="1" t="s">
        <v>20</v>
      </c>
      <c r="I1610" s="2">
        <v>44776</v>
      </c>
      <c r="J1610">
        <v>8844</v>
      </c>
      <c r="K1610" s="2">
        <v>45839</v>
      </c>
      <c r="L1610">
        <v>18928</v>
      </c>
      <c r="M1610">
        <v>27772</v>
      </c>
      <c r="N1610">
        <v>0</v>
      </c>
    </row>
    <row r="1611" spans="1:14" x14ac:dyDescent="0.3">
      <c r="A1611" s="1" t="s">
        <v>1656</v>
      </c>
      <c r="B1611" s="1" t="s">
        <v>87</v>
      </c>
      <c r="C1611">
        <v>23</v>
      </c>
      <c r="D1611" s="1" t="s">
        <v>23</v>
      </c>
      <c r="E1611" s="1" t="s">
        <v>24</v>
      </c>
      <c r="F1611" s="1" t="s">
        <v>18</v>
      </c>
      <c r="G1611" s="1" t="s">
        <v>19</v>
      </c>
      <c r="H1611" s="1" t="s">
        <v>20</v>
      </c>
      <c r="I1611" s="2">
        <v>44764</v>
      </c>
      <c r="J1611">
        <v>16025</v>
      </c>
      <c r="K1611" s="2">
        <v>45824</v>
      </c>
      <c r="L1611">
        <v>1009</v>
      </c>
      <c r="M1611">
        <v>17034</v>
      </c>
      <c r="N1611">
        <v>0</v>
      </c>
    </row>
    <row r="1612" spans="1:14" x14ac:dyDescent="0.3">
      <c r="A1612" s="1" t="s">
        <v>1657</v>
      </c>
      <c r="B1612" s="1" t="s">
        <v>43</v>
      </c>
      <c r="C1612">
        <v>25</v>
      </c>
      <c r="D1612" s="1" t="s">
        <v>16</v>
      </c>
      <c r="E1612" s="1" t="s">
        <v>24</v>
      </c>
      <c r="F1612" s="1" t="s">
        <v>18</v>
      </c>
      <c r="G1612" s="1" t="s">
        <v>41</v>
      </c>
      <c r="H1612" s="1" t="s">
        <v>20</v>
      </c>
      <c r="I1612" s="2">
        <v>45143</v>
      </c>
      <c r="J1612">
        <v>12089</v>
      </c>
      <c r="K1612" s="2">
        <v>45859</v>
      </c>
      <c r="L1612">
        <v>17628</v>
      </c>
      <c r="M1612">
        <v>29717</v>
      </c>
      <c r="N1612">
        <v>0</v>
      </c>
    </row>
    <row r="1613" spans="1:14" x14ac:dyDescent="0.3">
      <c r="A1613" s="1" t="s">
        <v>1658</v>
      </c>
      <c r="B1613" s="1" t="s">
        <v>71</v>
      </c>
      <c r="C1613">
        <v>42</v>
      </c>
      <c r="D1613" s="1" t="s">
        <v>16</v>
      </c>
      <c r="E1613" s="1" t="s">
        <v>24</v>
      </c>
      <c r="F1613" s="1" t="s">
        <v>25</v>
      </c>
      <c r="G1613" s="1" t="s">
        <v>19</v>
      </c>
      <c r="H1613" s="1" t="s">
        <v>20</v>
      </c>
      <c r="I1613" s="2">
        <v>44684</v>
      </c>
      <c r="J1613">
        <v>18150</v>
      </c>
      <c r="K1613" s="2">
        <v>45839</v>
      </c>
      <c r="L1613">
        <v>17935</v>
      </c>
      <c r="M1613">
        <v>36085</v>
      </c>
      <c r="N1613">
        <v>0</v>
      </c>
    </row>
    <row r="1614" spans="1:14" x14ac:dyDescent="0.3">
      <c r="A1614" s="1" t="s">
        <v>1659</v>
      </c>
      <c r="B1614" s="1" t="s">
        <v>40</v>
      </c>
      <c r="C1614">
        <v>35</v>
      </c>
      <c r="D1614" s="1" t="s">
        <v>23</v>
      </c>
      <c r="E1614" s="1" t="s">
        <v>24</v>
      </c>
      <c r="F1614" s="1" t="s">
        <v>25</v>
      </c>
      <c r="G1614" s="1" t="s">
        <v>19</v>
      </c>
      <c r="H1614" s="1" t="s">
        <v>20</v>
      </c>
      <c r="I1614" s="2">
        <v>44393</v>
      </c>
      <c r="J1614">
        <v>8046</v>
      </c>
      <c r="K1614" s="2">
        <v>45822</v>
      </c>
      <c r="L1614">
        <v>3560</v>
      </c>
      <c r="M1614">
        <v>11606</v>
      </c>
      <c r="N1614">
        <v>0</v>
      </c>
    </row>
    <row r="1615" spans="1:14" x14ac:dyDescent="0.3">
      <c r="A1615" s="1" t="s">
        <v>1660</v>
      </c>
      <c r="B1615" s="1" t="s">
        <v>43</v>
      </c>
      <c r="C1615">
        <v>42</v>
      </c>
      <c r="D1615" s="1" t="s">
        <v>30</v>
      </c>
      <c r="E1615" s="1" t="s">
        <v>38</v>
      </c>
      <c r="F1615" s="1" t="s">
        <v>25</v>
      </c>
      <c r="G1615" s="1" t="s">
        <v>19</v>
      </c>
      <c r="H1615" s="1" t="s">
        <v>20</v>
      </c>
      <c r="I1615" s="2">
        <v>45290</v>
      </c>
      <c r="J1615">
        <v>33751</v>
      </c>
      <c r="K1615" s="2">
        <v>45826</v>
      </c>
      <c r="L1615">
        <v>31739</v>
      </c>
      <c r="M1615">
        <v>65490</v>
      </c>
      <c r="N1615">
        <v>0</v>
      </c>
    </row>
    <row r="1616" spans="1:14" x14ac:dyDescent="0.3">
      <c r="A1616" s="1" t="s">
        <v>1661</v>
      </c>
      <c r="B1616" s="1" t="s">
        <v>27</v>
      </c>
      <c r="C1616">
        <v>29</v>
      </c>
      <c r="D1616" s="1" t="s">
        <v>23</v>
      </c>
      <c r="E1616" s="1" t="s">
        <v>38</v>
      </c>
      <c r="F1616" s="1" t="s">
        <v>18</v>
      </c>
      <c r="G1616" s="1" t="s">
        <v>19</v>
      </c>
      <c r="H1616" s="1" t="s">
        <v>20</v>
      </c>
      <c r="I1616" s="2">
        <v>45620</v>
      </c>
      <c r="J1616">
        <v>1730</v>
      </c>
      <c r="K1616" s="2">
        <v>45869</v>
      </c>
      <c r="L1616">
        <v>3344</v>
      </c>
      <c r="M1616">
        <v>5074</v>
      </c>
      <c r="N1616">
        <v>0</v>
      </c>
    </row>
    <row r="1617" spans="1:14" x14ac:dyDescent="0.3">
      <c r="A1617" s="1" t="s">
        <v>1662</v>
      </c>
      <c r="B1617" s="1" t="s">
        <v>79</v>
      </c>
      <c r="C1617">
        <v>32</v>
      </c>
      <c r="D1617" s="1" t="s">
        <v>16</v>
      </c>
      <c r="E1617" s="1" t="s">
        <v>38</v>
      </c>
      <c r="F1617" s="1" t="s">
        <v>18</v>
      </c>
      <c r="G1617" s="1" t="s">
        <v>19</v>
      </c>
      <c r="H1617" s="1" t="s">
        <v>20</v>
      </c>
      <c r="I1617" s="2">
        <v>45755</v>
      </c>
      <c r="J1617">
        <v>25359</v>
      </c>
      <c r="K1617" s="2">
        <v>45862</v>
      </c>
      <c r="L1617">
        <v>17976</v>
      </c>
      <c r="M1617">
        <v>43335</v>
      </c>
      <c r="N1617">
        <v>0</v>
      </c>
    </row>
    <row r="1618" spans="1:14" x14ac:dyDescent="0.3">
      <c r="A1618" s="1" t="s">
        <v>1663</v>
      </c>
      <c r="B1618" s="1" t="s">
        <v>32</v>
      </c>
      <c r="C1618">
        <v>43</v>
      </c>
      <c r="D1618" s="1" t="s">
        <v>23</v>
      </c>
      <c r="E1618" s="1" t="s">
        <v>35</v>
      </c>
      <c r="F1618" s="1" t="s">
        <v>25</v>
      </c>
      <c r="G1618" s="1" t="s">
        <v>19</v>
      </c>
      <c r="H1618" s="1" t="s">
        <v>20</v>
      </c>
      <c r="I1618" s="2">
        <v>45824</v>
      </c>
      <c r="J1618">
        <v>2016</v>
      </c>
      <c r="K1618" s="2">
        <v>45867</v>
      </c>
      <c r="L1618">
        <v>19390</v>
      </c>
      <c r="M1618">
        <v>21406</v>
      </c>
      <c r="N1618">
        <v>0</v>
      </c>
    </row>
    <row r="1619" spans="1:14" x14ac:dyDescent="0.3">
      <c r="A1619" s="1" t="s">
        <v>1664</v>
      </c>
      <c r="B1619" s="1" t="s">
        <v>43</v>
      </c>
      <c r="C1619">
        <v>58</v>
      </c>
      <c r="D1619" s="1" t="s">
        <v>23</v>
      </c>
      <c r="E1619" s="1" t="s">
        <v>38</v>
      </c>
      <c r="F1619" s="1" t="s">
        <v>25</v>
      </c>
      <c r="G1619" s="1" t="s">
        <v>19</v>
      </c>
      <c r="H1619" s="1" t="s">
        <v>20</v>
      </c>
      <c r="I1619" s="2">
        <v>45503</v>
      </c>
      <c r="J1619">
        <v>6289</v>
      </c>
      <c r="K1619" s="2">
        <v>45855</v>
      </c>
      <c r="L1619">
        <v>9374</v>
      </c>
      <c r="M1619">
        <v>15663</v>
      </c>
      <c r="N1619">
        <v>0</v>
      </c>
    </row>
    <row r="1620" spans="1:14" x14ac:dyDescent="0.3">
      <c r="A1620" s="1" t="s">
        <v>1665</v>
      </c>
      <c r="B1620" s="1" t="s">
        <v>64</v>
      </c>
      <c r="C1620">
        <v>62</v>
      </c>
      <c r="D1620" s="1" t="s">
        <v>16</v>
      </c>
      <c r="E1620" s="1" t="s">
        <v>24</v>
      </c>
      <c r="F1620" s="1" t="s">
        <v>18</v>
      </c>
      <c r="G1620" s="1" t="s">
        <v>19</v>
      </c>
      <c r="H1620" s="1" t="s">
        <v>20</v>
      </c>
      <c r="I1620" s="2">
        <v>44430</v>
      </c>
      <c r="J1620">
        <v>22525</v>
      </c>
      <c r="K1620" s="2">
        <v>45819</v>
      </c>
      <c r="L1620">
        <v>11443</v>
      </c>
      <c r="M1620">
        <v>33968</v>
      </c>
      <c r="N1620">
        <v>0</v>
      </c>
    </row>
    <row r="1621" spans="1:14" x14ac:dyDescent="0.3">
      <c r="A1621" s="1" t="s">
        <v>1666</v>
      </c>
      <c r="B1621" s="1" t="s">
        <v>52</v>
      </c>
      <c r="C1621">
        <v>43</v>
      </c>
      <c r="D1621" s="1" t="s">
        <v>16</v>
      </c>
      <c r="E1621" s="1" t="s">
        <v>38</v>
      </c>
      <c r="F1621" s="1" t="s">
        <v>18</v>
      </c>
      <c r="G1621" s="1" t="s">
        <v>19</v>
      </c>
      <c r="H1621" s="1" t="s">
        <v>20</v>
      </c>
      <c r="I1621" s="2">
        <v>45624</v>
      </c>
      <c r="J1621">
        <v>1783</v>
      </c>
      <c r="K1621" s="2">
        <v>45845</v>
      </c>
      <c r="L1621">
        <v>14906</v>
      </c>
      <c r="M1621">
        <v>16689</v>
      </c>
      <c r="N1621">
        <v>0</v>
      </c>
    </row>
    <row r="1622" spans="1:14" x14ac:dyDescent="0.3">
      <c r="A1622" s="1" t="s">
        <v>1667</v>
      </c>
      <c r="B1622" s="1" t="s">
        <v>64</v>
      </c>
      <c r="C1622">
        <v>64</v>
      </c>
      <c r="D1622" s="1" t="s">
        <v>23</v>
      </c>
      <c r="E1622" s="1" t="s">
        <v>35</v>
      </c>
      <c r="F1622" s="1" t="s">
        <v>25</v>
      </c>
      <c r="G1622" s="1" t="s">
        <v>19</v>
      </c>
      <c r="H1622" s="1" t="s">
        <v>20</v>
      </c>
      <c r="I1622" s="2">
        <v>44866</v>
      </c>
      <c r="J1622">
        <v>15780</v>
      </c>
      <c r="K1622" s="2">
        <v>45819</v>
      </c>
      <c r="L1622">
        <v>16279</v>
      </c>
      <c r="M1622">
        <v>32059</v>
      </c>
      <c r="N1622">
        <v>0</v>
      </c>
    </row>
    <row r="1623" spans="1:14" x14ac:dyDescent="0.3">
      <c r="A1623" s="1" t="s">
        <v>1668</v>
      </c>
      <c r="B1623" s="1" t="s">
        <v>32</v>
      </c>
      <c r="C1623">
        <v>49</v>
      </c>
      <c r="D1623" s="1" t="s">
        <v>23</v>
      </c>
      <c r="E1623" s="1" t="s">
        <v>24</v>
      </c>
      <c r="F1623" s="1" t="s">
        <v>18</v>
      </c>
      <c r="G1623" s="1" t="s">
        <v>19</v>
      </c>
      <c r="H1623" s="1" t="s">
        <v>20</v>
      </c>
      <c r="I1623" s="2">
        <v>45418</v>
      </c>
      <c r="J1623">
        <v>3390</v>
      </c>
      <c r="K1623" s="2">
        <v>45797</v>
      </c>
      <c r="L1623">
        <v>-1365</v>
      </c>
      <c r="M1623">
        <v>2025</v>
      </c>
      <c r="N1623">
        <v>0</v>
      </c>
    </row>
    <row r="1624" spans="1:14" x14ac:dyDescent="0.3">
      <c r="A1624" s="1" t="s">
        <v>1669</v>
      </c>
      <c r="B1624" s="1" t="s">
        <v>43</v>
      </c>
      <c r="C1624">
        <v>27</v>
      </c>
      <c r="D1624" s="1" t="s">
        <v>16</v>
      </c>
      <c r="E1624" s="1" t="s">
        <v>38</v>
      </c>
      <c r="F1624" s="1" t="s">
        <v>18</v>
      </c>
      <c r="G1624" s="1" t="s">
        <v>19</v>
      </c>
      <c r="H1624" s="1" t="s">
        <v>20</v>
      </c>
      <c r="I1624" s="2">
        <v>45085</v>
      </c>
      <c r="J1624">
        <v>5069</v>
      </c>
      <c r="K1624" s="2">
        <v>45855</v>
      </c>
      <c r="L1624">
        <v>19350</v>
      </c>
      <c r="M1624">
        <v>24419</v>
      </c>
      <c r="N1624">
        <v>0</v>
      </c>
    </row>
    <row r="1625" spans="1:14" x14ac:dyDescent="0.3">
      <c r="A1625" s="1" t="s">
        <v>1670</v>
      </c>
      <c r="B1625" s="1" t="s">
        <v>52</v>
      </c>
      <c r="C1625">
        <v>33</v>
      </c>
      <c r="D1625" s="1" t="s">
        <v>23</v>
      </c>
      <c r="E1625" s="1" t="s">
        <v>38</v>
      </c>
      <c r="F1625" s="1" t="s">
        <v>18</v>
      </c>
      <c r="G1625" s="1" t="s">
        <v>19</v>
      </c>
      <c r="H1625" s="1" t="s">
        <v>20</v>
      </c>
      <c r="I1625" s="2">
        <v>45583</v>
      </c>
      <c r="J1625">
        <v>4841</v>
      </c>
      <c r="K1625" s="2">
        <v>45835</v>
      </c>
      <c r="L1625">
        <v>12006</v>
      </c>
      <c r="M1625">
        <v>16847</v>
      </c>
      <c r="N1625">
        <v>0</v>
      </c>
    </row>
    <row r="1626" spans="1:14" x14ac:dyDescent="0.3">
      <c r="A1626" s="1" t="s">
        <v>1671</v>
      </c>
      <c r="B1626" s="1" t="s">
        <v>79</v>
      </c>
      <c r="C1626">
        <v>24</v>
      </c>
      <c r="D1626" s="1" t="s">
        <v>23</v>
      </c>
      <c r="E1626" s="1" t="s">
        <v>24</v>
      </c>
      <c r="F1626" s="1" t="s">
        <v>18</v>
      </c>
      <c r="G1626" s="1" t="s">
        <v>19</v>
      </c>
      <c r="H1626" s="1" t="s">
        <v>20</v>
      </c>
      <c r="I1626" s="2">
        <v>44908</v>
      </c>
      <c r="J1626">
        <v>3487</v>
      </c>
      <c r="K1626" s="2">
        <v>45869</v>
      </c>
      <c r="L1626">
        <v>12941</v>
      </c>
      <c r="M1626">
        <v>16428</v>
      </c>
      <c r="N1626">
        <v>0</v>
      </c>
    </row>
    <row r="1627" spans="1:14" x14ac:dyDescent="0.3">
      <c r="A1627" s="1" t="s">
        <v>1672</v>
      </c>
      <c r="B1627" s="1" t="s">
        <v>29</v>
      </c>
      <c r="C1627">
        <v>34</v>
      </c>
      <c r="D1627" s="1" t="s">
        <v>16</v>
      </c>
      <c r="E1627" s="1" t="s">
        <v>17</v>
      </c>
      <c r="F1627" s="1" t="s">
        <v>18</v>
      </c>
      <c r="G1627" s="1" t="s">
        <v>19</v>
      </c>
      <c r="H1627" s="1" t="s">
        <v>20</v>
      </c>
      <c r="I1627" s="2">
        <v>44300</v>
      </c>
      <c r="J1627">
        <v>2369</v>
      </c>
      <c r="K1627" s="2">
        <v>45836</v>
      </c>
      <c r="L1627">
        <v>-16992</v>
      </c>
      <c r="M1627">
        <v>-14623</v>
      </c>
      <c r="N1627">
        <v>0</v>
      </c>
    </row>
    <row r="1628" spans="1:14" x14ac:dyDescent="0.3">
      <c r="A1628" s="1" t="s">
        <v>1673</v>
      </c>
      <c r="B1628" s="1" t="s">
        <v>22</v>
      </c>
      <c r="C1628">
        <v>40</v>
      </c>
      <c r="D1628" s="1" t="s">
        <v>16</v>
      </c>
      <c r="E1628" s="1" t="s">
        <v>24</v>
      </c>
      <c r="F1628" s="1" t="s">
        <v>25</v>
      </c>
      <c r="G1628" s="1" t="s">
        <v>19</v>
      </c>
      <c r="H1628" s="1" t="s">
        <v>49</v>
      </c>
      <c r="I1628" s="2">
        <v>45128</v>
      </c>
      <c r="J1628">
        <v>105999</v>
      </c>
      <c r="K1628" s="2">
        <v>45835</v>
      </c>
      <c r="L1628">
        <v>20960</v>
      </c>
      <c r="M1628">
        <v>126959</v>
      </c>
      <c r="N1628">
        <v>0</v>
      </c>
    </row>
    <row r="1629" spans="1:14" x14ac:dyDescent="0.3">
      <c r="A1629" s="1" t="s">
        <v>1674</v>
      </c>
      <c r="B1629" s="1" t="s">
        <v>56</v>
      </c>
      <c r="C1629">
        <v>43</v>
      </c>
      <c r="D1629" s="1" t="s">
        <v>23</v>
      </c>
      <c r="E1629" s="1" t="s">
        <v>35</v>
      </c>
      <c r="F1629" s="1" t="s">
        <v>18</v>
      </c>
      <c r="G1629" s="1" t="s">
        <v>19</v>
      </c>
      <c r="H1629" s="1" t="s">
        <v>49</v>
      </c>
      <c r="I1629" s="2">
        <v>44483</v>
      </c>
      <c r="J1629">
        <v>11131</v>
      </c>
      <c r="K1629" s="2">
        <v>45847</v>
      </c>
      <c r="L1629">
        <v>25069</v>
      </c>
      <c r="M1629">
        <v>36200</v>
      </c>
      <c r="N1629">
        <v>0</v>
      </c>
    </row>
    <row r="1630" spans="1:14" x14ac:dyDescent="0.3">
      <c r="A1630" s="1" t="s">
        <v>1675</v>
      </c>
      <c r="B1630" s="1" t="s">
        <v>56</v>
      </c>
      <c r="C1630">
        <v>38</v>
      </c>
      <c r="D1630" s="1" t="s">
        <v>16</v>
      </c>
      <c r="E1630" s="1" t="s">
        <v>38</v>
      </c>
      <c r="F1630" s="1" t="s">
        <v>18</v>
      </c>
      <c r="G1630" s="1" t="s">
        <v>41</v>
      </c>
      <c r="H1630" s="1" t="s">
        <v>20</v>
      </c>
      <c r="I1630" s="2">
        <v>45812</v>
      </c>
      <c r="J1630">
        <v>3876</v>
      </c>
      <c r="K1630" s="2">
        <v>45868</v>
      </c>
      <c r="L1630">
        <v>11613</v>
      </c>
      <c r="M1630">
        <v>15489</v>
      </c>
      <c r="N1630">
        <v>0</v>
      </c>
    </row>
    <row r="1631" spans="1:14" x14ac:dyDescent="0.3">
      <c r="A1631" s="1" t="s">
        <v>1676</v>
      </c>
      <c r="B1631" s="1" t="s">
        <v>71</v>
      </c>
      <c r="C1631">
        <v>39</v>
      </c>
      <c r="D1631" s="1" t="s">
        <v>16</v>
      </c>
      <c r="E1631" s="1" t="s">
        <v>24</v>
      </c>
      <c r="F1631" s="1" t="s">
        <v>18</v>
      </c>
      <c r="G1631" s="1" t="s">
        <v>19</v>
      </c>
      <c r="H1631" s="1" t="s">
        <v>20</v>
      </c>
      <c r="I1631" s="2">
        <v>45078</v>
      </c>
      <c r="J1631">
        <v>7615</v>
      </c>
      <c r="K1631" s="2">
        <v>45828</v>
      </c>
      <c r="L1631">
        <v>-30884</v>
      </c>
      <c r="M1631">
        <v>-23269</v>
      </c>
      <c r="N1631">
        <v>0</v>
      </c>
    </row>
    <row r="1632" spans="1:14" x14ac:dyDescent="0.3">
      <c r="A1632" s="1" t="s">
        <v>1677</v>
      </c>
      <c r="B1632" s="1" t="s">
        <v>29</v>
      </c>
      <c r="C1632">
        <v>24</v>
      </c>
      <c r="D1632" s="1" t="s">
        <v>16</v>
      </c>
      <c r="E1632" s="1" t="s">
        <v>35</v>
      </c>
      <c r="F1632" s="1" t="s">
        <v>18</v>
      </c>
      <c r="G1632" s="1" t="s">
        <v>19</v>
      </c>
      <c r="H1632" s="1" t="s">
        <v>20</v>
      </c>
      <c r="I1632" s="2">
        <v>45123</v>
      </c>
      <c r="J1632">
        <v>13859</v>
      </c>
      <c r="K1632" s="2">
        <v>45822</v>
      </c>
      <c r="L1632">
        <v>10028</v>
      </c>
      <c r="M1632">
        <v>23887</v>
      </c>
      <c r="N1632">
        <v>0</v>
      </c>
    </row>
    <row r="1633" spans="1:14" x14ac:dyDescent="0.3">
      <c r="A1633" s="1" t="s">
        <v>1678</v>
      </c>
      <c r="B1633" s="1" t="s">
        <v>43</v>
      </c>
      <c r="C1633">
        <v>31</v>
      </c>
      <c r="D1633" s="1" t="s">
        <v>16</v>
      </c>
      <c r="E1633" s="1" t="s">
        <v>24</v>
      </c>
      <c r="F1633" s="1" t="s">
        <v>18</v>
      </c>
      <c r="G1633" s="1" t="s">
        <v>19</v>
      </c>
      <c r="H1633" s="1" t="s">
        <v>20</v>
      </c>
      <c r="I1633" s="2">
        <v>45714</v>
      </c>
      <c r="J1633">
        <v>9148</v>
      </c>
      <c r="K1633" s="2">
        <v>45861</v>
      </c>
      <c r="L1633">
        <v>26471</v>
      </c>
      <c r="M1633">
        <v>35619</v>
      </c>
      <c r="N1633">
        <v>0</v>
      </c>
    </row>
    <row r="1634" spans="1:14" x14ac:dyDescent="0.3">
      <c r="A1634" s="1" t="s">
        <v>1679</v>
      </c>
      <c r="B1634" s="1" t="s">
        <v>75</v>
      </c>
      <c r="C1634">
        <v>32</v>
      </c>
      <c r="D1634" s="1" t="s">
        <v>23</v>
      </c>
      <c r="E1634" s="1" t="s">
        <v>24</v>
      </c>
      <c r="F1634" s="1" t="s">
        <v>18</v>
      </c>
      <c r="G1634" s="1" t="s">
        <v>41</v>
      </c>
      <c r="H1634" s="1" t="s">
        <v>20</v>
      </c>
      <c r="I1634" s="2">
        <v>45241</v>
      </c>
      <c r="J1634">
        <v>3764</v>
      </c>
      <c r="K1634" s="2">
        <v>45861</v>
      </c>
      <c r="L1634">
        <v>8112</v>
      </c>
      <c r="M1634">
        <v>11876</v>
      </c>
      <c r="N1634">
        <v>0</v>
      </c>
    </row>
    <row r="1635" spans="1:14" x14ac:dyDescent="0.3">
      <c r="A1635" s="1" t="s">
        <v>1680</v>
      </c>
      <c r="B1635" s="1" t="s">
        <v>87</v>
      </c>
      <c r="C1635">
        <v>24</v>
      </c>
      <c r="D1635" s="1" t="s">
        <v>23</v>
      </c>
      <c r="E1635" s="1" t="s">
        <v>38</v>
      </c>
      <c r="F1635" s="1" t="s">
        <v>25</v>
      </c>
      <c r="G1635" s="1" t="s">
        <v>19</v>
      </c>
      <c r="H1635" s="1" t="s">
        <v>49</v>
      </c>
      <c r="I1635" s="2">
        <v>44703</v>
      </c>
      <c r="J1635">
        <v>5436</v>
      </c>
      <c r="K1635" s="2">
        <v>45701</v>
      </c>
      <c r="L1635">
        <v>10742</v>
      </c>
      <c r="M1635">
        <v>16178</v>
      </c>
      <c r="N1635">
        <v>0</v>
      </c>
    </row>
    <row r="1636" spans="1:14" x14ac:dyDescent="0.3">
      <c r="A1636" s="1" t="s">
        <v>1681</v>
      </c>
      <c r="B1636" s="1" t="s">
        <v>34</v>
      </c>
      <c r="C1636">
        <v>26</v>
      </c>
      <c r="D1636" s="1" t="s">
        <v>23</v>
      </c>
      <c r="E1636" s="1" t="s">
        <v>38</v>
      </c>
      <c r="F1636" s="1" t="s">
        <v>18</v>
      </c>
      <c r="G1636" s="1" t="s">
        <v>19</v>
      </c>
      <c r="H1636" s="1" t="s">
        <v>20</v>
      </c>
      <c r="I1636" s="2">
        <v>44692</v>
      </c>
      <c r="J1636">
        <v>43727</v>
      </c>
      <c r="K1636" s="2">
        <v>45844</v>
      </c>
      <c r="L1636">
        <v>2891</v>
      </c>
      <c r="M1636">
        <v>46618</v>
      </c>
      <c r="N1636">
        <v>0</v>
      </c>
    </row>
    <row r="1637" spans="1:14" x14ac:dyDescent="0.3">
      <c r="A1637" s="1" t="s">
        <v>1682</v>
      </c>
      <c r="B1637" s="1" t="s">
        <v>52</v>
      </c>
      <c r="C1637">
        <v>68</v>
      </c>
      <c r="D1637" s="1" t="s">
        <v>16</v>
      </c>
      <c r="E1637" s="1" t="s">
        <v>17</v>
      </c>
      <c r="F1637" s="1" t="s">
        <v>18</v>
      </c>
      <c r="G1637" s="1" t="s">
        <v>41</v>
      </c>
      <c r="H1637" s="1" t="s">
        <v>20</v>
      </c>
      <c r="I1637" s="2">
        <v>45036</v>
      </c>
      <c r="J1637">
        <v>3286</v>
      </c>
      <c r="K1637" s="2">
        <v>45857</v>
      </c>
      <c r="L1637">
        <v>19812</v>
      </c>
      <c r="M1637">
        <v>23098</v>
      </c>
      <c r="N1637">
        <v>0</v>
      </c>
    </row>
    <row r="1638" spans="1:14" x14ac:dyDescent="0.3">
      <c r="A1638" s="1" t="s">
        <v>1683</v>
      </c>
      <c r="B1638" s="1" t="s">
        <v>71</v>
      </c>
      <c r="C1638">
        <v>65</v>
      </c>
      <c r="D1638" s="1" t="s">
        <v>23</v>
      </c>
      <c r="E1638" s="1" t="s">
        <v>24</v>
      </c>
      <c r="F1638" s="1" t="s">
        <v>18</v>
      </c>
      <c r="G1638" s="1" t="s">
        <v>41</v>
      </c>
      <c r="H1638" s="1" t="s">
        <v>20</v>
      </c>
      <c r="I1638" s="2">
        <v>45646</v>
      </c>
      <c r="J1638">
        <v>1814</v>
      </c>
      <c r="K1638" s="2">
        <v>45867</v>
      </c>
      <c r="L1638">
        <v>9386</v>
      </c>
      <c r="M1638">
        <v>11200</v>
      </c>
      <c r="N1638">
        <v>0</v>
      </c>
    </row>
    <row r="1639" spans="1:14" x14ac:dyDescent="0.3">
      <c r="A1639" s="1" t="s">
        <v>1684</v>
      </c>
      <c r="B1639" s="1" t="s">
        <v>32</v>
      </c>
      <c r="C1639">
        <v>25</v>
      </c>
      <c r="D1639" s="1" t="s">
        <v>16</v>
      </c>
      <c r="E1639" s="1" t="s">
        <v>24</v>
      </c>
      <c r="F1639" s="1" t="s">
        <v>18</v>
      </c>
      <c r="G1639" s="1" t="s">
        <v>41</v>
      </c>
      <c r="H1639" s="1" t="s">
        <v>20</v>
      </c>
      <c r="I1639" s="2">
        <v>45526</v>
      </c>
      <c r="J1639">
        <v>9064</v>
      </c>
      <c r="K1639" s="2">
        <v>45852</v>
      </c>
      <c r="L1639">
        <v>15215</v>
      </c>
      <c r="M1639">
        <v>24279</v>
      </c>
      <c r="N1639">
        <v>0</v>
      </c>
    </row>
    <row r="1640" spans="1:14" x14ac:dyDescent="0.3">
      <c r="A1640" s="1" t="s">
        <v>1685</v>
      </c>
      <c r="B1640" s="1" t="s">
        <v>52</v>
      </c>
      <c r="C1640">
        <v>67</v>
      </c>
      <c r="D1640" s="1" t="s">
        <v>23</v>
      </c>
      <c r="E1640" s="1" t="s">
        <v>24</v>
      </c>
      <c r="F1640" s="1" t="s">
        <v>25</v>
      </c>
      <c r="G1640" s="1" t="s">
        <v>19</v>
      </c>
      <c r="H1640" s="1" t="s">
        <v>20</v>
      </c>
      <c r="I1640" s="2">
        <v>45807</v>
      </c>
      <c r="J1640">
        <v>1936</v>
      </c>
      <c r="K1640" s="2">
        <v>45864</v>
      </c>
      <c r="L1640">
        <v>11892</v>
      </c>
      <c r="M1640">
        <v>13828</v>
      </c>
      <c r="N1640">
        <v>0</v>
      </c>
    </row>
    <row r="1641" spans="1:14" x14ac:dyDescent="0.3">
      <c r="A1641" s="1" t="s">
        <v>1686</v>
      </c>
      <c r="B1641" s="1" t="s">
        <v>29</v>
      </c>
      <c r="C1641">
        <v>40</v>
      </c>
      <c r="D1641" s="1" t="s">
        <v>23</v>
      </c>
      <c r="E1641" s="1" t="s">
        <v>24</v>
      </c>
      <c r="F1641" s="1" t="s">
        <v>18</v>
      </c>
      <c r="G1641" s="1" t="s">
        <v>19</v>
      </c>
      <c r="H1641" s="1" t="s">
        <v>20</v>
      </c>
      <c r="I1641" s="2">
        <v>44317</v>
      </c>
      <c r="J1641">
        <v>5379</v>
      </c>
      <c r="K1641" s="2">
        <v>45786</v>
      </c>
      <c r="L1641">
        <v>10314</v>
      </c>
      <c r="M1641">
        <v>15693</v>
      </c>
      <c r="N1641">
        <v>0</v>
      </c>
    </row>
    <row r="1642" spans="1:14" x14ac:dyDescent="0.3">
      <c r="A1642" s="1" t="s">
        <v>1687</v>
      </c>
      <c r="B1642" s="1" t="s">
        <v>48</v>
      </c>
      <c r="C1642">
        <v>46</v>
      </c>
      <c r="D1642" s="1" t="s">
        <v>16</v>
      </c>
      <c r="E1642" s="1" t="s">
        <v>24</v>
      </c>
      <c r="F1642" s="1" t="s">
        <v>25</v>
      </c>
      <c r="G1642" s="1" t="s">
        <v>19</v>
      </c>
      <c r="H1642" s="1" t="s">
        <v>20</v>
      </c>
      <c r="I1642" s="2">
        <v>44645</v>
      </c>
      <c r="J1642">
        <v>3820</v>
      </c>
      <c r="K1642" s="2">
        <v>45732</v>
      </c>
      <c r="L1642">
        <v>6193</v>
      </c>
      <c r="M1642">
        <v>10013</v>
      </c>
      <c r="N1642">
        <v>0</v>
      </c>
    </row>
    <row r="1643" spans="1:14" x14ac:dyDescent="0.3">
      <c r="A1643" s="1" t="s">
        <v>1688</v>
      </c>
      <c r="B1643" s="1" t="s">
        <v>48</v>
      </c>
      <c r="C1643">
        <v>35</v>
      </c>
      <c r="D1643" s="1" t="s">
        <v>16</v>
      </c>
      <c r="E1643" s="1" t="s">
        <v>17</v>
      </c>
      <c r="F1643" s="1" t="s">
        <v>18</v>
      </c>
      <c r="G1643" s="1" t="s">
        <v>19</v>
      </c>
      <c r="H1643" s="1" t="s">
        <v>20</v>
      </c>
      <c r="I1643" s="2">
        <v>44331</v>
      </c>
      <c r="J1643">
        <v>3854</v>
      </c>
      <c r="K1643" s="2">
        <v>45840</v>
      </c>
      <c r="L1643">
        <v>-8826</v>
      </c>
      <c r="M1643">
        <v>-4972</v>
      </c>
      <c r="N1643">
        <v>0</v>
      </c>
    </row>
    <row r="1644" spans="1:14" x14ac:dyDescent="0.3">
      <c r="A1644" s="1" t="s">
        <v>1689</v>
      </c>
      <c r="B1644" s="1" t="s">
        <v>34</v>
      </c>
      <c r="C1644">
        <v>48</v>
      </c>
      <c r="D1644" s="1" t="s">
        <v>23</v>
      </c>
      <c r="E1644" s="1" t="s">
        <v>24</v>
      </c>
      <c r="F1644" s="1" t="s">
        <v>25</v>
      </c>
      <c r="G1644" s="1" t="s">
        <v>19</v>
      </c>
      <c r="H1644" s="1" t="s">
        <v>20</v>
      </c>
      <c r="I1644" s="2">
        <v>45453</v>
      </c>
      <c r="J1644">
        <v>14322</v>
      </c>
      <c r="K1644" s="2">
        <v>45865</v>
      </c>
      <c r="L1644">
        <v>-27435</v>
      </c>
      <c r="M1644">
        <v>-13113</v>
      </c>
      <c r="N1644">
        <v>0</v>
      </c>
    </row>
    <row r="1645" spans="1:14" x14ac:dyDescent="0.3">
      <c r="A1645" s="1" t="s">
        <v>1690</v>
      </c>
      <c r="B1645" s="1" t="s">
        <v>69</v>
      </c>
      <c r="C1645">
        <v>47</v>
      </c>
      <c r="D1645" s="1" t="s">
        <v>16</v>
      </c>
      <c r="E1645" s="1" t="s">
        <v>17</v>
      </c>
      <c r="F1645" s="1" t="s">
        <v>18</v>
      </c>
      <c r="G1645" s="1" t="s">
        <v>19</v>
      </c>
      <c r="H1645" s="1" t="s">
        <v>20</v>
      </c>
      <c r="I1645" s="2">
        <v>44432</v>
      </c>
      <c r="J1645">
        <v>17276</v>
      </c>
      <c r="K1645" s="2">
        <v>45861</v>
      </c>
      <c r="L1645">
        <v>-2514</v>
      </c>
      <c r="M1645">
        <v>14762</v>
      </c>
      <c r="N1645">
        <v>0</v>
      </c>
    </row>
    <row r="1646" spans="1:14" x14ac:dyDescent="0.3">
      <c r="A1646" s="1" t="s">
        <v>1691</v>
      </c>
      <c r="B1646" s="1" t="s">
        <v>69</v>
      </c>
      <c r="C1646">
        <v>69</v>
      </c>
      <c r="D1646" s="1" t="s">
        <v>23</v>
      </c>
      <c r="E1646" s="1" t="s">
        <v>24</v>
      </c>
      <c r="F1646" s="1" t="s">
        <v>25</v>
      </c>
      <c r="G1646" s="1" t="s">
        <v>19</v>
      </c>
      <c r="H1646" s="1" t="s">
        <v>20</v>
      </c>
      <c r="I1646" s="2">
        <v>44364</v>
      </c>
      <c r="J1646">
        <v>5968</v>
      </c>
      <c r="K1646" s="2">
        <v>45850</v>
      </c>
      <c r="L1646">
        <v>29758</v>
      </c>
      <c r="M1646">
        <v>35726</v>
      </c>
      <c r="N1646">
        <v>0</v>
      </c>
    </row>
    <row r="1647" spans="1:14" x14ac:dyDescent="0.3">
      <c r="A1647" s="1" t="s">
        <v>1692</v>
      </c>
      <c r="B1647" s="1" t="s">
        <v>37</v>
      </c>
      <c r="C1647">
        <v>56</v>
      </c>
      <c r="D1647" s="1" t="s">
        <v>16</v>
      </c>
      <c r="E1647" s="1" t="s">
        <v>38</v>
      </c>
      <c r="F1647" s="1" t="s">
        <v>18</v>
      </c>
      <c r="G1647" s="1" t="s">
        <v>19</v>
      </c>
      <c r="H1647" s="1" t="s">
        <v>20</v>
      </c>
      <c r="I1647" s="2">
        <v>45136</v>
      </c>
      <c r="J1647">
        <v>12156</v>
      </c>
      <c r="K1647" s="2">
        <v>45849</v>
      </c>
      <c r="L1647">
        <v>8178</v>
      </c>
      <c r="M1647">
        <v>20334</v>
      </c>
      <c r="N1647">
        <v>0</v>
      </c>
    </row>
    <row r="1648" spans="1:14" x14ac:dyDescent="0.3">
      <c r="A1648" s="1" t="s">
        <v>1693</v>
      </c>
      <c r="B1648" s="1" t="s">
        <v>69</v>
      </c>
      <c r="C1648">
        <v>52</v>
      </c>
      <c r="D1648" s="1" t="s">
        <v>16</v>
      </c>
      <c r="E1648" s="1" t="s">
        <v>38</v>
      </c>
      <c r="F1648" s="1" t="s">
        <v>18</v>
      </c>
      <c r="G1648" s="1" t="s">
        <v>19</v>
      </c>
      <c r="H1648" s="1" t="s">
        <v>20</v>
      </c>
      <c r="I1648" s="2">
        <v>44885</v>
      </c>
      <c r="J1648">
        <v>5678</v>
      </c>
      <c r="K1648" s="2">
        <v>45788</v>
      </c>
      <c r="L1648">
        <v>3785</v>
      </c>
      <c r="M1648">
        <v>9463</v>
      </c>
      <c r="N1648">
        <v>0</v>
      </c>
    </row>
    <row r="1649" spans="1:14" x14ac:dyDescent="0.3">
      <c r="A1649" s="1" t="s">
        <v>1694</v>
      </c>
      <c r="B1649" s="1" t="s">
        <v>22</v>
      </c>
      <c r="C1649">
        <v>35</v>
      </c>
      <c r="D1649" s="1" t="s">
        <v>23</v>
      </c>
      <c r="E1649" s="1" t="s">
        <v>24</v>
      </c>
      <c r="F1649" s="1" t="s">
        <v>25</v>
      </c>
      <c r="G1649" s="1" t="s">
        <v>19</v>
      </c>
      <c r="H1649" s="1" t="s">
        <v>20</v>
      </c>
      <c r="I1649" s="2">
        <v>45393</v>
      </c>
      <c r="J1649">
        <v>19947</v>
      </c>
      <c r="K1649" s="2">
        <v>45856</v>
      </c>
      <c r="L1649">
        <v>17593</v>
      </c>
      <c r="M1649">
        <v>37540</v>
      </c>
      <c r="N1649">
        <v>0</v>
      </c>
    </row>
    <row r="1650" spans="1:14" x14ac:dyDescent="0.3">
      <c r="A1650" s="1" t="s">
        <v>1695</v>
      </c>
      <c r="B1650" s="1" t="s">
        <v>48</v>
      </c>
      <c r="C1650">
        <v>59</v>
      </c>
      <c r="D1650" s="1" t="s">
        <v>16</v>
      </c>
      <c r="E1650" s="1" t="s">
        <v>17</v>
      </c>
      <c r="F1650" s="1" t="s">
        <v>25</v>
      </c>
      <c r="G1650" s="1" t="s">
        <v>19</v>
      </c>
      <c r="H1650" s="1" t="s">
        <v>20</v>
      </c>
      <c r="I1650" s="2">
        <v>45011</v>
      </c>
      <c r="J1650">
        <v>3048</v>
      </c>
      <c r="K1650" s="2">
        <v>45769</v>
      </c>
      <c r="L1650">
        <v>7951</v>
      </c>
      <c r="M1650">
        <v>10999</v>
      </c>
      <c r="N1650">
        <v>0</v>
      </c>
    </row>
    <row r="1651" spans="1:14" x14ac:dyDescent="0.3">
      <c r="A1651" s="1" t="s">
        <v>1696</v>
      </c>
      <c r="B1651" s="1" t="s">
        <v>56</v>
      </c>
      <c r="C1651">
        <v>56</v>
      </c>
      <c r="D1651" s="1" t="s">
        <v>16</v>
      </c>
      <c r="E1651" s="1" t="s">
        <v>17</v>
      </c>
      <c r="F1651" s="1" t="s">
        <v>18</v>
      </c>
      <c r="G1651" s="1" t="s">
        <v>19</v>
      </c>
      <c r="H1651" s="1" t="s">
        <v>20</v>
      </c>
      <c r="I1651" s="2">
        <v>44908</v>
      </c>
      <c r="J1651">
        <v>15760</v>
      </c>
      <c r="K1651" s="2">
        <v>45869</v>
      </c>
      <c r="L1651">
        <v>21585</v>
      </c>
      <c r="M1651">
        <v>37345</v>
      </c>
      <c r="N1651">
        <v>0</v>
      </c>
    </row>
    <row r="1652" spans="1:14" x14ac:dyDescent="0.3">
      <c r="A1652" s="1" t="s">
        <v>1697</v>
      </c>
      <c r="B1652" s="1" t="s">
        <v>40</v>
      </c>
      <c r="C1652">
        <v>34</v>
      </c>
      <c r="D1652" s="1" t="s">
        <v>16</v>
      </c>
      <c r="E1652" s="1" t="s">
        <v>24</v>
      </c>
      <c r="F1652" s="1" t="s">
        <v>18</v>
      </c>
      <c r="G1652" s="1" t="s">
        <v>19</v>
      </c>
      <c r="H1652" s="1" t="s">
        <v>20</v>
      </c>
      <c r="I1652" s="2">
        <v>44908</v>
      </c>
      <c r="J1652">
        <v>17002</v>
      </c>
      <c r="K1652" s="2">
        <v>45859</v>
      </c>
      <c r="L1652">
        <v>13338</v>
      </c>
      <c r="M1652">
        <v>30340</v>
      </c>
      <c r="N1652">
        <v>0</v>
      </c>
    </row>
    <row r="1653" spans="1:14" x14ac:dyDescent="0.3">
      <c r="A1653" s="1" t="s">
        <v>1698</v>
      </c>
      <c r="B1653" s="1" t="s">
        <v>34</v>
      </c>
      <c r="C1653">
        <v>31</v>
      </c>
      <c r="D1653" s="1" t="s">
        <v>23</v>
      </c>
      <c r="E1653" s="1" t="s">
        <v>17</v>
      </c>
      <c r="F1653" s="1" t="s">
        <v>18</v>
      </c>
      <c r="G1653" s="1" t="s">
        <v>19</v>
      </c>
      <c r="H1653" s="1" t="s">
        <v>20</v>
      </c>
      <c r="I1653" s="2">
        <v>45655</v>
      </c>
      <c r="J1653">
        <v>138134</v>
      </c>
      <c r="K1653" s="2">
        <v>45868</v>
      </c>
      <c r="L1653">
        <v>4846</v>
      </c>
      <c r="M1653">
        <v>142980</v>
      </c>
      <c r="N1653">
        <v>0</v>
      </c>
    </row>
    <row r="1654" spans="1:14" x14ac:dyDescent="0.3">
      <c r="A1654" s="1" t="s">
        <v>1699</v>
      </c>
      <c r="B1654" s="1" t="s">
        <v>71</v>
      </c>
      <c r="C1654">
        <v>48</v>
      </c>
      <c r="D1654" s="1" t="s">
        <v>23</v>
      </c>
      <c r="E1654" s="1" t="s">
        <v>24</v>
      </c>
      <c r="F1654" s="1" t="s">
        <v>25</v>
      </c>
      <c r="G1654" s="1" t="s">
        <v>41</v>
      </c>
      <c r="H1654" s="1" t="s">
        <v>20</v>
      </c>
      <c r="I1654" s="2">
        <v>44858</v>
      </c>
      <c r="J1654">
        <v>2311</v>
      </c>
      <c r="K1654" s="2">
        <v>45789</v>
      </c>
      <c r="L1654">
        <v>8755</v>
      </c>
      <c r="M1654">
        <v>11066</v>
      </c>
      <c r="N1654">
        <v>0</v>
      </c>
    </row>
    <row r="1655" spans="1:14" x14ac:dyDescent="0.3">
      <c r="A1655" s="1" t="s">
        <v>1700</v>
      </c>
      <c r="B1655" s="1" t="s">
        <v>61</v>
      </c>
      <c r="C1655">
        <v>41</v>
      </c>
      <c r="D1655" s="1" t="s">
        <v>16</v>
      </c>
      <c r="E1655" s="1" t="s">
        <v>17</v>
      </c>
      <c r="F1655" s="1" t="s">
        <v>18</v>
      </c>
      <c r="G1655" s="1" t="s">
        <v>19</v>
      </c>
      <c r="H1655" s="1" t="s">
        <v>49</v>
      </c>
      <c r="I1655" s="2">
        <v>44754</v>
      </c>
      <c r="J1655">
        <v>190187</v>
      </c>
      <c r="K1655" s="2">
        <v>45857</v>
      </c>
      <c r="L1655">
        <v>-8525</v>
      </c>
      <c r="M1655">
        <v>181662</v>
      </c>
      <c r="N1655">
        <v>0</v>
      </c>
    </row>
    <row r="1656" spans="1:14" x14ac:dyDescent="0.3">
      <c r="A1656" s="1" t="s">
        <v>1701</v>
      </c>
      <c r="B1656" s="1" t="s">
        <v>29</v>
      </c>
      <c r="C1656">
        <v>52</v>
      </c>
      <c r="D1656" s="1" t="s">
        <v>23</v>
      </c>
      <c r="E1656" s="1" t="s">
        <v>38</v>
      </c>
      <c r="F1656" s="1" t="s">
        <v>18</v>
      </c>
      <c r="G1656" s="1" t="s">
        <v>19</v>
      </c>
      <c r="H1656" s="1" t="s">
        <v>20</v>
      </c>
      <c r="I1656" s="2">
        <v>44763</v>
      </c>
      <c r="J1656">
        <v>28472</v>
      </c>
      <c r="K1656" s="2">
        <v>45846</v>
      </c>
      <c r="L1656">
        <v>42224</v>
      </c>
      <c r="M1656">
        <v>70696</v>
      </c>
      <c r="N1656">
        <v>0</v>
      </c>
    </row>
    <row r="1657" spans="1:14" x14ac:dyDescent="0.3">
      <c r="A1657" s="1" t="s">
        <v>1702</v>
      </c>
      <c r="B1657" s="1" t="s">
        <v>43</v>
      </c>
      <c r="C1657">
        <v>61</v>
      </c>
      <c r="D1657" s="1" t="s">
        <v>16</v>
      </c>
      <c r="E1657" s="1" t="s">
        <v>24</v>
      </c>
      <c r="F1657" s="1" t="s">
        <v>25</v>
      </c>
      <c r="G1657" s="1" t="s">
        <v>19</v>
      </c>
      <c r="H1657" s="1" t="s">
        <v>20</v>
      </c>
      <c r="I1657" s="2">
        <v>44525</v>
      </c>
      <c r="J1657">
        <v>83060</v>
      </c>
      <c r="K1657" s="2">
        <v>45853</v>
      </c>
      <c r="L1657">
        <v>14467</v>
      </c>
      <c r="M1657">
        <v>97527</v>
      </c>
      <c r="N1657">
        <v>0</v>
      </c>
    </row>
    <row r="1658" spans="1:14" x14ac:dyDescent="0.3">
      <c r="A1658" s="1" t="s">
        <v>1703</v>
      </c>
      <c r="B1658" s="1" t="s">
        <v>27</v>
      </c>
      <c r="C1658">
        <v>62</v>
      </c>
      <c r="D1658" s="1" t="s">
        <v>16</v>
      </c>
      <c r="E1658" s="1" t="s">
        <v>17</v>
      </c>
      <c r="F1658" s="1" t="s">
        <v>25</v>
      </c>
      <c r="G1658" s="1" t="s">
        <v>19</v>
      </c>
      <c r="H1658" s="1" t="s">
        <v>20</v>
      </c>
      <c r="I1658" s="2">
        <v>45636</v>
      </c>
      <c r="J1658">
        <v>33033</v>
      </c>
      <c r="K1658" s="2">
        <v>45862</v>
      </c>
      <c r="L1658">
        <v>16481</v>
      </c>
      <c r="M1658">
        <v>49514</v>
      </c>
      <c r="N1658">
        <v>0</v>
      </c>
    </row>
    <row r="1659" spans="1:14" x14ac:dyDescent="0.3">
      <c r="A1659" s="1" t="s">
        <v>1704</v>
      </c>
      <c r="B1659" s="1" t="s">
        <v>32</v>
      </c>
      <c r="C1659">
        <v>51</v>
      </c>
      <c r="D1659" s="1" t="s">
        <v>16</v>
      </c>
      <c r="E1659" s="1" t="s">
        <v>38</v>
      </c>
      <c r="F1659" s="1" t="s">
        <v>25</v>
      </c>
      <c r="G1659" s="1" t="s">
        <v>19</v>
      </c>
      <c r="H1659" s="1" t="s">
        <v>20</v>
      </c>
      <c r="I1659" s="2">
        <v>44442</v>
      </c>
      <c r="J1659">
        <v>5200</v>
      </c>
      <c r="K1659" s="2">
        <v>45849</v>
      </c>
      <c r="L1659">
        <v>6804</v>
      </c>
      <c r="M1659">
        <v>12004</v>
      </c>
      <c r="N1659">
        <v>0</v>
      </c>
    </row>
    <row r="1660" spans="1:14" x14ac:dyDescent="0.3">
      <c r="A1660" s="1" t="s">
        <v>1705</v>
      </c>
      <c r="B1660" s="1" t="s">
        <v>29</v>
      </c>
      <c r="C1660">
        <v>20</v>
      </c>
      <c r="D1660" s="1" t="s">
        <v>23</v>
      </c>
      <c r="E1660" s="1" t="s">
        <v>24</v>
      </c>
      <c r="F1660" s="1" t="s">
        <v>25</v>
      </c>
      <c r="G1660" s="1" t="s">
        <v>19</v>
      </c>
      <c r="H1660" s="1" t="s">
        <v>20</v>
      </c>
      <c r="I1660" s="2">
        <v>45717</v>
      </c>
      <c r="J1660">
        <v>25793</v>
      </c>
      <c r="K1660" s="2">
        <v>45857</v>
      </c>
      <c r="L1660">
        <v>-3531</v>
      </c>
      <c r="M1660">
        <v>22262</v>
      </c>
      <c r="N1660">
        <v>0</v>
      </c>
    </row>
    <row r="1661" spans="1:14" x14ac:dyDescent="0.3">
      <c r="A1661" s="1" t="s">
        <v>1706</v>
      </c>
      <c r="B1661" s="1" t="s">
        <v>48</v>
      </c>
      <c r="C1661">
        <v>54</v>
      </c>
      <c r="D1661" s="1" t="s">
        <v>23</v>
      </c>
      <c r="E1661" s="1" t="s">
        <v>17</v>
      </c>
      <c r="F1661" s="1" t="s">
        <v>25</v>
      </c>
      <c r="G1661" s="1" t="s">
        <v>19</v>
      </c>
      <c r="H1661" s="1" t="s">
        <v>20</v>
      </c>
      <c r="I1661" s="2">
        <v>44671</v>
      </c>
      <c r="J1661">
        <v>6866</v>
      </c>
      <c r="K1661" s="2">
        <v>45852</v>
      </c>
      <c r="L1661">
        <v>27242</v>
      </c>
      <c r="M1661">
        <v>34108</v>
      </c>
      <c r="N1661">
        <v>0</v>
      </c>
    </row>
    <row r="1662" spans="1:14" x14ac:dyDescent="0.3">
      <c r="A1662" s="1" t="s">
        <v>1707</v>
      </c>
      <c r="B1662" s="1" t="s">
        <v>43</v>
      </c>
      <c r="C1662">
        <v>60</v>
      </c>
      <c r="D1662" s="1" t="s">
        <v>16</v>
      </c>
      <c r="E1662" s="1" t="s">
        <v>24</v>
      </c>
      <c r="F1662" s="1" t="s">
        <v>18</v>
      </c>
      <c r="G1662" s="1" t="s">
        <v>41</v>
      </c>
      <c r="H1662" s="1" t="s">
        <v>20</v>
      </c>
      <c r="I1662" s="2">
        <v>45701</v>
      </c>
      <c r="J1662">
        <v>12233</v>
      </c>
      <c r="K1662" s="2">
        <v>45834</v>
      </c>
      <c r="L1662">
        <v>-2200</v>
      </c>
      <c r="M1662">
        <v>10033</v>
      </c>
      <c r="N1662">
        <v>0</v>
      </c>
    </row>
    <row r="1663" spans="1:14" x14ac:dyDescent="0.3">
      <c r="A1663" s="1" t="s">
        <v>1708</v>
      </c>
      <c r="B1663" s="1" t="s">
        <v>29</v>
      </c>
      <c r="C1663">
        <v>57</v>
      </c>
      <c r="D1663" s="1" t="s">
        <v>23</v>
      </c>
      <c r="E1663" s="1" t="s">
        <v>24</v>
      </c>
      <c r="F1663" s="1" t="s">
        <v>18</v>
      </c>
      <c r="G1663" s="1" t="s">
        <v>19</v>
      </c>
      <c r="H1663" s="1" t="s">
        <v>20</v>
      </c>
      <c r="I1663" s="2">
        <v>45520</v>
      </c>
      <c r="J1663">
        <v>4127</v>
      </c>
      <c r="K1663" s="2">
        <v>45849</v>
      </c>
      <c r="L1663">
        <v>20489</v>
      </c>
      <c r="M1663">
        <v>24616</v>
      </c>
      <c r="N1663">
        <v>0</v>
      </c>
    </row>
    <row r="1664" spans="1:14" x14ac:dyDescent="0.3">
      <c r="A1664" s="1" t="s">
        <v>1709</v>
      </c>
      <c r="B1664" s="1" t="s">
        <v>40</v>
      </c>
      <c r="C1664">
        <v>43</v>
      </c>
      <c r="D1664" s="1" t="s">
        <v>23</v>
      </c>
      <c r="E1664" s="1" t="s">
        <v>38</v>
      </c>
      <c r="F1664" s="1" t="s">
        <v>25</v>
      </c>
      <c r="G1664" s="1" t="s">
        <v>19</v>
      </c>
      <c r="H1664" s="1" t="s">
        <v>20</v>
      </c>
      <c r="I1664" s="2">
        <v>45170</v>
      </c>
      <c r="J1664">
        <v>6777</v>
      </c>
      <c r="K1664" s="2">
        <v>45856</v>
      </c>
      <c r="L1664">
        <v>13849</v>
      </c>
      <c r="M1664">
        <v>20626</v>
      </c>
      <c r="N1664">
        <v>0</v>
      </c>
    </row>
    <row r="1665" spans="1:14" x14ac:dyDescent="0.3">
      <c r="A1665" s="1" t="s">
        <v>1710</v>
      </c>
      <c r="B1665" s="1" t="s">
        <v>87</v>
      </c>
      <c r="C1665">
        <v>40</v>
      </c>
      <c r="D1665" s="1" t="s">
        <v>23</v>
      </c>
      <c r="E1665" s="1" t="s">
        <v>17</v>
      </c>
      <c r="F1665" s="1" t="s">
        <v>18</v>
      </c>
      <c r="G1665" s="1" t="s">
        <v>19</v>
      </c>
      <c r="H1665" s="1" t="s">
        <v>20</v>
      </c>
      <c r="I1665" s="2">
        <v>45317</v>
      </c>
      <c r="J1665">
        <v>32760</v>
      </c>
      <c r="K1665" s="2">
        <v>45850</v>
      </c>
      <c r="L1665">
        <v>27740</v>
      </c>
      <c r="M1665">
        <v>60500</v>
      </c>
      <c r="N1665">
        <v>0</v>
      </c>
    </row>
    <row r="1666" spans="1:14" x14ac:dyDescent="0.3">
      <c r="A1666" s="1" t="s">
        <v>1711</v>
      </c>
      <c r="B1666" s="1" t="s">
        <v>43</v>
      </c>
      <c r="C1666">
        <v>61</v>
      </c>
      <c r="D1666" s="1" t="s">
        <v>23</v>
      </c>
      <c r="E1666" s="1" t="s">
        <v>24</v>
      </c>
      <c r="F1666" s="1" t="s">
        <v>25</v>
      </c>
      <c r="G1666" s="1" t="s">
        <v>19</v>
      </c>
      <c r="H1666" s="1" t="s">
        <v>20</v>
      </c>
      <c r="I1666" s="2">
        <v>44742</v>
      </c>
      <c r="J1666">
        <v>20701</v>
      </c>
      <c r="K1666" s="2">
        <v>45866</v>
      </c>
      <c r="L1666">
        <v>-7630</v>
      </c>
      <c r="M1666">
        <v>13071</v>
      </c>
      <c r="N1666">
        <v>0</v>
      </c>
    </row>
    <row r="1667" spans="1:14" x14ac:dyDescent="0.3">
      <c r="A1667" s="1" t="s">
        <v>1712</v>
      </c>
      <c r="B1667" s="1" t="s">
        <v>56</v>
      </c>
      <c r="C1667">
        <v>56</v>
      </c>
      <c r="D1667" s="1" t="s">
        <v>16</v>
      </c>
      <c r="E1667" s="1" t="s">
        <v>24</v>
      </c>
      <c r="F1667" s="1" t="s">
        <v>18</v>
      </c>
      <c r="G1667" s="1" t="s">
        <v>19</v>
      </c>
      <c r="H1667" s="1" t="s">
        <v>20</v>
      </c>
      <c r="I1667" s="2">
        <v>45157</v>
      </c>
      <c r="J1667">
        <v>37206</v>
      </c>
      <c r="K1667" s="2">
        <v>45792</v>
      </c>
      <c r="L1667">
        <v>33847</v>
      </c>
      <c r="M1667">
        <v>71053</v>
      </c>
      <c r="N1667">
        <v>0</v>
      </c>
    </row>
    <row r="1668" spans="1:14" x14ac:dyDescent="0.3">
      <c r="A1668" s="1" t="s">
        <v>1713</v>
      </c>
      <c r="B1668" s="1" t="s">
        <v>48</v>
      </c>
      <c r="C1668">
        <v>32</v>
      </c>
      <c r="D1668" s="1" t="s">
        <v>23</v>
      </c>
      <c r="E1668" s="1" t="s">
        <v>17</v>
      </c>
      <c r="F1668" s="1" t="s">
        <v>18</v>
      </c>
      <c r="G1668" s="1" t="s">
        <v>19</v>
      </c>
      <c r="H1668" s="1" t="s">
        <v>20</v>
      </c>
      <c r="I1668" s="2">
        <v>44686</v>
      </c>
      <c r="J1668">
        <v>3302</v>
      </c>
      <c r="K1668" s="2">
        <v>45839</v>
      </c>
      <c r="L1668">
        <v>10750</v>
      </c>
      <c r="M1668">
        <v>14052</v>
      </c>
      <c r="N1668">
        <v>0</v>
      </c>
    </row>
    <row r="1669" spans="1:14" x14ac:dyDescent="0.3">
      <c r="A1669" s="1" t="s">
        <v>1714</v>
      </c>
      <c r="B1669" s="1" t="s">
        <v>61</v>
      </c>
      <c r="C1669">
        <v>66</v>
      </c>
      <c r="D1669" s="1" t="s">
        <v>23</v>
      </c>
      <c r="E1669" s="1" t="s">
        <v>38</v>
      </c>
      <c r="F1669" s="1" t="s">
        <v>25</v>
      </c>
      <c r="G1669" s="1" t="s">
        <v>19</v>
      </c>
      <c r="H1669" s="1" t="s">
        <v>20</v>
      </c>
      <c r="I1669" s="2">
        <v>44870</v>
      </c>
      <c r="J1669">
        <v>2058</v>
      </c>
      <c r="K1669" s="2">
        <v>45756</v>
      </c>
      <c r="L1669">
        <v>-3447</v>
      </c>
      <c r="M1669">
        <v>-1389</v>
      </c>
      <c r="N1669">
        <v>0</v>
      </c>
    </row>
    <row r="1670" spans="1:14" x14ac:dyDescent="0.3">
      <c r="A1670" s="1" t="s">
        <v>1715</v>
      </c>
      <c r="B1670" s="1" t="s">
        <v>69</v>
      </c>
      <c r="C1670">
        <v>21</v>
      </c>
      <c r="D1670" s="1" t="s">
        <v>23</v>
      </c>
      <c r="E1670" s="1" t="s">
        <v>38</v>
      </c>
      <c r="F1670" s="1" t="s">
        <v>25</v>
      </c>
      <c r="G1670" s="1" t="s">
        <v>19</v>
      </c>
      <c r="H1670" s="1" t="s">
        <v>20</v>
      </c>
      <c r="I1670" s="2">
        <v>45476</v>
      </c>
      <c r="J1670">
        <v>40204</v>
      </c>
      <c r="K1670" s="2">
        <v>45850</v>
      </c>
      <c r="L1670">
        <v>-4004</v>
      </c>
      <c r="M1670">
        <v>36200</v>
      </c>
      <c r="N1670">
        <v>0</v>
      </c>
    </row>
    <row r="1671" spans="1:14" x14ac:dyDescent="0.3">
      <c r="A1671" s="1" t="s">
        <v>1716</v>
      </c>
      <c r="B1671" s="1" t="s">
        <v>61</v>
      </c>
      <c r="C1671">
        <v>46</v>
      </c>
      <c r="D1671" s="1" t="s">
        <v>16</v>
      </c>
      <c r="E1671" s="1" t="s">
        <v>24</v>
      </c>
      <c r="F1671" s="1" t="s">
        <v>18</v>
      </c>
      <c r="G1671" s="1" t="s">
        <v>19</v>
      </c>
      <c r="H1671" s="1" t="s">
        <v>20</v>
      </c>
      <c r="I1671" s="2">
        <v>44605</v>
      </c>
      <c r="J1671">
        <v>37334</v>
      </c>
      <c r="K1671" s="2">
        <v>45846</v>
      </c>
      <c r="L1671">
        <v>23406</v>
      </c>
      <c r="M1671">
        <v>60740</v>
      </c>
      <c r="N1671">
        <v>0</v>
      </c>
    </row>
    <row r="1672" spans="1:14" x14ac:dyDescent="0.3">
      <c r="A1672" s="1" t="s">
        <v>1717</v>
      </c>
      <c r="B1672" s="1" t="s">
        <v>22</v>
      </c>
      <c r="C1672">
        <v>39</v>
      </c>
      <c r="D1672" s="1" t="s">
        <v>16</v>
      </c>
      <c r="E1672" s="1" t="s">
        <v>24</v>
      </c>
      <c r="F1672" s="1" t="s">
        <v>25</v>
      </c>
      <c r="G1672" s="1" t="s">
        <v>19</v>
      </c>
      <c r="H1672" s="1" t="s">
        <v>20</v>
      </c>
      <c r="I1672" s="2">
        <v>45600</v>
      </c>
      <c r="J1672">
        <v>16507</v>
      </c>
      <c r="K1672" s="2">
        <v>45826</v>
      </c>
      <c r="L1672">
        <v>534</v>
      </c>
      <c r="M1672">
        <v>17041</v>
      </c>
      <c r="N1672">
        <v>0</v>
      </c>
    </row>
    <row r="1673" spans="1:14" x14ac:dyDescent="0.3">
      <c r="A1673" s="1" t="s">
        <v>1718</v>
      </c>
      <c r="B1673" s="1" t="s">
        <v>48</v>
      </c>
      <c r="C1673">
        <v>42</v>
      </c>
      <c r="D1673" s="1" t="s">
        <v>23</v>
      </c>
      <c r="E1673" s="1" t="s">
        <v>17</v>
      </c>
      <c r="F1673" s="1" t="s">
        <v>25</v>
      </c>
      <c r="G1673" s="1" t="s">
        <v>41</v>
      </c>
      <c r="H1673" s="1" t="s">
        <v>20</v>
      </c>
      <c r="I1673" s="2">
        <v>44825</v>
      </c>
      <c r="J1673">
        <v>20317</v>
      </c>
      <c r="K1673" s="2">
        <v>45840</v>
      </c>
      <c r="L1673">
        <v>26972</v>
      </c>
      <c r="M1673">
        <v>47289</v>
      </c>
      <c r="N1673">
        <v>0</v>
      </c>
    </row>
    <row r="1674" spans="1:14" x14ac:dyDescent="0.3">
      <c r="A1674" s="1" t="s">
        <v>1719</v>
      </c>
      <c r="B1674" s="1" t="s">
        <v>43</v>
      </c>
      <c r="C1674">
        <v>30</v>
      </c>
      <c r="D1674" s="1" t="s">
        <v>16</v>
      </c>
      <c r="E1674" s="1" t="s">
        <v>38</v>
      </c>
      <c r="F1674" s="1" t="s">
        <v>18</v>
      </c>
      <c r="G1674" s="1" t="s">
        <v>19</v>
      </c>
      <c r="H1674" s="1" t="s">
        <v>20</v>
      </c>
      <c r="I1674" s="2">
        <v>45087</v>
      </c>
      <c r="J1674">
        <v>31731</v>
      </c>
      <c r="K1674" s="2">
        <v>45754</v>
      </c>
      <c r="L1674">
        <v>20298</v>
      </c>
      <c r="M1674">
        <v>52029</v>
      </c>
      <c r="N1674">
        <v>0</v>
      </c>
    </row>
    <row r="1675" spans="1:14" x14ac:dyDescent="0.3">
      <c r="A1675" s="1" t="s">
        <v>1720</v>
      </c>
      <c r="B1675" s="1" t="s">
        <v>56</v>
      </c>
      <c r="C1675">
        <v>35</v>
      </c>
      <c r="D1675" s="1" t="s">
        <v>16</v>
      </c>
      <c r="E1675" s="1" t="s">
        <v>17</v>
      </c>
      <c r="F1675" s="1" t="s">
        <v>18</v>
      </c>
      <c r="G1675" s="1" t="s">
        <v>19</v>
      </c>
      <c r="H1675" s="1" t="s">
        <v>20</v>
      </c>
      <c r="I1675" s="2">
        <v>45772</v>
      </c>
      <c r="J1675">
        <v>16019</v>
      </c>
      <c r="K1675" s="2">
        <v>45868</v>
      </c>
      <c r="L1675">
        <v>1301</v>
      </c>
      <c r="M1675">
        <v>17320</v>
      </c>
      <c r="N1675">
        <v>0</v>
      </c>
    </row>
    <row r="1676" spans="1:14" x14ac:dyDescent="0.3">
      <c r="A1676" s="1" t="s">
        <v>1721</v>
      </c>
      <c r="B1676" s="1" t="s">
        <v>32</v>
      </c>
      <c r="C1676">
        <v>50</v>
      </c>
      <c r="D1676" s="1" t="s">
        <v>16</v>
      </c>
      <c r="E1676" s="1" t="s">
        <v>17</v>
      </c>
      <c r="F1676" s="1" t="s">
        <v>25</v>
      </c>
      <c r="G1676" s="1" t="s">
        <v>19</v>
      </c>
      <c r="H1676" s="1" t="s">
        <v>20</v>
      </c>
      <c r="I1676" s="2">
        <v>45336</v>
      </c>
      <c r="J1676">
        <v>22849</v>
      </c>
      <c r="K1676" s="2">
        <v>45833</v>
      </c>
      <c r="L1676">
        <v>23635</v>
      </c>
      <c r="M1676">
        <v>46484</v>
      </c>
      <c r="N1676">
        <v>0</v>
      </c>
    </row>
    <row r="1677" spans="1:14" x14ac:dyDescent="0.3">
      <c r="A1677" s="1" t="s">
        <v>1722</v>
      </c>
      <c r="B1677" s="1" t="s">
        <v>32</v>
      </c>
      <c r="C1677">
        <v>33</v>
      </c>
      <c r="D1677" s="1" t="s">
        <v>16</v>
      </c>
      <c r="E1677" s="1" t="s">
        <v>24</v>
      </c>
      <c r="F1677" s="1" t="s">
        <v>25</v>
      </c>
      <c r="G1677" s="1" t="s">
        <v>41</v>
      </c>
      <c r="H1677" s="1" t="s">
        <v>49</v>
      </c>
      <c r="I1677" s="2">
        <v>45277</v>
      </c>
      <c r="J1677">
        <v>30177</v>
      </c>
      <c r="K1677" s="2">
        <v>45866</v>
      </c>
      <c r="L1677">
        <v>14867</v>
      </c>
      <c r="M1677">
        <v>45044</v>
      </c>
      <c r="N1677">
        <v>0</v>
      </c>
    </row>
    <row r="1678" spans="1:14" x14ac:dyDescent="0.3">
      <c r="A1678" s="1" t="s">
        <v>1723</v>
      </c>
      <c r="B1678" s="1" t="s">
        <v>37</v>
      </c>
      <c r="C1678">
        <v>62</v>
      </c>
      <c r="D1678" s="1" t="s">
        <v>23</v>
      </c>
      <c r="E1678" s="1" t="s">
        <v>24</v>
      </c>
      <c r="F1678" s="1" t="s">
        <v>18</v>
      </c>
      <c r="G1678" s="1" t="s">
        <v>19</v>
      </c>
      <c r="H1678" s="1" t="s">
        <v>20</v>
      </c>
      <c r="I1678" s="2">
        <v>45387</v>
      </c>
      <c r="J1678">
        <v>12167</v>
      </c>
      <c r="K1678" s="2">
        <v>45817</v>
      </c>
      <c r="L1678">
        <v>5930</v>
      </c>
      <c r="M1678">
        <v>18097</v>
      </c>
      <c r="N1678">
        <v>0</v>
      </c>
    </row>
    <row r="1679" spans="1:14" x14ac:dyDescent="0.3">
      <c r="A1679" s="1" t="s">
        <v>1724</v>
      </c>
      <c r="B1679" s="1" t="s">
        <v>59</v>
      </c>
      <c r="C1679">
        <v>59</v>
      </c>
      <c r="D1679" s="1" t="s">
        <v>23</v>
      </c>
      <c r="E1679" s="1" t="s">
        <v>24</v>
      </c>
      <c r="F1679" s="1" t="s">
        <v>25</v>
      </c>
      <c r="G1679" s="1" t="s">
        <v>19</v>
      </c>
      <c r="H1679" s="1" t="s">
        <v>20</v>
      </c>
      <c r="I1679" s="2">
        <v>45733</v>
      </c>
      <c r="J1679">
        <v>9456</v>
      </c>
      <c r="K1679" s="2">
        <v>45867</v>
      </c>
      <c r="L1679">
        <v>-987</v>
      </c>
      <c r="M1679">
        <v>8469</v>
      </c>
      <c r="N1679">
        <v>0</v>
      </c>
    </row>
    <row r="1680" spans="1:14" x14ac:dyDescent="0.3">
      <c r="A1680" s="1" t="s">
        <v>1725</v>
      </c>
      <c r="B1680" s="1" t="s">
        <v>43</v>
      </c>
      <c r="C1680">
        <v>61</v>
      </c>
      <c r="D1680" s="1" t="s">
        <v>23</v>
      </c>
      <c r="E1680" s="1" t="s">
        <v>17</v>
      </c>
      <c r="F1680" s="1" t="s">
        <v>25</v>
      </c>
      <c r="G1680" s="1" t="s">
        <v>19</v>
      </c>
      <c r="H1680" s="1" t="s">
        <v>20</v>
      </c>
      <c r="I1680" s="2">
        <v>44612</v>
      </c>
      <c r="J1680">
        <v>19576</v>
      </c>
      <c r="K1680" s="2">
        <v>45832</v>
      </c>
      <c r="L1680">
        <v>-8368</v>
      </c>
      <c r="M1680">
        <v>11208</v>
      </c>
      <c r="N1680">
        <v>0</v>
      </c>
    </row>
    <row r="1681" spans="1:14" x14ac:dyDescent="0.3">
      <c r="A1681" s="1" t="s">
        <v>1726</v>
      </c>
      <c r="B1681" s="1" t="s">
        <v>79</v>
      </c>
      <c r="C1681">
        <v>19</v>
      </c>
      <c r="D1681" s="1" t="s">
        <v>23</v>
      </c>
      <c r="E1681" s="1" t="s">
        <v>24</v>
      </c>
      <c r="F1681" s="1" t="s">
        <v>18</v>
      </c>
      <c r="G1681" s="1" t="s">
        <v>19</v>
      </c>
      <c r="H1681" s="1" t="s">
        <v>20</v>
      </c>
      <c r="I1681" s="2">
        <v>45222</v>
      </c>
      <c r="J1681">
        <v>128620</v>
      </c>
      <c r="K1681" s="2">
        <v>45843</v>
      </c>
      <c r="L1681">
        <v>21367</v>
      </c>
      <c r="M1681">
        <v>149987</v>
      </c>
      <c r="N1681">
        <v>0</v>
      </c>
    </row>
    <row r="1682" spans="1:14" x14ac:dyDescent="0.3">
      <c r="A1682" s="1" t="s">
        <v>1727</v>
      </c>
      <c r="B1682" s="1" t="s">
        <v>43</v>
      </c>
      <c r="C1682">
        <v>52</v>
      </c>
      <c r="D1682" s="1" t="s">
        <v>30</v>
      </c>
      <c r="E1682" s="1" t="s">
        <v>24</v>
      </c>
      <c r="F1682" s="1" t="s">
        <v>25</v>
      </c>
      <c r="G1682" s="1" t="s">
        <v>19</v>
      </c>
      <c r="H1682" s="1" t="s">
        <v>20</v>
      </c>
      <c r="I1682" s="2">
        <v>44866</v>
      </c>
      <c r="J1682">
        <v>5723</v>
      </c>
      <c r="K1682" s="2">
        <v>45868</v>
      </c>
      <c r="L1682">
        <v>2488</v>
      </c>
      <c r="M1682">
        <v>8211</v>
      </c>
      <c r="N1682">
        <v>0</v>
      </c>
    </row>
    <row r="1683" spans="1:14" x14ac:dyDescent="0.3">
      <c r="A1683" s="1" t="s">
        <v>1728</v>
      </c>
      <c r="B1683" s="1" t="s">
        <v>59</v>
      </c>
      <c r="C1683">
        <v>59</v>
      </c>
      <c r="D1683" s="1" t="s">
        <v>23</v>
      </c>
      <c r="E1683" s="1" t="s">
        <v>17</v>
      </c>
      <c r="F1683" s="1" t="s">
        <v>18</v>
      </c>
      <c r="G1683" s="1" t="s">
        <v>19</v>
      </c>
      <c r="H1683" s="1" t="s">
        <v>20</v>
      </c>
      <c r="I1683" s="2">
        <v>44216</v>
      </c>
      <c r="J1683">
        <v>8684</v>
      </c>
      <c r="K1683" s="2">
        <v>45758</v>
      </c>
      <c r="L1683">
        <v>12324</v>
      </c>
      <c r="M1683">
        <v>21008</v>
      </c>
      <c r="N1683">
        <v>0</v>
      </c>
    </row>
    <row r="1684" spans="1:14" x14ac:dyDescent="0.3">
      <c r="A1684" s="1" t="s">
        <v>1729</v>
      </c>
      <c r="B1684" s="1" t="s">
        <v>40</v>
      </c>
      <c r="C1684">
        <v>51</v>
      </c>
      <c r="D1684" s="1" t="s">
        <v>23</v>
      </c>
      <c r="E1684" s="1" t="s">
        <v>38</v>
      </c>
      <c r="F1684" s="1" t="s">
        <v>18</v>
      </c>
      <c r="G1684" s="1" t="s">
        <v>19</v>
      </c>
      <c r="H1684" s="1" t="s">
        <v>20</v>
      </c>
      <c r="I1684" s="2">
        <v>44406</v>
      </c>
      <c r="J1684">
        <v>2307</v>
      </c>
      <c r="K1684" s="2">
        <v>45786</v>
      </c>
      <c r="L1684">
        <v>9810</v>
      </c>
      <c r="M1684">
        <v>12117</v>
      </c>
      <c r="N1684">
        <v>0</v>
      </c>
    </row>
    <row r="1685" spans="1:14" x14ac:dyDescent="0.3">
      <c r="A1685" s="1" t="s">
        <v>1730</v>
      </c>
      <c r="B1685" s="1" t="s">
        <v>48</v>
      </c>
      <c r="C1685">
        <v>47</v>
      </c>
      <c r="D1685" s="1" t="s">
        <v>16</v>
      </c>
      <c r="E1685" s="1" t="s">
        <v>17</v>
      </c>
      <c r="F1685" s="1" t="s">
        <v>25</v>
      </c>
      <c r="G1685" s="1" t="s">
        <v>19</v>
      </c>
      <c r="H1685" s="1" t="s">
        <v>20</v>
      </c>
      <c r="I1685" s="2">
        <v>44740</v>
      </c>
      <c r="J1685">
        <v>20636</v>
      </c>
      <c r="K1685" s="2">
        <v>45826</v>
      </c>
      <c r="L1685">
        <v>-11192</v>
      </c>
      <c r="M1685">
        <v>9444</v>
      </c>
      <c r="N1685">
        <v>0</v>
      </c>
    </row>
    <row r="1686" spans="1:14" x14ac:dyDescent="0.3">
      <c r="A1686" s="1" t="s">
        <v>1731</v>
      </c>
      <c r="B1686" s="1" t="s">
        <v>27</v>
      </c>
      <c r="C1686">
        <v>30</v>
      </c>
      <c r="D1686" s="1" t="s">
        <v>16</v>
      </c>
      <c r="E1686" s="1" t="s">
        <v>24</v>
      </c>
      <c r="F1686" s="1" t="s">
        <v>25</v>
      </c>
      <c r="G1686" s="1" t="s">
        <v>19</v>
      </c>
      <c r="H1686" s="1" t="s">
        <v>20</v>
      </c>
      <c r="I1686" s="2">
        <v>45142</v>
      </c>
      <c r="J1686">
        <v>7864</v>
      </c>
      <c r="K1686" s="2">
        <v>45845</v>
      </c>
      <c r="L1686">
        <v>14133</v>
      </c>
      <c r="M1686">
        <v>21997</v>
      </c>
      <c r="N1686">
        <v>0</v>
      </c>
    </row>
    <row r="1687" spans="1:14" x14ac:dyDescent="0.3">
      <c r="A1687" s="1" t="s">
        <v>1732</v>
      </c>
      <c r="B1687" s="1" t="s">
        <v>61</v>
      </c>
      <c r="C1687">
        <v>30</v>
      </c>
      <c r="D1687" s="1" t="s">
        <v>23</v>
      </c>
      <c r="E1687" s="1" t="s">
        <v>38</v>
      </c>
      <c r="F1687" s="1" t="s">
        <v>25</v>
      </c>
      <c r="G1687" s="1" t="s">
        <v>19</v>
      </c>
      <c r="H1687" s="1" t="s">
        <v>20</v>
      </c>
      <c r="I1687" s="2">
        <v>45671</v>
      </c>
      <c r="J1687">
        <v>3293</v>
      </c>
      <c r="K1687" s="2">
        <v>45868</v>
      </c>
      <c r="L1687">
        <v>12150</v>
      </c>
      <c r="M1687">
        <v>15443</v>
      </c>
      <c r="N1687">
        <v>0</v>
      </c>
    </row>
    <row r="1688" spans="1:14" x14ac:dyDescent="0.3">
      <c r="A1688" s="1" t="s">
        <v>1733</v>
      </c>
      <c r="B1688" s="1" t="s">
        <v>61</v>
      </c>
      <c r="C1688">
        <v>35</v>
      </c>
      <c r="D1688" s="1" t="s">
        <v>23</v>
      </c>
      <c r="E1688" s="1" t="s">
        <v>24</v>
      </c>
      <c r="F1688" s="1" t="s">
        <v>18</v>
      </c>
      <c r="G1688" s="1" t="s">
        <v>19</v>
      </c>
      <c r="H1688" s="1" t="s">
        <v>20</v>
      </c>
      <c r="I1688" s="2">
        <v>45520</v>
      </c>
      <c r="J1688">
        <v>12537</v>
      </c>
      <c r="K1688" s="2">
        <v>45861</v>
      </c>
      <c r="L1688">
        <v>9032</v>
      </c>
      <c r="M1688">
        <v>21569</v>
      </c>
      <c r="N1688">
        <v>0</v>
      </c>
    </row>
    <row r="1689" spans="1:14" x14ac:dyDescent="0.3">
      <c r="A1689" s="1" t="s">
        <v>1734</v>
      </c>
      <c r="B1689" s="1" t="s">
        <v>75</v>
      </c>
      <c r="C1689">
        <v>49</v>
      </c>
      <c r="D1689" s="1" t="s">
        <v>23</v>
      </c>
      <c r="E1689" s="1" t="s">
        <v>24</v>
      </c>
      <c r="F1689" s="1" t="s">
        <v>18</v>
      </c>
      <c r="G1689" s="1" t="s">
        <v>19</v>
      </c>
      <c r="H1689" s="1" t="s">
        <v>20</v>
      </c>
      <c r="I1689" s="2">
        <v>45122</v>
      </c>
      <c r="J1689">
        <v>59554</v>
      </c>
      <c r="K1689" s="2">
        <v>45868</v>
      </c>
      <c r="L1689">
        <v>32849</v>
      </c>
      <c r="M1689">
        <v>92403</v>
      </c>
      <c r="N1689">
        <v>0</v>
      </c>
    </row>
    <row r="1690" spans="1:14" x14ac:dyDescent="0.3">
      <c r="A1690" s="1" t="s">
        <v>1735</v>
      </c>
      <c r="B1690" s="1" t="s">
        <v>43</v>
      </c>
      <c r="C1690">
        <v>49</v>
      </c>
      <c r="D1690" s="1" t="s">
        <v>16</v>
      </c>
      <c r="E1690" s="1" t="s">
        <v>38</v>
      </c>
      <c r="F1690" s="1" t="s">
        <v>18</v>
      </c>
      <c r="G1690" s="1" t="s">
        <v>19</v>
      </c>
      <c r="H1690" s="1" t="s">
        <v>20</v>
      </c>
      <c r="I1690" s="2">
        <v>44320</v>
      </c>
      <c r="J1690">
        <v>9395</v>
      </c>
      <c r="K1690" s="2">
        <v>45864</v>
      </c>
      <c r="L1690">
        <v>32100</v>
      </c>
      <c r="M1690">
        <v>41495</v>
      </c>
      <c r="N1690">
        <v>0</v>
      </c>
    </row>
    <row r="1691" spans="1:14" x14ac:dyDescent="0.3">
      <c r="A1691" s="1" t="s">
        <v>1736</v>
      </c>
      <c r="B1691" s="1" t="s">
        <v>29</v>
      </c>
      <c r="C1691">
        <v>52</v>
      </c>
      <c r="D1691" s="1" t="s">
        <v>23</v>
      </c>
      <c r="E1691" s="1" t="s">
        <v>17</v>
      </c>
      <c r="F1691" s="1" t="s">
        <v>18</v>
      </c>
      <c r="G1691" s="1" t="s">
        <v>19</v>
      </c>
      <c r="H1691" s="1" t="s">
        <v>49</v>
      </c>
      <c r="I1691" s="2">
        <v>44675</v>
      </c>
      <c r="J1691">
        <v>10296</v>
      </c>
      <c r="K1691" s="2">
        <v>45835</v>
      </c>
      <c r="L1691">
        <v>-4591</v>
      </c>
      <c r="M1691">
        <v>5705</v>
      </c>
      <c r="N1691">
        <v>0</v>
      </c>
    </row>
    <row r="1692" spans="1:14" x14ac:dyDescent="0.3">
      <c r="A1692" s="1" t="s">
        <v>1737</v>
      </c>
      <c r="B1692" s="1" t="s">
        <v>52</v>
      </c>
      <c r="C1692">
        <v>56</v>
      </c>
      <c r="D1692" s="1" t="s">
        <v>23</v>
      </c>
      <c r="E1692" s="1" t="s">
        <v>35</v>
      </c>
      <c r="F1692" s="1" t="s">
        <v>18</v>
      </c>
      <c r="G1692" s="1" t="s">
        <v>19</v>
      </c>
      <c r="H1692" s="1" t="s">
        <v>20</v>
      </c>
      <c r="I1692" s="2">
        <v>44810</v>
      </c>
      <c r="J1692">
        <v>57280</v>
      </c>
      <c r="K1692" s="2">
        <v>45784</v>
      </c>
      <c r="L1692">
        <v>-14692</v>
      </c>
      <c r="M1692">
        <v>42588</v>
      </c>
      <c r="N1692">
        <v>0</v>
      </c>
    </row>
    <row r="1693" spans="1:14" x14ac:dyDescent="0.3">
      <c r="A1693" s="1" t="s">
        <v>1738</v>
      </c>
      <c r="B1693" s="1" t="s">
        <v>27</v>
      </c>
      <c r="C1693">
        <v>63</v>
      </c>
      <c r="D1693" s="1" t="s">
        <v>16</v>
      </c>
      <c r="E1693" s="1" t="s">
        <v>24</v>
      </c>
      <c r="F1693" s="1" t="s">
        <v>18</v>
      </c>
      <c r="G1693" s="1" t="s">
        <v>19</v>
      </c>
      <c r="H1693" s="1" t="s">
        <v>20</v>
      </c>
      <c r="I1693" s="2">
        <v>45237</v>
      </c>
      <c r="J1693">
        <v>13293</v>
      </c>
      <c r="K1693" s="2">
        <v>45861</v>
      </c>
      <c r="L1693">
        <v>27589</v>
      </c>
      <c r="M1693">
        <v>40882</v>
      </c>
      <c r="N1693">
        <v>0</v>
      </c>
    </row>
    <row r="1694" spans="1:14" x14ac:dyDescent="0.3">
      <c r="A1694" s="1" t="s">
        <v>1739</v>
      </c>
      <c r="B1694" s="1" t="s">
        <v>29</v>
      </c>
      <c r="C1694">
        <v>69</v>
      </c>
      <c r="D1694" s="1" t="s">
        <v>23</v>
      </c>
      <c r="E1694" s="1" t="s">
        <v>24</v>
      </c>
      <c r="F1694" s="1" t="s">
        <v>18</v>
      </c>
      <c r="G1694" s="1" t="s">
        <v>19</v>
      </c>
      <c r="H1694" s="1" t="s">
        <v>20</v>
      </c>
      <c r="I1694" s="2">
        <v>44305</v>
      </c>
      <c r="J1694">
        <v>3993</v>
      </c>
      <c r="K1694" s="2">
        <v>45843</v>
      </c>
      <c r="L1694">
        <v>3294</v>
      </c>
      <c r="M1694">
        <v>7287</v>
      </c>
      <c r="N1694">
        <v>0</v>
      </c>
    </row>
    <row r="1695" spans="1:14" x14ac:dyDescent="0.3">
      <c r="A1695" s="1" t="s">
        <v>1740</v>
      </c>
      <c r="B1695" s="1" t="s">
        <v>15</v>
      </c>
      <c r="C1695">
        <v>46</v>
      </c>
      <c r="D1695" s="1" t="s">
        <v>16</v>
      </c>
      <c r="E1695" s="1" t="s">
        <v>24</v>
      </c>
      <c r="F1695" s="1" t="s">
        <v>25</v>
      </c>
      <c r="G1695" s="1" t="s">
        <v>19</v>
      </c>
      <c r="H1695" s="1" t="s">
        <v>20</v>
      </c>
      <c r="I1695" s="2">
        <v>45084</v>
      </c>
      <c r="J1695">
        <v>26609</v>
      </c>
      <c r="K1695" s="2">
        <v>45849</v>
      </c>
      <c r="L1695">
        <v>-9651</v>
      </c>
      <c r="M1695">
        <v>16958</v>
      </c>
      <c r="N1695">
        <v>0</v>
      </c>
    </row>
    <row r="1696" spans="1:14" x14ac:dyDescent="0.3">
      <c r="A1696" s="1" t="s">
        <v>1741</v>
      </c>
      <c r="B1696" s="1" t="s">
        <v>52</v>
      </c>
      <c r="C1696">
        <v>66</v>
      </c>
      <c r="D1696" s="1" t="s">
        <v>16</v>
      </c>
      <c r="E1696" s="1" t="s">
        <v>24</v>
      </c>
      <c r="F1696" s="1" t="s">
        <v>18</v>
      </c>
      <c r="G1696" s="1" t="s">
        <v>19</v>
      </c>
      <c r="H1696" s="1" t="s">
        <v>20</v>
      </c>
      <c r="I1696" s="2">
        <v>45705</v>
      </c>
      <c r="J1696">
        <v>41134</v>
      </c>
      <c r="K1696" s="2">
        <v>45868</v>
      </c>
      <c r="L1696">
        <v>9884</v>
      </c>
      <c r="M1696">
        <v>51018</v>
      </c>
      <c r="N1696">
        <v>0</v>
      </c>
    </row>
    <row r="1697" spans="1:14" x14ac:dyDescent="0.3">
      <c r="A1697" s="1" t="s">
        <v>1742</v>
      </c>
      <c r="B1697" s="1" t="s">
        <v>79</v>
      </c>
      <c r="C1697">
        <v>46</v>
      </c>
      <c r="D1697" s="1" t="s">
        <v>23</v>
      </c>
      <c r="E1697" s="1" t="s">
        <v>38</v>
      </c>
      <c r="F1697" s="1" t="s">
        <v>18</v>
      </c>
      <c r="G1697" s="1" t="s">
        <v>41</v>
      </c>
      <c r="H1697" s="1" t="s">
        <v>20</v>
      </c>
      <c r="I1697" s="2">
        <v>45377</v>
      </c>
      <c r="J1697">
        <v>10934</v>
      </c>
      <c r="K1697" s="2">
        <v>45783</v>
      </c>
      <c r="L1697">
        <v>16457</v>
      </c>
      <c r="M1697">
        <v>27391</v>
      </c>
      <c r="N1697">
        <v>0</v>
      </c>
    </row>
    <row r="1698" spans="1:14" x14ac:dyDescent="0.3">
      <c r="A1698" s="1" t="s">
        <v>1743</v>
      </c>
      <c r="B1698" s="1" t="s">
        <v>43</v>
      </c>
      <c r="C1698">
        <v>61</v>
      </c>
      <c r="D1698" s="1" t="s">
        <v>16</v>
      </c>
      <c r="E1698" s="1" t="s">
        <v>38</v>
      </c>
      <c r="F1698" s="1" t="s">
        <v>18</v>
      </c>
      <c r="G1698" s="1" t="s">
        <v>19</v>
      </c>
      <c r="H1698" s="1" t="s">
        <v>20</v>
      </c>
      <c r="I1698" s="2">
        <v>45530</v>
      </c>
      <c r="J1698">
        <v>15222</v>
      </c>
      <c r="K1698" s="2">
        <v>45853</v>
      </c>
      <c r="L1698">
        <v>-797</v>
      </c>
      <c r="M1698">
        <v>14425</v>
      </c>
      <c r="N1698">
        <v>0</v>
      </c>
    </row>
    <row r="1699" spans="1:14" x14ac:dyDescent="0.3">
      <c r="A1699" s="1" t="s">
        <v>1744</v>
      </c>
      <c r="B1699" s="1" t="s">
        <v>22</v>
      </c>
      <c r="C1699">
        <v>33</v>
      </c>
      <c r="D1699" s="1" t="s">
        <v>16</v>
      </c>
      <c r="E1699" s="1" t="s">
        <v>38</v>
      </c>
      <c r="F1699" s="1" t="s">
        <v>18</v>
      </c>
      <c r="G1699" s="1" t="s">
        <v>19</v>
      </c>
      <c r="H1699" s="1" t="s">
        <v>49</v>
      </c>
      <c r="I1699" s="2">
        <v>45337</v>
      </c>
      <c r="J1699">
        <v>3600</v>
      </c>
      <c r="K1699" s="2">
        <v>45864</v>
      </c>
      <c r="L1699">
        <v>11382</v>
      </c>
      <c r="M1699">
        <v>14982</v>
      </c>
      <c r="N1699">
        <v>0</v>
      </c>
    </row>
    <row r="1700" spans="1:14" x14ac:dyDescent="0.3">
      <c r="A1700" s="1" t="s">
        <v>1745</v>
      </c>
      <c r="B1700" s="1" t="s">
        <v>52</v>
      </c>
      <c r="C1700">
        <v>61</v>
      </c>
      <c r="D1700" s="1" t="s">
        <v>23</v>
      </c>
      <c r="E1700" s="1" t="s">
        <v>35</v>
      </c>
      <c r="F1700" s="1" t="s">
        <v>18</v>
      </c>
      <c r="G1700" s="1" t="s">
        <v>19</v>
      </c>
      <c r="H1700" s="1" t="s">
        <v>20</v>
      </c>
      <c r="I1700" s="2">
        <v>44542</v>
      </c>
      <c r="J1700">
        <v>5594</v>
      </c>
      <c r="K1700" s="2">
        <v>45699</v>
      </c>
      <c r="L1700">
        <v>17433</v>
      </c>
      <c r="M1700">
        <v>23027</v>
      </c>
      <c r="N1700">
        <v>0</v>
      </c>
    </row>
    <row r="1701" spans="1:14" x14ac:dyDescent="0.3">
      <c r="A1701" s="1" t="s">
        <v>1746</v>
      </c>
      <c r="B1701" s="1" t="s">
        <v>59</v>
      </c>
      <c r="C1701">
        <v>64</v>
      </c>
      <c r="D1701" s="1" t="s">
        <v>16</v>
      </c>
      <c r="E1701" s="1" t="s">
        <v>38</v>
      </c>
      <c r="F1701" s="1" t="s">
        <v>18</v>
      </c>
      <c r="G1701" s="1" t="s">
        <v>19</v>
      </c>
      <c r="H1701" s="1" t="s">
        <v>20</v>
      </c>
      <c r="I1701" s="2">
        <v>44381</v>
      </c>
      <c r="J1701">
        <v>9575</v>
      </c>
      <c r="K1701" s="2">
        <v>45823</v>
      </c>
      <c r="L1701">
        <v>-1701</v>
      </c>
      <c r="M1701">
        <v>7874</v>
      </c>
      <c r="N1701">
        <v>0</v>
      </c>
    </row>
    <row r="1702" spans="1:14" x14ac:dyDescent="0.3">
      <c r="A1702" s="1" t="s">
        <v>1747</v>
      </c>
      <c r="B1702" s="1" t="s">
        <v>32</v>
      </c>
      <c r="C1702">
        <v>27</v>
      </c>
      <c r="D1702" s="1" t="s">
        <v>16</v>
      </c>
      <c r="E1702" s="1" t="s">
        <v>24</v>
      </c>
      <c r="F1702" s="1" t="s">
        <v>25</v>
      </c>
      <c r="G1702" s="1" t="s">
        <v>19</v>
      </c>
      <c r="H1702" s="1" t="s">
        <v>20</v>
      </c>
      <c r="I1702" s="2">
        <v>45584</v>
      </c>
      <c r="J1702">
        <v>14428</v>
      </c>
      <c r="K1702" s="2">
        <v>45863</v>
      </c>
      <c r="L1702">
        <v>5826</v>
      </c>
      <c r="M1702">
        <v>20254</v>
      </c>
      <c r="N1702">
        <v>0</v>
      </c>
    </row>
    <row r="1703" spans="1:14" x14ac:dyDescent="0.3">
      <c r="A1703" s="1" t="s">
        <v>1748</v>
      </c>
      <c r="B1703" s="1" t="s">
        <v>59</v>
      </c>
      <c r="C1703">
        <v>47</v>
      </c>
      <c r="D1703" s="1" t="s">
        <v>16</v>
      </c>
      <c r="E1703" s="1" t="s">
        <v>24</v>
      </c>
      <c r="F1703" s="1" t="s">
        <v>18</v>
      </c>
      <c r="G1703" s="1" t="s">
        <v>19</v>
      </c>
      <c r="H1703" s="1" t="s">
        <v>20</v>
      </c>
      <c r="I1703" s="2">
        <v>45360</v>
      </c>
      <c r="J1703">
        <v>7189</v>
      </c>
      <c r="K1703" s="2">
        <v>45858</v>
      </c>
      <c r="L1703">
        <v>14995</v>
      </c>
      <c r="M1703">
        <v>22184</v>
      </c>
      <c r="N1703">
        <v>0</v>
      </c>
    </row>
    <row r="1704" spans="1:14" x14ac:dyDescent="0.3">
      <c r="A1704" s="1" t="s">
        <v>1749</v>
      </c>
      <c r="B1704" s="1" t="s">
        <v>37</v>
      </c>
      <c r="C1704">
        <v>42</v>
      </c>
      <c r="D1704" s="1" t="s">
        <v>23</v>
      </c>
      <c r="E1704" s="1" t="s">
        <v>24</v>
      </c>
      <c r="F1704" s="1" t="s">
        <v>25</v>
      </c>
      <c r="G1704" s="1" t="s">
        <v>41</v>
      </c>
      <c r="H1704" s="1" t="s">
        <v>20</v>
      </c>
      <c r="I1704" s="2">
        <v>45159</v>
      </c>
      <c r="J1704">
        <v>9221</v>
      </c>
      <c r="K1704" s="2">
        <v>45867</v>
      </c>
      <c r="L1704">
        <v>21718</v>
      </c>
      <c r="M1704">
        <v>30939</v>
      </c>
      <c r="N1704">
        <v>0</v>
      </c>
    </row>
    <row r="1705" spans="1:14" x14ac:dyDescent="0.3">
      <c r="A1705" s="1" t="s">
        <v>1750</v>
      </c>
      <c r="B1705" s="1" t="s">
        <v>59</v>
      </c>
      <c r="C1705">
        <v>56</v>
      </c>
      <c r="D1705" s="1" t="s">
        <v>30</v>
      </c>
      <c r="E1705" s="1" t="s">
        <v>17</v>
      </c>
      <c r="F1705" s="1" t="s">
        <v>25</v>
      </c>
      <c r="G1705" s="1" t="s">
        <v>19</v>
      </c>
      <c r="H1705" s="1" t="s">
        <v>49</v>
      </c>
      <c r="I1705" s="2">
        <v>44513</v>
      </c>
      <c r="J1705">
        <v>11804</v>
      </c>
      <c r="K1705" s="2">
        <v>45869</v>
      </c>
      <c r="L1705">
        <v>18640</v>
      </c>
      <c r="M1705">
        <v>30444</v>
      </c>
      <c r="N1705">
        <v>0</v>
      </c>
    </row>
    <row r="1706" spans="1:14" x14ac:dyDescent="0.3">
      <c r="A1706" s="1" t="s">
        <v>1751</v>
      </c>
      <c r="B1706" s="1" t="s">
        <v>29</v>
      </c>
      <c r="C1706">
        <v>37</v>
      </c>
      <c r="D1706" s="1" t="s">
        <v>23</v>
      </c>
      <c r="E1706" s="1" t="s">
        <v>38</v>
      </c>
      <c r="F1706" s="1" t="s">
        <v>25</v>
      </c>
      <c r="G1706" s="1" t="s">
        <v>19</v>
      </c>
      <c r="H1706" s="1" t="s">
        <v>20</v>
      </c>
      <c r="I1706" s="2">
        <v>45206</v>
      </c>
      <c r="J1706">
        <v>4924</v>
      </c>
      <c r="K1706" s="2">
        <v>45841</v>
      </c>
      <c r="L1706">
        <v>16115</v>
      </c>
      <c r="M1706">
        <v>21039</v>
      </c>
      <c r="N1706">
        <v>0</v>
      </c>
    </row>
    <row r="1707" spans="1:14" x14ac:dyDescent="0.3">
      <c r="A1707" s="1" t="s">
        <v>1752</v>
      </c>
      <c r="B1707" s="1" t="s">
        <v>29</v>
      </c>
      <c r="C1707">
        <v>22</v>
      </c>
      <c r="D1707" s="1" t="s">
        <v>23</v>
      </c>
      <c r="E1707" s="1" t="s">
        <v>24</v>
      </c>
      <c r="F1707" s="1" t="s">
        <v>18</v>
      </c>
      <c r="G1707" s="1" t="s">
        <v>19</v>
      </c>
      <c r="H1707" s="1" t="s">
        <v>20</v>
      </c>
      <c r="I1707" s="2">
        <v>44249</v>
      </c>
      <c r="J1707">
        <v>10211</v>
      </c>
      <c r="K1707" s="2">
        <v>45787</v>
      </c>
      <c r="L1707">
        <v>7159</v>
      </c>
      <c r="M1707">
        <v>17370</v>
      </c>
      <c r="N1707">
        <v>0</v>
      </c>
    </row>
    <row r="1708" spans="1:14" x14ac:dyDescent="0.3">
      <c r="A1708" s="1" t="s">
        <v>1753</v>
      </c>
      <c r="B1708" s="1" t="s">
        <v>32</v>
      </c>
      <c r="C1708">
        <v>18</v>
      </c>
      <c r="D1708" s="1" t="s">
        <v>23</v>
      </c>
      <c r="E1708" s="1" t="s">
        <v>17</v>
      </c>
      <c r="F1708" s="1" t="s">
        <v>25</v>
      </c>
      <c r="G1708" s="1" t="s">
        <v>19</v>
      </c>
      <c r="H1708" s="1" t="s">
        <v>20</v>
      </c>
      <c r="I1708" s="2">
        <v>44395</v>
      </c>
      <c r="J1708">
        <v>42444</v>
      </c>
      <c r="K1708" s="2">
        <v>45775</v>
      </c>
      <c r="L1708">
        <v>24847</v>
      </c>
      <c r="M1708">
        <v>67291</v>
      </c>
      <c r="N1708">
        <v>0</v>
      </c>
    </row>
    <row r="1709" spans="1:14" x14ac:dyDescent="0.3">
      <c r="A1709" s="1" t="s">
        <v>1754</v>
      </c>
      <c r="B1709" s="1" t="s">
        <v>34</v>
      </c>
      <c r="C1709">
        <v>47</v>
      </c>
      <c r="D1709" s="1" t="s">
        <v>23</v>
      </c>
      <c r="E1709" s="1" t="s">
        <v>17</v>
      </c>
      <c r="F1709" s="1" t="s">
        <v>18</v>
      </c>
      <c r="G1709" s="1" t="s">
        <v>19</v>
      </c>
      <c r="H1709" s="1" t="s">
        <v>20</v>
      </c>
      <c r="I1709" s="2">
        <v>44718</v>
      </c>
      <c r="J1709">
        <v>7361</v>
      </c>
      <c r="K1709" s="2">
        <v>45780</v>
      </c>
      <c r="L1709">
        <v>3729</v>
      </c>
      <c r="M1709">
        <v>11090</v>
      </c>
      <c r="N1709">
        <v>0</v>
      </c>
    </row>
    <row r="1710" spans="1:14" x14ac:dyDescent="0.3">
      <c r="A1710" s="1" t="s">
        <v>1755</v>
      </c>
      <c r="B1710" s="1" t="s">
        <v>59</v>
      </c>
      <c r="C1710">
        <v>66</v>
      </c>
      <c r="D1710" s="1" t="s">
        <v>16</v>
      </c>
      <c r="E1710" s="1" t="s">
        <v>24</v>
      </c>
      <c r="F1710" s="1" t="s">
        <v>18</v>
      </c>
      <c r="G1710" s="1" t="s">
        <v>19</v>
      </c>
      <c r="H1710" s="1" t="s">
        <v>20</v>
      </c>
      <c r="I1710" s="2">
        <v>44939</v>
      </c>
      <c r="J1710">
        <v>5427</v>
      </c>
      <c r="K1710" s="2">
        <v>45862</v>
      </c>
      <c r="L1710">
        <v>24359</v>
      </c>
      <c r="M1710">
        <v>29786</v>
      </c>
      <c r="N1710">
        <v>0</v>
      </c>
    </row>
    <row r="1711" spans="1:14" x14ac:dyDescent="0.3">
      <c r="A1711" s="1" t="s">
        <v>1756</v>
      </c>
      <c r="B1711" s="1" t="s">
        <v>59</v>
      </c>
      <c r="C1711">
        <v>20</v>
      </c>
      <c r="D1711" s="1" t="s">
        <v>23</v>
      </c>
      <c r="E1711" s="1" t="s">
        <v>24</v>
      </c>
      <c r="F1711" s="1" t="s">
        <v>25</v>
      </c>
      <c r="G1711" s="1" t="s">
        <v>41</v>
      </c>
      <c r="H1711" s="1" t="s">
        <v>20</v>
      </c>
      <c r="I1711" s="2">
        <v>44398</v>
      </c>
      <c r="J1711">
        <v>107487</v>
      </c>
      <c r="K1711" s="2">
        <v>45863</v>
      </c>
      <c r="L1711">
        <v>9468</v>
      </c>
      <c r="M1711">
        <v>116955</v>
      </c>
      <c r="N1711">
        <v>0</v>
      </c>
    </row>
    <row r="1712" spans="1:14" x14ac:dyDescent="0.3">
      <c r="A1712" s="1" t="s">
        <v>1757</v>
      </c>
      <c r="B1712" s="1" t="s">
        <v>48</v>
      </c>
      <c r="C1712">
        <v>62</v>
      </c>
      <c r="D1712" s="1" t="s">
        <v>23</v>
      </c>
      <c r="E1712" s="1" t="s">
        <v>24</v>
      </c>
      <c r="F1712" s="1" t="s">
        <v>25</v>
      </c>
      <c r="G1712" s="1" t="s">
        <v>19</v>
      </c>
      <c r="H1712" s="1" t="s">
        <v>20</v>
      </c>
      <c r="I1712" s="2">
        <v>44397</v>
      </c>
      <c r="J1712">
        <v>16741</v>
      </c>
      <c r="K1712" s="2">
        <v>45849</v>
      </c>
      <c r="L1712">
        <v>1430</v>
      </c>
      <c r="M1712">
        <v>18171</v>
      </c>
      <c r="N1712">
        <v>0</v>
      </c>
    </row>
    <row r="1713" spans="1:14" x14ac:dyDescent="0.3">
      <c r="A1713" s="1" t="s">
        <v>1758</v>
      </c>
      <c r="B1713" s="1" t="s">
        <v>43</v>
      </c>
      <c r="C1713">
        <v>31</v>
      </c>
      <c r="D1713" s="1" t="s">
        <v>16</v>
      </c>
      <c r="E1713" s="1" t="s">
        <v>24</v>
      </c>
      <c r="F1713" s="1" t="s">
        <v>18</v>
      </c>
      <c r="G1713" s="1" t="s">
        <v>19</v>
      </c>
      <c r="H1713" s="1" t="s">
        <v>20</v>
      </c>
      <c r="I1713" s="2">
        <v>45411</v>
      </c>
      <c r="J1713">
        <v>6168</v>
      </c>
      <c r="K1713" s="2">
        <v>45865</v>
      </c>
      <c r="L1713">
        <v>6876</v>
      </c>
      <c r="M1713">
        <v>13044</v>
      </c>
      <c r="N1713">
        <v>0</v>
      </c>
    </row>
    <row r="1714" spans="1:14" x14ac:dyDescent="0.3">
      <c r="A1714" s="1" t="s">
        <v>1759</v>
      </c>
      <c r="B1714" s="1" t="s">
        <v>15</v>
      </c>
      <c r="C1714">
        <v>47</v>
      </c>
      <c r="D1714" s="1" t="s">
        <v>23</v>
      </c>
      <c r="E1714" s="1" t="s">
        <v>24</v>
      </c>
      <c r="F1714" s="1" t="s">
        <v>18</v>
      </c>
      <c r="G1714" s="1" t="s">
        <v>19</v>
      </c>
      <c r="H1714" s="1" t="s">
        <v>20</v>
      </c>
      <c r="I1714" s="2">
        <v>45150</v>
      </c>
      <c r="J1714">
        <v>25425</v>
      </c>
      <c r="K1714" s="2">
        <v>45843</v>
      </c>
      <c r="L1714">
        <v>24573</v>
      </c>
      <c r="M1714">
        <v>49998</v>
      </c>
      <c r="N1714">
        <v>0</v>
      </c>
    </row>
    <row r="1715" spans="1:14" x14ac:dyDescent="0.3">
      <c r="A1715" s="1" t="s">
        <v>1760</v>
      </c>
      <c r="B1715" s="1" t="s">
        <v>48</v>
      </c>
      <c r="C1715">
        <v>67</v>
      </c>
      <c r="D1715" s="1" t="s">
        <v>23</v>
      </c>
      <c r="E1715" s="1" t="s">
        <v>38</v>
      </c>
      <c r="F1715" s="1" t="s">
        <v>18</v>
      </c>
      <c r="G1715" s="1" t="s">
        <v>19</v>
      </c>
      <c r="H1715" s="1" t="s">
        <v>20</v>
      </c>
      <c r="I1715" s="2">
        <v>45089</v>
      </c>
      <c r="J1715">
        <v>17259</v>
      </c>
      <c r="K1715" s="2">
        <v>45832</v>
      </c>
      <c r="L1715">
        <v>1635</v>
      </c>
      <c r="M1715">
        <v>18894</v>
      </c>
      <c r="N1715">
        <v>0</v>
      </c>
    </row>
    <row r="1716" spans="1:14" x14ac:dyDescent="0.3">
      <c r="A1716" s="1" t="s">
        <v>1761</v>
      </c>
      <c r="B1716" s="1" t="s">
        <v>40</v>
      </c>
      <c r="C1716">
        <v>21</v>
      </c>
      <c r="D1716" s="1" t="s">
        <v>23</v>
      </c>
      <c r="E1716" s="1" t="s">
        <v>17</v>
      </c>
      <c r="F1716" s="1" t="s">
        <v>18</v>
      </c>
      <c r="G1716" s="1" t="s">
        <v>19</v>
      </c>
      <c r="H1716" s="1" t="s">
        <v>20</v>
      </c>
      <c r="I1716" s="2">
        <v>44953</v>
      </c>
      <c r="J1716">
        <v>7554</v>
      </c>
      <c r="K1716" s="2">
        <v>45865</v>
      </c>
      <c r="L1716">
        <v>20806</v>
      </c>
      <c r="M1716">
        <v>28360</v>
      </c>
      <c r="N1716">
        <v>0</v>
      </c>
    </row>
    <row r="1717" spans="1:14" x14ac:dyDescent="0.3">
      <c r="A1717" s="1" t="s">
        <v>1762</v>
      </c>
      <c r="B1717" s="1" t="s">
        <v>37</v>
      </c>
      <c r="C1717">
        <v>35</v>
      </c>
      <c r="D1717" s="1" t="s">
        <v>23</v>
      </c>
      <c r="E1717" s="1" t="s">
        <v>17</v>
      </c>
      <c r="F1717" s="1" t="s">
        <v>18</v>
      </c>
      <c r="G1717" s="1" t="s">
        <v>19</v>
      </c>
      <c r="H1717" s="1" t="s">
        <v>20</v>
      </c>
      <c r="I1717" s="2">
        <v>45830</v>
      </c>
      <c r="J1717">
        <v>12721</v>
      </c>
      <c r="K1717" s="2">
        <v>45869</v>
      </c>
      <c r="L1717">
        <v>17930</v>
      </c>
      <c r="M1717">
        <v>30651</v>
      </c>
      <c r="N1717">
        <v>0</v>
      </c>
    </row>
    <row r="1718" spans="1:14" x14ac:dyDescent="0.3">
      <c r="A1718" s="1" t="s">
        <v>1763</v>
      </c>
      <c r="B1718" s="1" t="s">
        <v>27</v>
      </c>
      <c r="C1718">
        <v>54</v>
      </c>
      <c r="D1718" s="1" t="s">
        <v>23</v>
      </c>
      <c r="E1718" s="1" t="s">
        <v>24</v>
      </c>
      <c r="F1718" s="1" t="s">
        <v>25</v>
      </c>
      <c r="G1718" s="1" t="s">
        <v>19</v>
      </c>
      <c r="H1718" s="1" t="s">
        <v>20</v>
      </c>
      <c r="I1718" s="2">
        <v>44280</v>
      </c>
      <c r="J1718">
        <v>9982</v>
      </c>
      <c r="K1718" s="2">
        <v>45857</v>
      </c>
      <c r="L1718">
        <v>-1221</v>
      </c>
      <c r="M1718">
        <v>8761</v>
      </c>
      <c r="N1718">
        <v>0</v>
      </c>
    </row>
    <row r="1719" spans="1:14" x14ac:dyDescent="0.3">
      <c r="A1719" s="1" t="s">
        <v>1764</v>
      </c>
      <c r="B1719" s="1" t="s">
        <v>37</v>
      </c>
      <c r="C1719">
        <v>42</v>
      </c>
      <c r="D1719" s="1" t="s">
        <v>16</v>
      </c>
      <c r="E1719" s="1" t="s">
        <v>24</v>
      </c>
      <c r="F1719" s="1" t="s">
        <v>25</v>
      </c>
      <c r="G1719" s="1" t="s">
        <v>19</v>
      </c>
      <c r="H1719" s="1" t="s">
        <v>20</v>
      </c>
      <c r="I1719" s="2">
        <v>44499</v>
      </c>
      <c r="J1719">
        <v>35957</v>
      </c>
      <c r="K1719" s="2">
        <v>45812</v>
      </c>
      <c r="L1719">
        <v>-1562</v>
      </c>
      <c r="M1719">
        <v>34395</v>
      </c>
      <c r="N1719">
        <v>0</v>
      </c>
    </row>
    <row r="1720" spans="1:14" x14ac:dyDescent="0.3">
      <c r="A1720" s="1" t="s">
        <v>1765</v>
      </c>
      <c r="B1720" s="1" t="s">
        <v>71</v>
      </c>
      <c r="C1720">
        <v>65</v>
      </c>
      <c r="D1720" s="1" t="s">
        <v>23</v>
      </c>
      <c r="E1720" s="1" t="s">
        <v>17</v>
      </c>
      <c r="F1720" s="1" t="s">
        <v>25</v>
      </c>
      <c r="G1720" s="1" t="s">
        <v>41</v>
      </c>
      <c r="H1720" s="1" t="s">
        <v>20</v>
      </c>
      <c r="I1720" s="2">
        <v>45280</v>
      </c>
      <c r="J1720">
        <v>26406</v>
      </c>
      <c r="K1720" s="2">
        <v>45799</v>
      </c>
      <c r="L1720">
        <v>17583</v>
      </c>
      <c r="M1720">
        <v>43989</v>
      </c>
      <c r="N1720">
        <v>0</v>
      </c>
    </row>
    <row r="1721" spans="1:14" x14ac:dyDescent="0.3">
      <c r="A1721" s="1" t="s">
        <v>1766</v>
      </c>
      <c r="B1721" s="1" t="s">
        <v>15</v>
      </c>
      <c r="C1721">
        <v>18</v>
      </c>
      <c r="D1721" s="1" t="s">
        <v>23</v>
      </c>
      <c r="E1721" s="1" t="s">
        <v>24</v>
      </c>
      <c r="F1721" s="1" t="s">
        <v>18</v>
      </c>
      <c r="G1721" s="1" t="s">
        <v>19</v>
      </c>
      <c r="H1721" s="1" t="s">
        <v>20</v>
      </c>
      <c r="I1721" s="2">
        <v>44425</v>
      </c>
      <c r="J1721">
        <v>1567</v>
      </c>
      <c r="K1721" s="2">
        <v>45848</v>
      </c>
      <c r="L1721">
        <v>7091</v>
      </c>
      <c r="M1721">
        <v>8658</v>
      </c>
      <c r="N1721">
        <v>0</v>
      </c>
    </row>
    <row r="1722" spans="1:14" x14ac:dyDescent="0.3">
      <c r="A1722" s="1" t="s">
        <v>1767</v>
      </c>
      <c r="B1722" s="1" t="s">
        <v>64</v>
      </c>
      <c r="C1722">
        <v>63</v>
      </c>
      <c r="D1722" s="1" t="s">
        <v>16</v>
      </c>
      <c r="E1722" s="1" t="s">
        <v>17</v>
      </c>
      <c r="F1722" s="1" t="s">
        <v>25</v>
      </c>
      <c r="G1722" s="1" t="s">
        <v>19</v>
      </c>
      <c r="H1722" s="1" t="s">
        <v>20</v>
      </c>
      <c r="I1722" s="2">
        <v>45183</v>
      </c>
      <c r="J1722">
        <v>89582</v>
      </c>
      <c r="K1722" s="2">
        <v>45845</v>
      </c>
      <c r="L1722">
        <v>5460</v>
      </c>
      <c r="M1722">
        <v>95042</v>
      </c>
      <c r="N1722">
        <v>0</v>
      </c>
    </row>
    <row r="1723" spans="1:14" x14ac:dyDescent="0.3">
      <c r="A1723" s="1" t="s">
        <v>1768</v>
      </c>
      <c r="B1723" s="1" t="s">
        <v>15</v>
      </c>
      <c r="C1723">
        <v>32</v>
      </c>
      <c r="D1723" s="1" t="s">
        <v>16</v>
      </c>
      <c r="E1723" s="1" t="s">
        <v>24</v>
      </c>
      <c r="F1723" s="1" t="s">
        <v>25</v>
      </c>
      <c r="G1723" s="1" t="s">
        <v>19</v>
      </c>
      <c r="H1723" s="1" t="s">
        <v>20</v>
      </c>
      <c r="I1723" s="2">
        <v>45146</v>
      </c>
      <c r="J1723">
        <v>10013</v>
      </c>
      <c r="K1723" s="2">
        <v>45774</v>
      </c>
      <c r="L1723">
        <v>-1211</v>
      </c>
      <c r="M1723">
        <v>8802</v>
      </c>
      <c r="N1723">
        <v>0</v>
      </c>
    </row>
    <row r="1724" spans="1:14" x14ac:dyDescent="0.3">
      <c r="A1724" s="1" t="s">
        <v>1769</v>
      </c>
      <c r="B1724" s="1" t="s">
        <v>87</v>
      </c>
      <c r="C1724">
        <v>26</v>
      </c>
      <c r="D1724" s="1" t="s">
        <v>23</v>
      </c>
      <c r="E1724" s="1" t="s">
        <v>24</v>
      </c>
      <c r="F1724" s="1" t="s">
        <v>25</v>
      </c>
      <c r="G1724" s="1" t="s">
        <v>19</v>
      </c>
      <c r="H1724" s="1" t="s">
        <v>20</v>
      </c>
      <c r="I1724" s="2">
        <v>45821</v>
      </c>
      <c r="J1724">
        <v>74784</v>
      </c>
      <c r="K1724" s="2">
        <v>45867</v>
      </c>
      <c r="L1724">
        <v>7698</v>
      </c>
      <c r="M1724">
        <v>82482</v>
      </c>
      <c r="N1724">
        <v>0</v>
      </c>
    </row>
    <row r="1725" spans="1:14" x14ac:dyDescent="0.3">
      <c r="A1725" s="1" t="s">
        <v>1770</v>
      </c>
      <c r="B1725" s="1" t="s">
        <v>27</v>
      </c>
      <c r="C1725">
        <v>32</v>
      </c>
      <c r="D1725" s="1" t="s">
        <v>16</v>
      </c>
      <c r="E1725" s="1" t="s">
        <v>24</v>
      </c>
      <c r="F1725" s="1" t="s">
        <v>18</v>
      </c>
      <c r="G1725" s="1" t="s">
        <v>19</v>
      </c>
      <c r="H1725" s="1" t="s">
        <v>20</v>
      </c>
      <c r="I1725" s="2">
        <v>45674</v>
      </c>
      <c r="J1725">
        <v>27338</v>
      </c>
      <c r="K1725" s="2">
        <v>45866</v>
      </c>
      <c r="L1725">
        <v>-14162</v>
      </c>
      <c r="M1725">
        <v>13176</v>
      </c>
      <c r="N1725">
        <v>0</v>
      </c>
    </row>
    <row r="1726" spans="1:14" x14ac:dyDescent="0.3">
      <c r="A1726" s="1" t="s">
        <v>1771</v>
      </c>
      <c r="B1726" s="1" t="s">
        <v>34</v>
      </c>
      <c r="C1726">
        <v>66</v>
      </c>
      <c r="D1726" s="1" t="s">
        <v>23</v>
      </c>
      <c r="E1726" s="1" t="s">
        <v>38</v>
      </c>
      <c r="F1726" s="1" t="s">
        <v>18</v>
      </c>
      <c r="G1726" s="1" t="s">
        <v>19</v>
      </c>
      <c r="H1726" s="1" t="s">
        <v>20</v>
      </c>
      <c r="I1726" s="2">
        <v>45778</v>
      </c>
      <c r="J1726">
        <v>17124</v>
      </c>
      <c r="K1726" s="2">
        <v>45866</v>
      </c>
      <c r="L1726">
        <v>30953</v>
      </c>
      <c r="M1726">
        <v>48077</v>
      </c>
      <c r="N1726">
        <v>0</v>
      </c>
    </row>
    <row r="1727" spans="1:14" x14ac:dyDescent="0.3">
      <c r="A1727" s="1" t="s">
        <v>1772</v>
      </c>
      <c r="B1727" s="1" t="s">
        <v>52</v>
      </c>
      <c r="C1727">
        <v>41</v>
      </c>
      <c r="D1727" s="1" t="s">
        <v>16</v>
      </c>
      <c r="E1727" s="1" t="s">
        <v>24</v>
      </c>
      <c r="F1727" s="1" t="s">
        <v>18</v>
      </c>
      <c r="G1727" s="1" t="s">
        <v>19</v>
      </c>
      <c r="H1727" s="1" t="s">
        <v>20</v>
      </c>
      <c r="I1727" s="2">
        <v>44387</v>
      </c>
      <c r="J1727">
        <v>12159</v>
      </c>
      <c r="K1727" s="2">
        <v>45788</v>
      </c>
      <c r="L1727">
        <v>7849</v>
      </c>
      <c r="M1727">
        <v>20008</v>
      </c>
      <c r="N1727">
        <v>0</v>
      </c>
    </row>
    <row r="1728" spans="1:14" x14ac:dyDescent="0.3">
      <c r="A1728" s="1" t="s">
        <v>1773</v>
      </c>
      <c r="B1728" s="1" t="s">
        <v>43</v>
      </c>
      <c r="C1728">
        <v>21</v>
      </c>
      <c r="D1728" s="1" t="s">
        <v>16</v>
      </c>
      <c r="E1728" s="1" t="s">
        <v>35</v>
      </c>
      <c r="F1728" s="1" t="s">
        <v>18</v>
      </c>
      <c r="G1728" s="1" t="s">
        <v>19</v>
      </c>
      <c r="H1728" s="1" t="s">
        <v>20</v>
      </c>
      <c r="I1728" s="2">
        <v>45649</v>
      </c>
      <c r="J1728">
        <v>210824</v>
      </c>
      <c r="K1728" s="2">
        <v>45869</v>
      </c>
      <c r="L1728">
        <v>14395</v>
      </c>
      <c r="M1728">
        <v>225219</v>
      </c>
      <c r="N1728">
        <v>0</v>
      </c>
    </row>
    <row r="1729" spans="1:14" x14ac:dyDescent="0.3">
      <c r="A1729" s="1" t="s">
        <v>1774</v>
      </c>
      <c r="B1729" s="1" t="s">
        <v>56</v>
      </c>
      <c r="C1729">
        <v>29</v>
      </c>
      <c r="D1729" s="1" t="s">
        <v>23</v>
      </c>
      <c r="E1729" s="1" t="s">
        <v>24</v>
      </c>
      <c r="F1729" s="1" t="s">
        <v>25</v>
      </c>
      <c r="G1729" s="1" t="s">
        <v>19</v>
      </c>
      <c r="H1729" s="1" t="s">
        <v>20</v>
      </c>
      <c r="I1729" s="2">
        <v>44412</v>
      </c>
      <c r="J1729">
        <v>10182</v>
      </c>
      <c r="K1729" s="2">
        <v>45741</v>
      </c>
      <c r="L1729">
        <v>9185</v>
      </c>
      <c r="M1729">
        <v>19367</v>
      </c>
      <c r="N1729">
        <v>0</v>
      </c>
    </row>
    <row r="1730" spans="1:14" x14ac:dyDescent="0.3">
      <c r="A1730" s="1" t="s">
        <v>1775</v>
      </c>
      <c r="B1730" s="1" t="s">
        <v>48</v>
      </c>
      <c r="C1730">
        <v>54</v>
      </c>
      <c r="D1730" s="1" t="s">
        <v>16</v>
      </c>
      <c r="E1730" s="1" t="s">
        <v>24</v>
      </c>
      <c r="F1730" s="1" t="s">
        <v>25</v>
      </c>
      <c r="G1730" s="1" t="s">
        <v>19</v>
      </c>
      <c r="H1730" s="1" t="s">
        <v>20</v>
      </c>
      <c r="I1730" s="2">
        <v>45255</v>
      </c>
      <c r="J1730">
        <v>6827</v>
      </c>
      <c r="K1730" s="2">
        <v>45867</v>
      </c>
      <c r="L1730">
        <v>-7445</v>
      </c>
      <c r="M1730">
        <v>-618</v>
      </c>
      <c r="N1730">
        <v>0</v>
      </c>
    </row>
    <row r="1731" spans="1:14" x14ac:dyDescent="0.3">
      <c r="A1731" s="1" t="s">
        <v>1776</v>
      </c>
      <c r="B1731" s="1" t="s">
        <v>69</v>
      </c>
      <c r="C1731">
        <v>54</v>
      </c>
      <c r="D1731" s="1" t="s">
        <v>23</v>
      </c>
      <c r="E1731" s="1" t="s">
        <v>38</v>
      </c>
      <c r="F1731" s="1" t="s">
        <v>18</v>
      </c>
      <c r="G1731" s="1" t="s">
        <v>19</v>
      </c>
      <c r="H1731" s="1" t="s">
        <v>20</v>
      </c>
      <c r="I1731" s="2">
        <v>45401</v>
      </c>
      <c r="J1731">
        <v>7470</v>
      </c>
      <c r="K1731" s="2">
        <v>45854</v>
      </c>
      <c r="L1731">
        <v>9905</v>
      </c>
      <c r="M1731">
        <v>17375</v>
      </c>
      <c r="N1731">
        <v>0</v>
      </c>
    </row>
    <row r="1732" spans="1:14" x14ac:dyDescent="0.3">
      <c r="A1732" s="1" t="s">
        <v>1777</v>
      </c>
      <c r="B1732" s="1" t="s">
        <v>56</v>
      </c>
      <c r="C1732">
        <v>60</v>
      </c>
      <c r="D1732" s="1" t="s">
        <v>16</v>
      </c>
      <c r="E1732" s="1" t="s">
        <v>38</v>
      </c>
      <c r="F1732" s="1" t="s">
        <v>18</v>
      </c>
      <c r="G1732" s="1" t="s">
        <v>19</v>
      </c>
      <c r="H1732" s="1" t="s">
        <v>20</v>
      </c>
      <c r="I1732" s="2">
        <v>44466</v>
      </c>
      <c r="J1732">
        <v>13374</v>
      </c>
      <c r="K1732" s="2">
        <v>45845</v>
      </c>
      <c r="L1732">
        <v>11039</v>
      </c>
      <c r="M1732">
        <v>24413</v>
      </c>
      <c r="N1732">
        <v>0</v>
      </c>
    </row>
    <row r="1733" spans="1:14" x14ac:dyDescent="0.3">
      <c r="A1733" s="1" t="s">
        <v>1778</v>
      </c>
      <c r="B1733" s="1" t="s">
        <v>40</v>
      </c>
      <c r="C1733">
        <v>23</v>
      </c>
      <c r="D1733" s="1" t="s">
        <v>23</v>
      </c>
      <c r="E1733" s="1" t="s">
        <v>24</v>
      </c>
      <c r="F1733" s="1" t="s">
        <v>18</v>
      </c>
      <c r="G1733" s="1" t="s">
        <v>19</v>
      </c>
      <c r="H1733" s="1" t="s">
        <v>20</v>
      </c>
      <c r="I1733" s="2">
        <v>45255</v>
      </c>
      <c r="J1733">
        <v>13351</v>
      </c>
      <c r="K1733" s="2">
        <v>45818</v>
      </c>
      <c r="L1733">
        <v>1803</v>
      </c>
      <c r="M1733">
        <v>15154</v>
      </c>
      <c r="N1733">
        <v>0</v>
      </c>
    </row>
    <row r="1734" spans="1:14" x14ac:dyDescent="0.3">
      <c r="A1734" s="1" t="s">
        <v>1779</v>
      </c>
      <c r="B1734" s="1" t="s">
        <v>59</v>
      </c>
      <c r="C1734">
        <v>56</v>
      </c>
      <c r="D1734" s="1" t="s">
        <v>16</v>
      </c>
      <c r="E1734" s="1" t="s">
        <v>24</v>
      </c>
      <c r="F1734" s="1" t="s">
        <v>18</v>
      </c>
      <c r="G1734" s="1" t="s">
        <v>19</v>
      </c>
      <c r="H1734" s="1" t="s">
        <v>20</v>
      </c>
      <c r="I1734" s="2">
        <v>44284</v>
      </c>
      <c r="J1734">
        <v>36462</v>
      </c>
      <c r="K1734" s="2">
        <v>45868</v>
      </c>
      <c r="L1734">
        <v>13689</v>
      </c>
      <c r="M1734">
        <v>50151</v>
      </c>
      <c r="N1734">
        <v>0</v>
      </c>
    </row>
    <row r="1735" spans="1:14" x14ac:dyDescent="0.3">
      <c r="A1735" s="1" t="s">
        <v>1780</v>
      </c>
      <c r="B1735" s="1" t="s">
        <v>32</v>
      </c>
      <c r="C1735">
        <v>63</v>
      </c>
      <c r="D1735" s="1" t="s">
        <v>16</v>
      </c>
      <c r="E1735" s="1" t="s">
        <v>17</v>
      </c>
      <c r="F1735" s="1" t="s">
        <v>18</v>
      </c>
      <c r="G1735" s="1" t="s">
        <v>19</v>
      </c>
      <c r="H1735" s="1" t="s">
        <v>20</v>
      </c>
      <c r="I1735" s="2">
        <v>44687</v>
      </c>
      <c r="J1735">
        <v>28517</v>
      </c>
      <c r="K1735" s="2">
        <v>45822</v>
      </c>
      <c r="L1735">
        <v>10290</v>
      </c>
      <c r="M1735">
        <v>38807</v>
      </c>
      <c r="N1735">
        <v>0</v>
      </c>
    </row>
    <row r="1736" spans="1:14" x14ac:dyDescent="0.3">
      <c r="A1736" s="1" t="s">
        <v>1781</v>
      </c>
      <c r="B1736" s="1" t="s">
        <v>48</v>
      </c>
      <c r="C1736">
        <v>41</v>
      </c>
      <c r="D1736" s="1" t="s">
        <v>16</v>
      </c>
      <c r="E1736" s="1" t="s">
        <v>17</v>
      </c>
      <c r="F1736" s="1" t="s">
        <v>25</v>
      </c>
      <c r="G1736" s="1" t="s">
        <v>19</v>
      </c>
      <c r="H1736" s="1" t="s">
        <v>20</v>
      </c>
      <c r="I1736" s="2">
        <v>45738</v>
      </c>
      <c r="J1736">
        <v>28552</v>
      </c>
      <c r="K1736" s="2">
        <v>45867</v>
      </c>
      <c r="L1736">
        <v>4614</v>
      </c>
      <c r="M1736">
        <v>33166</v>
      </c>
      <c r="N1736">
        <v>0</v>
      </c>
    </row>
    <row r="1737" spans="1:14" x14ac:dyDescent="0.3">
      <c r="A1737" s="1" t="s">
        <v>1782</v>
      </c>
      <c r="B1737" s="1" t="s">
        <v>52</v>
      </c>
      <c r="C1737">
        <v>28</v>
      </c>
      <c r="D1737" s="1" t="s">
        <v>23</v>
      </c>
      <c r="E1737" s="1" t="s">
        <v>24</v>
      </c>
      <c r="F1737" s="1" t="s">
        <v>18</v>
      </c>
      <c r="G1737" s="1" t="s">
        <v>19</v>
      </c>
      <c r="H1737" s="1" t="s">
        <v>20</v>
      </c>
      <c r="I1737" s="2">
        <v>44484</v>
      </c>
      <c r="J1737">
        <v>10633</v>
      </c>
      <c r="K1737" s="2">
        <v>45858</v>
      </c>
      <c r="L1737">
        <v>2789</v>
      </c>
      <c r="M1737">
        <v>13422</v>
      </c>
      <c r="N1737">
        <v>0</v>
      </c>
    </row>
    <row r="1738" spans="1:14" x14ac:dyDescent="0.3">
      <c r="A1738" s="1" t="s">
        <v>1783</v>
      </c>
      <c r="B1738" s="1" t="s">
        <v>27</v>
      </c>
      <c r="C1738">
        <v>30</v>
      </c>
      <c r="D1738" s="1" t="s">
        <v>16</v>
      </c>
      <c r="E1738" s="1" t="s">
        <v>24</v>
      </c>
      <c r="F1738" s="1" t="s">
        <v>25</v>
      </c>
      <c r="G1738" s="1" t="s">
        <v>19</v>
      </c>
      <c r="H1738" s="1" t="s">
        <v>20</v>
      </c>
      <c r="I1738" s="2">
        <v>44306</v>
      </c>
      <c r="J1738">
        <v>26279</v>
      </c>
      <c r="K1738" s="2">
        <v>45834</v>
      </c>
      <c r="L1738">
        <v>-7056</v>
      </c>
      <c r="M1738">
        <v>19223</v>
      </c>
      <c r="N1738">
        <v>0</v>
      </c>
    </row>
    <row r="1739" spans="1:14" x14ac:dyDescent="0.3">
      <c r="A1739" s="1" t="s">
        <v>1784</v>
      </c>
      <c r="B1739" s="1" t="s">
        <v>27</v>
      </c>
      <c r="C1739">
        <v>51</v>
      </c>
      <c r="D1739" s="1" t="s">
        <v>16</v>
      </c>
      <c r="E1739" s="1" t="s">
        <v>24</v>
      </c>
      <c r="F1739" s="1" t="s">
        <v>18</v>
      </c>
      <c r="G1739" s="1" t="s">
        <v>19</v>
      </c>
      <c r="H1739" s="1" t="s">
        <v>20</v>
      </c>
      <c r="I1739" s="2">
        <v>44939</v>
      </c>
      <c r="J1739">
        <v>29182</v>
      </c>
      <c r="K1739" s="2">
        <v>45814</v>
      </c>
      <c r="L1739">
        <v>18256</v>
      </c>
      <c r="M1739">
        <v>47438</v>
      </c>
      <c r="N1739">
        <v>0</v>
      </c>
    </row>
    <row r="1740" spans="1:14" x14ac:dyDescent="0.3">
      <c r="A1740" s="1" t="s">
        <v>1785</v>
      </c>
      <c r="B1740" s="1" t="s">
        <v>56</v>
      </c>
      <c r="C1740">
        <v>42</v>
      </c>
      <c r="D1740" s="1" t="s">
        <v>16</v>
      </c>
      <c r="E1740" s="1" t="s">
        <v>17</v>
      </c>
      <c r="F1740" s="1" t="s">
        <v>18</v>
      </c>
      <c r="G1740" s="1" t="s">
        <v>19</v>
      </c>
      <c r="H1740" s="1" t="s">
        <v>20</v>
      </c>
      <c r="I1740" s="2">
        <v>45620</v>
      </c>
      <c r="J1740">
        <v>12341</v>
      </c>
      <c r="K1740" s="2">
        <v>45847</v>
      </c>
      <c r="L1740">
        <v>-4860</v>
      </c>
      <c r="M1740">
        <v>7481</v>
      </c>
      <c r="N1740">
        <v>0</v>
      </c>
    </row>
    <row r="1741" spans="1:14" x14ac:dyDescent="0.3">
      <c r="A1741" s="1" t="s">
        <v>1786</v>
      </c>
      <c r="B1741" s="1" t="s">
        <v>79</v>
      </c>
      <c r="C1741">
        <v>24</v>
      </c>
      <c r="D1741" s="1" t="s">
        <v>16</v>
      </c>
      <c r="E1741" s="1" t="s">
        <v>38</v>
      </c>
      <c r="F1741" s="1" t="s">
        <v>18</v>
      </c>
      <c r="G1741" s="1" t="s">
        <v>19</v>
      </c>
      <c r="H1741" s="1" t="s">
        <v>20</v>
      </c>
      <c r="I1741" s="2">
        <v>44325</v>
      </c>
      <c r="J1741">
        <v>17663</v>
      </c>
      <c r="K1741" s="2">
        <v>45757</v>
      </c>
      <c r="L1741">
        <v>-496</v>
      </c>
      <c r="M1741">
        <v>17167</v>
      </c>
      <c r="N1741">
        <v>0</v>
      </c>
    </row>
    <row r="1742" spans="1:14" x14ac:dyDescent="0.3">
      <c r="A1742" s="1" t="s">
        <v>1787</v>
      </c>
      <c r="B1742" s="1" t="s">
        <v>61</v>
      </c>
      <c r="C1742">
        <v>69</v>
      </c>
      <c r="D1742" s="1" t="s">
        <v>16</v>
      </c>
      <c r="E1742" s="1" t="s">
        <v>38</v>
      </c>
      <c r="F1742" s="1" t="s">
        <v>25</v>
      </c>
      <c r="G1742" s="1" t="s">
        <v>19</v>
      </c>
      <c r="H1742" s="1" t="s">
        <v>20</v>
      </c>
      <c r="I1742" s="2">
        <v>44791</v>
      </c>
      <c r="J1742">
        <v>29145</v>
      </c>
      <c r="K1742" s="2">
        <v>45795</v>
      </c>
      <c r="L1742">
        <v>5570</v>
      </c>
      <c r="M1742">
        <v>34715</v>
      </c>
      <c r="N1742">
        <v>0</v>
      </c>
    </row>
    <row r="1743" spans="1:14" x14ac:dyDescent="0.3">
      <c r="A1743" s="1" t="s">
        <v>1788</v>
      </c>
      <c r="B1743" s="1" t="s">
        <v>27</v>
      </c>
      <c r="C1743">
        <v>21</v>
      </c>
      <c r="D1743" s="1" t="s">
        <v>23</v>
      </c>
      <c r="E1743" s="1" t="s">
        <v>35</v>
      </c>
      <c r="F1743" s="1" t="s">
        <v>18</v>
      </c>
      <c r="G1743" s="1" t="s">
        <v>19</v>
      </c>
      <c r="H1743" s="1" t="s">
        <v>20</v>
      </c>
      <c r="I1743" s="2">
        <v>45702</v>
      </c>
      <c r="J1743">
        <v>16501</v>
      </c>
      <c r="K1743" s="2">
        <v>45867</v>
      </c>
      <c r="L1743">
        <v>26233</v>
      </c>
      <c r="M1743">
        <v>42734</v>
      </c>
      <c r="N1743">
        <v>0</v>
      </c>
    </row>
    <row r="1744" spans="1:14" x14ac:dyDescent="0.3">
      <c r="A1744" s="1" t="s">
        <v>1789</v>
      </c>
      <c r="B1744" s="1" t="s">
        <v>59</v>
      </c>
      <c r="C1744">
        <v>25</v>
      </c>
      <c r="D1744" s="1" t="s">
        <v>23</v>
      </c>
      <c r="E1744" s="1" t="s">
        <v>24</v>
      </c>
      <c r="F1744" s="1" t="s">
        <v>25</v>
      </c>
      <c r="G1744" s="1" t="s">
        <v>19</v>
      </c>
      <c r="H1744" s="1" t="s">
        <v>20</v>
      </c>
      <c r="I1744" s="2">
        <v>44394</v>
      </c>
      <c r="J1744">
        <v>18153</v>
      </c>
      <c r="K1744" s="2">
        <v>45809</v>
      </c>
      <c r="L1744">
        <v>17270</v>
      </c>
      <c r="M1744">
        <v>35423</v>
      </c>
      <c r="N1744">
        <v>0</v>
      </c>
    </row>
    <row r="1745" spans="1:14" x14ac:dyDescent="0.3">
      <c r="A1745" s="1" t="s">
        <v>1790</v>
      </c>
      <c r="B1745" s="1" t="s">
        <v>59</v>
      </c>
      <c r="C1745">
        <v>37</v>
      </c>
      <c r="D1745" s="1" t="s">
        <v>16</v>
      </c>
      <c r="E1745" s="1" t="s">
        <v>38</v>
      </c>
      <c r="F1745" s="1" t="s">
        <v>18</v>
      </c>
      <c r="G1745" s="1" t="s">
        <v>19</v>
      </c>
      <c r="H1745" s="1" t="s">
        <v>20</v>
      </c>
      <c r="I1745" s="2">
        <v>44716</v>
      </c>
      <c r="J1745">
        <v>54562</v>
      </c>
      <c r="K1745" s="2">
        <v>45863</v>
      </c>
      <c r="L1745">
        <v>-2854</v>
      </c>
      <c r="M1745">
        <v>51708</v>
      </c>
      <c r="N1745">
        <v>0</v>
      </c>
    </row>
    <row r="1746" spans="1:14" x14ac:dyDescent="0.3">
      <c r="A1746" s="1" t="s">
        <v>1791</v>
      </c>
      <c r="B1746" s="1" t="s">
        <v>71</v>
      </c>
      <c r="C1746">
        <v>46</v>
      </c>
      <c r="D1746" s="1" t="s">
        <v>23</v>
      </c>
      <c r="E1746" s="1" t="s">
        <v>38</v>
      </c>
      <c r="F1746" s="1" t="s">
        <v>25</v>
      </c>
      <c r="G1746" s="1" t="s">
        <v>19</v>
      </c>
      <c r="H1746" s="1" t="s">
        <v>20</v>
      </c>
      <c r="I1746" s="2">
        <v>45499</v>
      </c>
      <c r="J1746">
        <v>16631</v>
      </c>
      <c r="K1746" s="2">
        <v>45841</v>
      </c>
      <c r="L1746">
        <v>6107</v>
      </c>
      <c r="M1746">
        <v>22738</v>
      </c>
      <c r="N1746">
        <v>0</v>
      </c>
    </row>
    <row r="1747" spans="1:14" x14ac:dyDescent="0.3">
      <c r="A1747" s="1" t="s">
        <v>1792</v>
      </c>
      <c r="B1747" s="1" t="s">
        <v>29</v>
      </c>
      <c r="C1747">
        <v>68</v>
      </c>
      <c r="D1747" s="1" t="s">
        <v>30</v>
      </c>
      <c r="E1747" s="1" t="s">
        <v>24</v>
      </c>
      <c r="F1747" s="1" t="s">
        <v>25</v>
      </c>
      <c r="G1747" s="1" t="s">
        <v>19</v>
      </c>
      <c r="H1747" s="1" t="s">
        <v>20</v>
      </c>
      <c r="I1747" s="2">
        <v>45105</v>
      </c>
      <c r="J1747">
        <v>7276</v>
      </c>
      <c r="K1747" s="2">
        <v>45840</v>
      </c>
      <c r="L1747">
        <v>15288</v>
      </c>
      <c r="M1747">
        <v>22564</v>
      </c>
      <c r="N1747">
        <v>0</v>
      </c>
    </row>
    <row r="1748" spans="1:14" x14ac:dyDescent="0.3">
      <c r="A1748" s="1" t="s">
        <v>1793</v>
      </c>
      <c r="B1748" s="1" t="s">
        <v>71</v>
      </c>
      <c r="C1748">
        <v>62</v>
      </c>
      <c r="D1748" s="1" t="s">
        <v>16</v>
      </c>
      <c r="E1748" s="1" t="s">
        <v>24</v>
      </c>
      <c r="F1748" s="1" t="s">
        <v>18</v>
      </c>
      <c r="G1748" s="1" t="s">
        <v>19</v>
      </c>
      <c r="H1748" s="1" t="s">
        <v>20</v>
      </c>
      <c r="I1748" s="2">
        <v>45589</v>
      </c>
      <c r="J1748">
        <v>3478</v>
      </c>
      <c r="K1748" s="2">
        <v>45851</v>
      </c>
      <c r="L1748">
        <v>27442</v>
      </c>
      <c r="M1748">
        <v>30920</v>
      </c>
      <c r="N1748">
        <v>0</v>
      </c>
    </row>
    <row r="1749" spans="1:14" x14ac:dyDescent="0.3">
      <c r="A1749" s="1" t="s">
        <v>1794</v>
      </c>
      <c r="B1749" s="1" t="s">
        <v>40</v>
      </c>
      <c r="C1749">
        <v>63</v>
      </c>
      <c r="D1749" s="1" t="s">
        <v>30</v>
      </c>
      <c r="E1749" s="1" t="s">
        <v>35</v>
      </c>
      <c r="F1749" s="1" t="s">
        <v>25</v>
      </c>
      <c r="G1749" s="1" t="s">
        <v>19</v>
      </c>
      <c r="H1749" s="1" t="s">
        <v>20</v>
      </c>
      <c r="I1749" s="2">
        <v>44383</v>
      </c>
      <c r="J1749">
        <v>14960</v>
      </c>
      <c r="K1749" s="2">
        <v>45762</v>
      </c>
      <c r="L1749">
        <v>5532</v>
      </c>
      <c r="M1749">
        <v>20492</v>
      </c>
      <c r="N1749">
        <v>0</v>
      </c>
    </row>
    <row r="1750" spans="1:14" x14ac:dyDescent="0.3">
      <c r="A1750" s="1" t="s">
        <v>1795</v>
      </c>
      <c r="B1750" s="1" t="s">
        <v>48</v>
      </c>
      <c r="C1750">
        <v>27</v>
      </c>
      <c r="D1750" s="1" t="s">
        <v>23</v>
      </c>
      <c r="E1750" s="1" t="s">
        <v>24</v>
      </c>
      <c r="F1750" s="1" t="s">
        <v>18</v>
      </c>
      <c r="G1750" s="1" t="s">
        <v>19</v>
      </c>
      <c r="H1750" s="1" t="s">
        <v>20</v>
      </c>
      <c r="I1750" s="2">
        <v>45737</v>
      </c>
      <c r="J1750">
        <v>9591</v>
      </c>
      <c r="K1750" s="2">
        <v>45868</v>
      </c>
      <c r="L1750">
        <v>8325</v>
      </c>
      <c r="M1750">
        <v>17916</v>
      </c>
      <c r="N1750">
        <v>0</v>
      </c>
    </row>
    <row r="1751" spans="1:14" x14ac:dyDescent="0.3">
      <c r="A1751" s="1" t="s">
        <v>1796</v>
      </c>
      <c r="B1751" s="1" t="s">
        <v>48</v>
      </c>
      <c r="C1751">
        <v>60</v>
      </c>
      <c r="D1751" s="1" t="s">
        <v>16</v>
      </c>
      <c r="E1751" s="1" t="s">
        <v>24</v>
      </c>
      <c r="F1751" s="1" t="s">
        <v>25</v>
      </c>
      <c r="G1751" s="1" t="s">
        <v>19</v>
      </c>
      <c r="H1751" s="1" t="s">
        <v>20</v>
      </c>
      <c r="I1751" s="2">
        <v>45761</v>
      </c>
      <c r="J1751">
        <v>29981</v>
      </c>
      <c r="K1751" s="2">
        <v>45868</v>
      </c>
      <c r="L1751">
        <v>21007</v>
      </c>
      <c r="M1751">
        <v>50988</v>
      </c>
      <c r="N1751">
        <v>0</v>
      </c>
    </row>
    <row r="1752" spans="1:14" x14ac:dyDescent="0.3">
      <c r="A1752" s="1" t="s">
        <v>1797</v>
      </c>
      <c r="B1752" s="1" t="s">
        <v>48</v>
      </c>
      <c r="C1752">
        <v>51</v>
      </c>
      <c r="D1752" s="1" t="s">
        <v>16</v>
      </c>
      <c r="E1752" s="1" t="s">
        <v>17</v>
      </c>
      <c r="F1752" s="1" t="s">
        <v>18</v>
      </c>
      <c r="G1752" s="1" t="s">
        <v>41</v>
      </c>
      <c r="H1752" s="1" t="s">
        <v>20</v>
      </c>
      <c r="I1752" s="2">
        <v>44456</v>
      </c>
      <c r="J1752">
        <v>64712</v>
      </c>
      <c r="K1752" s="2">
        <v>45791</v>
      </c>
      <c r="L1752">
        <v>10987</v>
      </c>
      <c r="M1752">
        <v>75699</v>
      </c>
      <c r="N1752">
        <v>0</v>
      </c>
    </row>
    <row r="1753" spans="1:14" x14ac:dyDescent="0.3">
      <c r="A1753" s="1" t="s">
        <v>1798</v>
      </c>
      <c r="B1753" s="1" t="s">
        <v>69</v>
      </c>
      <c r="C1753">
        <v>43</v>
      </c>
      <c r="D1753" s="1" t="s">
        <v>16</v>
      </c>
      <c r="E1753" s="1" t="s">
        <v>17</v>
      </c>
      <c r="F1753" s="1" t="s">
        <v>18</v>
      </c>
      <c r="G1753" s="1" t="s">
        <v>19</v>
      </c>
      <c r="H1753" s="1" t="s">
        <v>20</v>
      </c>
      <c r="I1753" s="2">
        <v>44253</v>
      </c>
      <c r="J1753">
        <v>4771</v>
      </c>
      <c r="K1753" s="2">
        <v>45803</v>
      </c>
      <c r="L1753">
        <v>240</v>
      </c>
      <c r="M1753">
        <v>5011</v>
      </c>
      <c r="N1753">
        <v>0</v>
      </c>
    </row>
    <row r="1754" spans="1:14" x14ac:dyDescent="0.3">
      <c r="A1754" s="1" t="s">
        <v>1799</v>
      </c>
      <c r="B1754" s="1" t="s">
        <v>59</v>
      </c>
      <c r="C1754">
        <v>58</v>
      </c>
      <c r="D1754" s="1" t="s">
        <v>16</v>
      </c>
      <c r="E1754" s="1" t="s">
        <v>38</v>
      </c>
      <c r="F1754" s="1" t="s">
        <v>25</v>
      </c>
      <c r="G1754" s="1" t="s">
        <v>19</v>
      </c>
      <c r="H1754" s="1" t="s">
        <v>20</v>
      </c>
      <c r="I1754" s="2">
        <v>45853</v>
      </c>
      <c r="J1754">
        <v>5509</v>
      </c>
      <c r="K1754" s="2">
        <v>45869</v>
      </c>
      <c r="L1754">
        <v>1</v>
      </c>
      <c r="M1754">
        <v>5510</v>
      </c>
      <c r="N1754">
        <v>0</v>
      </c>
    </row>
    <row r="1755" spans="1:14" x14ac:dyDescent="0.3">
      <c r="A1755" s="1" t="s">
        <v>1800</v>
      </c>
      <c r="B1755" s="1" t="s">
        <v>40</v>
      </c>
      <c r="C1755">
        <v>66</v>
      </c>
      <c r="D1755" s="1" t="s">
        <v>23</v>
      </c>
      <c r="E1755" s="1" t="s">
        <v>24</v>
      </c>
      <c r="F1755" s="1" t="s">
        <v>25</v>
      </c>
      <c r="G1755" s="1" t="s">
        <v>19</v>
      </c>
      <c r="H1755" s="1" t="s">
        <v>20</v>
      </c>
      <c r="I1755" s="2">
        <v>45003</v>
      </c>
      <c r="J1755">
        <v>13041</v>
      </c>
      <c r="K1755" s="2">
        <v>45849</v>
      </c>
      <c r="L1755">
        <v>20037</v>
      </c>
      <c r="M1755">
        <v>33078</v>
      </c>
      <c r="N1755">
        <v>0</v>
      </c>
    </row>
    <row r="1756" spans="1:14" x14ac:dyDescent="0.3">
      <c r="A1756" s="1" t="s">
        <v>1801</v>
      </c>
      <c r="B1756" s="1" t="s">
        <v>48</v>
      </c>
      <c r="C1756">
        <v>20</v>
      </c>
      <c r="D1756" s="1" t="s">
        <v>16</v>
      </c>
      <c r="E1756" s="1" t="s">
        <v>24</v>
      </c>
      <c r="F1756" s="1" t="s">
        <v>18</v>
      </c>
      <c r="G1756" s="1" t="s">
        <v>19</v>
      </c>
      <c r="H1756" s="1" t="s">
        <v>20</v>
      </c>
      <c r="I1756" s="2">
        <v>45154</v>
      </c>
      <c r="J1756">
        <v>6003</v>
      </c>
      <c r="K1756" s="2">
        <v>45817</v>
      </c>
      <c r="L1756">
        <v>5030</v>
      </c>
      <c r="M1756">
        <v>11033</v>
      </c>
      <c r="N1756">
        <v>0</v>
      </c>
    </row>
    <row r="1757" spans="1:14" x14ac:dyDescent="0.3">
      <c r="A1757" s="1" t="s">
        <v>1802</v>
      </c>
      <c r="B1757" s="1" t="s">
        <v>59</v>
      </c>
      <c r="C1757">
        <v>23</v>
      </c>
      <c r="D1757" s="1" t="s">
        <v>16</v>
      </c>
      <c r="E1757" s="1" t="s">
        <v>17</v>
      </c>
      <c r="F1757" s="1" t="s">
        <v>25</v>
      </c>
      <c r="G1757" s="1" t="s">
        <v>19</v>
      </c>
      <c r="H1757" s="1" t="s">
        <v>20</v>
      </c>
      <c r="I1757" s="2">
        <v>45227</v>
      </c>
      <c r="J1757">
        <v>10700</v>
      </c>
      <c r="K1757" s="2">
        <v>45862</v>
      </c>
      <c r="L1757">
        <v>5211</v>
      </c>
      <c r="M1757">
        <v>15911</v>
      </c>
      <c r="N1757">
        <v>0</v>
      </c>
    </row>
    <row r="1758" spans="1:14" x14ac:dyDescent="0.3">
      <c r="A1758" s="1" t="s">
        <v>1803</v>
      </c>
      <c r="B1758" s="1" t="s">
        <v>43</v>
      </c>
      <c r="C1758">
        <v>22</v>
      </c>
      <c r="D1758" s="1" t="s">
        <v>23</v>
      </c>
      <c r="E1758" s="1" t="s">
        <v>24</v>
      </c>
      <c r="F1758" s="1" t="s">
        <v>18</v>
      </c>
      <c r="G1758" s="1" t="s">
        <v>19</v>
      </c>
      <c r="H1758" s="1" t="s">
        <v>20</v>
      </c>
      <c r="I1758" s="2">
        <v>45518</v>
      </c>
      <c r="J1758">
        <v>7815</v>
      </c>
      <c r="K1758" s="2">
        <v>45837</v>
      </c>
      <c r="L1758">
        <v>11152</v>
      </c>
      <c r="M1758">
        <v>18967</v>
      </c>
      <c r="N1758">
        <v>0</v>
      </c>
    </row>
    <row r="1759" spans="1:14" x14ac:dyDescent="0.3">
      <c r="A1759" s="1" t="s">
        <v>1804</v>
      </c>
      <c r="B1759" s="1" t="s">
        <v>15</v>
      </c>
      <c r="C1759">
        <v>22</v>
      </c>
      <c r="D1759" s="1" t="s">
        <v>23</v>
      </c>
      <c r="E1759" s="1" t="s">
        <v>24</v>
      </c>
      <c r="F1759" s="1" t="s">
        <v>18</v>
      </c>
      <c r="G1759" s="1" t="s">
        <v>19</v>
      </c>
      <c r="H1759" s="1" t="s">
        <v>20</v>
      </c>
      <c r="I1759" s="2">
        <v>45555</v>
      </c>
      <c r="J1759">
        <v>4877</v>
      </c>
      <c r="K1759" s="2">
        <v>45868</v>
      </c>
      <c r="L1759">
        <v>23070</v>
      </c>
      <c r="M1759">
        <v>27947</v>
      </c>
      <c r="N1759">
        <v>0</v>
      </c>
    </row>
    <row r="1760" spans="1:14" x14ac:dyDescent="0.3">
      <c r="A1760" s="1" t="s">
        <v>1805</v>
      </c>
      <c r="B1760" s="1" t="s">
        <v>59</v>
      </c>
      <c r="C1760">
        <v>64</v>
      </c>
      <c r="D1760" s="1" t="s">
        <v>16</v>
      </c>
      <c r="E1760" s="1" t="s">
        <v>17</v>
      </c>
      <c r="F1760" s="1" t="s">
        <v>25</v>
      </c>
      <c r="G1760" s="1" t="s">
        <v>41</v>
      </c>
      <c r="H1760" s="1" t="s">
        <v>20</v>
      </c>
      <c r="I1760" s="2">
        <v>44521</v>
      </c>
      <c r="J1760">
        <v>30512</v>
      </c>
      <c r="K1760" s="2">
        <v>45813</v>
      </c>
      <c r="L1760">
        <v>6596</v>
      </c>
      <c r="M1760">
        <v>37108</v>
      </c>
      <c r="N1760">
        <v>0</v>
      </c>
    </row>
    <row r="1761" spans="1:14" x14ac:dyDescent="0.3">
      <c r="A1761" s="1" t="s">
        <v>1806</v>
      </c>
      <c r="B1761" s="1" t="s">
        <v>32</v>
      </c>
      <c r="C1761">
        <v>40</v>
      </c>
      <c r="D1761" s="1" t="s">
        <v>16</v>
      </c>
      <c r="E1761" s="1" t="s">
        <v>38</v>
      </c>
      <c r="F1761" s="1" t="s">
        <v>18</v>
      </c>
      <c r="G1761" s="1" t="s">
        <v>19</v>
      </c>
      <c r="H1761" s="1" t="s">
        <v>20</v>
      </c>
      <c r="I1761" s="2">
        <v>44592</v>
      </c>
      <c r="J1761">
        <v>14404</v>
      </c>
      <c r="K1761" s="2">
        <v>45821</v>
      </c>
      <c r="L1761">
        <v>6626</v>
      </c>
      <c r="M1761">
        <v>21030</v>
      </c>
      <c r="N1761">
        <v>0</v>
      </c>
    </row>
    <row r="1762" spans="1:14" x14ac:dyDescent="0.3">
      <c r="A1762" s="1" t="s">
        <v>1807</v>
      </c>
      <c r="B1762" s="1" t="s">
        <v>61</v>
      </c>
      <c r="C1762">
        <v>66</v>
      </c>
      <c r="D1762" s="1" t="s">
        <v>30</v>
      </c>
      <c r="E1762" s="1" t="s">
        <v>17</v>
      </c>
      <c r="F1762" s="1" t="s">
        <v>18</v>
      </c>
      <c r="G1762" s="1" t="s">
        <v>19</v>
      </c>
      <c r="H1762" s="1" t="s">
        <v>20</v>
      </c>
      <c r="I1762" s="2">
        <v>45663</v>
      </c>
      <c r="J1762">
        <v>83314</v>
      </c>
      <c r="K1762" s="2">
        <v>45863</v>
      </c>
      <c r="L1762">
        <v>-11947</v>
      </c>
      <c r="M1762">
        <v>71367</v>
      </c>
      <c r="N1762">
        <v>0</v>
      </c>
    </row>
    <row r="1763" spans="1:14" x14ac:dyDescent="0.3">
      <c r="A1763" s="1" t="s">
        <v>1808</v>
      </c>
      <c r="B1763" s="1" t="s">
        <v>37</v>
      </c>
      <c r="C1763">
        <v>26</v>
      </c>
      <c r="D1763" s="1" t="s">
        <v>16</v>
      </c>
      <c r="E1763" s="1" t="s">
        <v>24</v>
      </c>
      <c r="F1763" s="1" t="s">
        <v>25</v>
      </c>
      <c r="G1763" s="1" t="s">
        <v>19</v>
      </c>
      <c r="H1763" s="1" t="s">
        <v>20</v>
      </c>
      <c r="I1763" s="2">
        <v>45568</v>
      </c>
      <c r="J1763">
        <v>19130</v>
      </c>
      <c r="K1763" s="2">
        <v>45838</v>
      </c>
      <c r="L1763">
        <v>15390</v>
      </c>
      <c r="M1763">
        <v>34520</v>
      </c>
      <c r="N1763">
        <v>0</v>
      </c>
    </row>
    <row r="1764" spans="1:14" x14ac:dyDescent="0.3">
      <c r="A1764" s="1" t="s">
        <v>1809</v>
      </c>
      <c r="B1764" s="1" t="s">
        <v>69</v>
      </c>
      <c r="C1764">
        <v>52</v>
      </c>
      <c r="D1764" s="1" t="s">
        <v>23</v>
      </c>
      <c r="E1764" s="1" t="s">
        <v>38</v>
      </c>
      <c r="F1764" s="1" t="s">
        <v>18</v>
      </c>
      <c r="G1764" s="1" t="s">
        <v>19</v>
      </c>
      <c r="H1764" s="1" t="s">
        <v>20</v>
      </c>
      <c r="I1764" s="2">
        <v>45230</v>
      </c>
      <c r="J1764">
        <v>48462</v>
      </c>
      <c r="K1764" s="2">
        <v>45823</v>
      </c>
      <c r="L1764">
        <v>28433</v>
      </c>
      <c r="M1764">
        <v>76895</v>
      </c>
      <c r="N1764">
        <v>0</v>
      </c>
    </row>
    <row r="1765" spans="1:14" x14ac:dyDescent="0.3">
      <c r="A1765" s="1" t="s">
        <v>1810</v>
      </c>
      <c r="B1765" s="1" t="s">
        <v>34</v>
      </c>
      <c r="C1765">
        <v>37</v>
      </c>
      <c r="D1765" s="1" t="s">
        <v>23</v>
      </c>
      <c r="E1765" s="1" t="s">
        <v>24</v>
      </c>
      <c r="F1765" s="1" t="s">
        <v>25</v>
      </c>
      <c r="G1765" s="1" t="s">
        <v>19</v>
      </c>
      <c r="H1765" s="1" t="s">
        <v>49</v>
      </c>
      <c r="I1765" s="2">
        <v>45861</v>
      </c>
      <c r="J1765">
        <v>6446</v>
      </c>
      <c r="K1765" s="2">
        <v>45869</v>
      </c>
      <c r="L1765">
        <v>21663</v>
      </c>
      <c r="M1765">
        <v>28109</v>
      </c>
      <c r="N1765">
        <v>0</v>
      </c>
    </row>
    <row r="1766" spans="1:14" x14ac:dyDescent="0.3">
      <c r="A1766" s="1" t="s">
        <v>1811</v>
      </c>
      <c r="B1766" s="1" t="s">
        <v>48</v>
      </c>
      <c r="C1766">
        <v>66</v>
      </c>
      <c r="D1766" s="1" t="s">
        <v>23</v>
      </c>
      <c r="E1766" s="1" t="s">
        <v>38</v>
      </c>
      <c r="F1766" s="1" t="s">
        <v>18</v>
      </c>
      <c r="G1766" s="1" t="s">
        <v>19</v>
      </c>
      <c r="H1766" s="1" t="s">
        <v>20</v>
      </c>
      <c r="I1766" s="2">
        <v>45426</v>
      </c>
      <c r="J1766">
        <v>6366</v>
      </c>
      <c r="K1766" s="2">
        <v>45862</v>
      </c>
      <c r="L1766">
        <v>28187</v>
      </c>
      <c r="M1766">
        <v>34553</v>
      </c>
      <c r="N1766">
        <v>0</v>
      </c>
    </row>
    <row r="1767" spans="1:14" x14ac:dyDescent="0.3">
      <c r="A1767" s="1" t="s">
        <v>1812</v>
      </c>
      <c r="B1767" s="1" t="s">
        <v>48</v>
      </c>
      <c r="C1767">
        <v>59</v>
      </c>
      <c r="D1767" s="1" t="s">
        <v>23</v>
      </c>
      <c r="E1767" s="1" t="s">
        <v>38</v>
      </c>
      <c r="F1767" s="1" t="s">
        <v>18</v>
      </c>
      <c r="G1767" s="1" t="s">
        <v>41</v>
      </c>
      <c r="H1767" s="1" t="s">
        <v>20</v>
      </c>
      <c r="I1767" s="2">
        <v>44558</v>
      </c>
      <c r="J1767">
        <v>123115</v>
      </c>
      <c r="K1767" s="2">
        <v>45786</v>
      </c>
      <c r="L1767">
        <v>12934</v>
      </c>
      <c r="M1767">
        <v>136049</v>
      </c>
      <c r="N1767">
        <v>0</v>
      </c>
    </row>
    <row r="1768" spans="1:14" x14ac:dyDescent="0.3">
      <c r="A1768" s="1" t="s">
        <v>1813</v>
      </c>
      <c r="B1768" s="1" t="s">
        <v>34</v>
      </c>
      <c r="C1768">
        <v>52</v>
      </c>
      <c r="D1768" s="1" t="s">
        <v>23</v>
      </c>
      <c r="E1768" s="1" t="s">
        <v>38</v>
      </c>
      <c r="F1768" s="1" t="s">
        <v>18</v>
      </c>
      <c r="G1768" s="1" t="s">
        <v>19</v>
      </c>
      <c r="H1768" s="1" t="s">
        <v>20</v>
      </c>
      <c r="I1768" s="2">
        <v>45613</v>
      </c>
      <c r="J1768">
        <v>7267</v>
      </c>
      <c r="K1768" s="2">
        <v>45852</v>
      </c>
      <c r="L1768">
        <v>-1695</v>
      </c>
      <c r="M1768">
        <v>5572</v>
      </c>
      <c r="N1768">
        <v>0</v>
      </c>
    </row>
    <row r="1769" spans="1:14" x14ac:dyDescent="0.3">
      <c r="A1769" s="1" t="s">
        <v>1814</v>
      </c>
      <c r="B1769" s="1" t="s">
        <v>75</v>
      </c>
      <c r="C1769">
        <v>67</v>
      </c>
      <c r="D1769" s="1" t="s">
        <v>23</v>
      </c>
      <c r="E1769" s="1" t="s">
        <v>17</v>
      </c>
      <c r="F1769" s="1" t="s">
        <v>25</v>
      </c>
      <c r="G1769" s="1" t="s">
        <v>19</v>
      </c>
      <c r="H1769" s="1" t="s">
        <v>20</v>
      </c>
      <c r="I1769" s="2">
        <v>44890</v>
      </c>
      <c r="J1769">
        <v>5171</v>
      </c>
      <c r="K1769" s="2">
        <v>45800</v>
      </c>
      <c r="L1769">
        <v>6445</v>
      </c>
      <c r="M1769">
        <v>11616</v>
      </c>
      <c r="N1769">
        <v>0</v>
      </c>
    </row>
    <row r="1770" spans="1:14" x14ac:dyDescent="0.3">
      <c r="A1770" s="1" t="s">
        <v>1815</v>
      </c>
      <c r="B1770" s="1" t="s">
        <v>27</v>
      </c>
      <c r="C1770">
        <v>35</v>
      </c>
      <c r="D1770" s="1" t="s">
        <v>23</v>
      </c>
      <c r="E1770" s="1" t="s">
        <v>17</v>
      </c>
      <c r="F1770" s="1" t="s">
        <v>25</v>
      </c>
      <c r="G1770" s="1" t="s">
        <v>41</v>
      </c>
      <c r="H1770" s="1" t="s">
        <v>20</v>
      </c>
      <c r="I1770" s="2">
        <v>44257</v>
      </c>
      <c r="J1770">
        <v>4141</v>
      </c>
      <c r="K1770" s="2">
        <v>45857</v>
      </c>
      <c r="L1770">
        <v>-3661</v>
      </c>
      <c r="M1770">
        <v>480</v>
      </c>
      <c r="N1770">
        <v>0</v>
      </c>
    </row>
    <row r="1771" spans="1:14" x14ac:dyDescent="0.3">
      <c r="A1771" s="1" t="s">
        <v>1816</v>
      </c>
      <c r="B1771" s="1" t="s">
        <v>52</v>
      </c>
      <c r="C1771">
        <v>34</v>
      </c>
      <c r="D1771" s="1" t="s">
        <v>16</v>
      </c>
      <c r="E1771" s="1" t="s">
        <v>24</v>
      </c>
      <c r="F1771" s="1" t="s">
        <v>18</v>
      </c>
      <c r="G1771" s="1" t="s">
        <v>19</v>
      </c>
      <c r="H1771" s="1" t="s">
        <v>20</v>
      </c>
      <c r="I1771" s="2">
        <v>44734</v>
      </c>
      <c r="J1771">
        <v>90740</v>
      </c>
      <c r="K1771" s="2">
        <v>45849</v>
      </c>
      <c r="L1771">
        <v>-11708</v>
      </c>
      <c r="M1771">
        <v>79032</v>
      </c>
      <c r="N1771">
        <v>0</v>
      </c>
    </row>
    <row r="1772" spans="1:14" x14ac:dyDescent="0.3">
      <c r="A1772" s="1" t="s">
        <v>1817</v>
      </c>
      <c r="B1772" s="1" t="s">
        <v>29</v>
      </c>
      <c r="C1772">
        <v>41</v>
      </c>
      <c r="D1772" s="1" t="s">
        <v>23</v>
      </c>
      <c r="E1772" s="1" t="s">
        <v>24</v>
      </c>
      <c r="F1772" s="1" t="s">
        <v>18</v>
      </c>
      <c r="G1772" s="1" t="s">
        <v>19</v>
      </c>
      <c r="H1772" s="1" t="s">
        <v>20</v>
      </c>
      <c r="I1772" s="2">
        <v>45474</v>
      </c>
      <c r="J1772">
        <v>10151</v>
      </c>
      <c r="K1772" s="2">
        <v>45818</v>
      </c>
      <c r="L1772">
        <v>8573</v>
      </c>
      <c r="M1772">
        <v>18724</v>
      </c>
      <c r="N1772">
        <v>0</v>
      </c>
    </row>
    <row r="1773" spans="1:14" x14ac:dyDescent="0.3">
      <c r="A1773" s="1" t="s">
        <v>1818</v>
      </c>
      <c r="B1773" s="1" t="s">
        <v>59</v>
      </c>
      <c r="C1773">
        <v>20</v>
      </c>
      <c r="D1773" s="1" t="s">
        <v>16</v>
      </c>
      <c r="E1773" s="1" t="s">
        <v>38</v>
      </c>
      <c r="F1773" s="1" t="s">
        <v>25</v>
      </c>
      <c r="G1773" s="1" t="s">
        <v>19</v>
      </c>
      <c r="H1773" s="1" t="s">
        <v>20</v>
      </c>
      <c r="I1773" s="2">
        <v>45803</v>
      </c>
      <c r="J1773">
        <v>19998</v>
      </c>
      <c r="K1773" s="2">
        <v>45869</v>
      </c>
      <c r="L1773">
        <v>31546</v>
      </c>
      <c r="M1773">
        <v>51544</v>
      </c>
      <c r="N1773">
        <v>0</v>
      </c>
    </row>
    <row r="1774" spans="1:14" x14ac:dyDescent="0.3">
      <c r="A1774" s="1" t="s">
        <v>1819</v>
      </c>
      <c r="B1774" s="1" t="s">
        <v>87</v>
      </c>
      <c r="C1774">
        <v>49</v>
      </c>
      <c r="D1774" s="1" t="s">
        <v>16</v>
      </c>
      <c r="E1774" s="1" t="s">
        <v>38</v>
      </c>
      <c r="F1774" s="1" t="s">
        <v>18</v>
      </c>
      <c r="G1774" s="1" t="s">
        <v>19</v>
      </c>
      <c r="H1774" s="1" t="s">
        <v>20</v>
      </c>
      <c r="I1774" s="2">
        <v>44658</v>
      </c>
      <c r="J1774">
        <v>15543</v>
      </c>
      <c r="K1774" s="2">
        <v>45866</v>
      </c>
      <c r="L1774">
        <v>21875</v>
      </c>
      <c r="M1774">
        <v>37418</v>
      </c>
      <c r="N1774">
        <v>0</v>
      </c>
    </row>
    <row r="1775" spans="1:14" x14ac:dyDescent="0.3">
      <c r="A1775" s="1" t="s">
        <v>1820</v>
      </c>
      <c r="B1775" s="1" t="s">
        <v>43</v>
      </c>
      <c r="C1775">
        <v>52</v>
      </c>
      <c r="D1775" s="1" t="s">
        <v>23</v>
      </c>
      <c r="E1775" s="1" t="s">
        <v>38</v>
      </c>
      <c r="F1775" s="1" t="s">
        <v>25</v>
      </c>
      <c r="G1775" s="1" t="s">
        <v>19</v>
      </c>
      <c r="H1775" s="1" t="s">
        <v>20</v>
      </c>
      <c r="I1775" s="2">
        <v>44609</v>
      </c>
      <c r="J1775">
        <v>6481</v>
      </c>
      <c r="K1775" s="2">
        <v>45777</v>
      </c>
      <c r="L1775">
        <v>-6494</v>
      </c>
      <c r="M1775">
        <v>-13</v>
      </c>
      <c r="N1775">
        <v>0</v>
      </c>
    </row>
    <row r="1776" spans="1:14" x14ac:dyDescent="0.3">
      <c r="A1776" s="1" t="s">
        <v>1821</v>
      </c>
      <c r="B1776" s="1" t="s">
        <v>40</v>
      </c>
      <c r="C1776">
        <v>55</v>
      </c>
      <c r="D1776" s="1" t="s">
        <v>23</v>
      </c>
      <c r="E1776" s="1" t="s">
        <v>35</v>
      </c>
      <c r="F1776" s="1" t="s">
        <v>18</v>
      </c>
      <c r="G1776" s="1" t="s">
        <v>19</v>
      </c>
      <c r="H1776" s="1" t="s">
        <v>20</v>
      </c>
      <c r="I1776" s="2">
        <v>45139</v>
      </c>
      <c r="J1776">
        <v>9934</v>
      </c>
      <c r="K1776" s="2">
        <v>45867</v>
      </c>
      <c r="L1776">
        <v>50902</v>
      </c>
      <c r="M1776">
        <v>60836</v>
      </c>
      <c r="N1776">
        <v>0</v>
      </c>
    </row>
    <row r="1777" spans="1:14" x14ac:dyDescent="0.3">
      <c r="A1777" s="1" t="s">
        <v>1822</v>
      </c>
      <c r="B1777" s="1" t="s">
        <v>69</v>
      </c>
      <c r="C1777">
        <v>30</v>
      </c>
      <c r="D1777" s="1" t="s">
        <v>23</v>
      </c>
      <c r="E1777" s="1" t="s">
        <v>38</v>
      </c>
      <c r="F1777" s="1" t="s">
        <v>25</v>
      </c>
      <c r="G1777" s="1" t="s">
        <v>19</v>
      </c>
      <c r="H1777" s="1" t="s">
        <v>20</v>
      </c>
      <c r="I1777" s="2">
        <v>45554</v>
      </c>
      <c r="J1777">
        <v>31122</v>
      </c>
      <c r="K1777" s="2">
        <v>45865</v>
      </c>
      <c r="L1777">
        <v>2914</v>
      </c>
      <c r="M1777">
        <v>34036</v>
      </c>
      <c r="N1777">
        <v>0</v>
      </c>
    </row>
    <row r="1778" spans="1:14" x14ac:dyDescent="0.3">
      <c r="A1778" s="1" t="s">
        <v>1823</v>
      </c>
      <c r="B1778" s="1" t="s">
        <v>69</v>
      </c>
      <c r="C1778">
        <v>64</v>
      </c>
      <c r="D1778" s="1" t="s">
        <v>23</v>
      </c>
      <c r="E1778" s="1" t="s">
        <v>24</v>
      </c>
      <c r="F1778" s="1" t="s">
        <v>18</v>
      </c>
      <c r="G1778" s="1" t="s">
        <v>19</v>
      </c>
      <c r="H1778" s="1" t="s">
        <v>20</v>
      </c>
      <c r="I1778" s="2">
        <v>45445</v>
      </c>
      <c r="J1778">
        <v>3921</v>
      </c>
      <c r="K1778" s="2">
        <v>45853</v>
      </c>
      <c r="L1778">
        <v>26381</v>
      </c>
      <c r="M1778">
        <v>30302</v>
      </c>
      <c r="N1778">
        <v>0</v>
      </c>
    </row>
    <row r="1779" spans="1:14" x14ac:dyDescent="0.3">
      <c r="A1779" s="1" t="s">
        <v>1824</v>
      </c>
      <c r="B1779" s="1" t="s">
        <v>71</v>
      </c>
      <c r="C1779">
        <v>42</v>
      </c>
      <c r="D1779" s="1" t="s">
        <v>16</v>
      </c>
      <c r="E1779" s="1" t="s">
        <v>24</v>
      </c>
      <c r="F1779" s="1" t="s">
        <v>25</v>
      </c>
      <c r="G1779" s="1" t="s">
        <v>19</v>
      </c>
      <c r="H1779" s="1" t="s">
        <v>20</v>
      </c>
      <c r="I1779" s="2">
        <v>45133</v>
      </c>
      <c r="J1779">
        <v>26217</v>
      </c>
      <c r="K1779" s="2">
        <v>45863</v>
      </c>
      <c r="L1779">
        <v>-18728</v>
      </c>
      <c r="M1779">
        <v>7489</v>
      </c>
      <c r="N1779">
        <v>0</v>
      </c>
    </row>
    <row r="1780" spans="1:14" x14ac:dyDescent="0.3">
      <c r="A1780" s="1" t="s">
        <v>1825</v>
      </c>
      <c r="B1780" s="1" t="s">
        <v>69</v>
      </c>
      <c r="C1780">
        <v>26</v>
      </c>
      <c r="D1780" s="1" t="s">
        <v>23</v>
      </c>
      <c r="E1780" s="1" t="s">
        <v>38</v>
      </c>
      <c r="F1780" s="1" t="s">
        <v>25</v>
      </c>
      <c r="G1780" s="1" t="s">
        <v>19</v>
      </c>
      <c r="H1780" s="1" t="s">
        <v>20</v>
      </c>
      <c r="I1780" s="2">
        <v>45253</v>
      </c>
      <c r="J1780">
        <v>56052</v>
      </c>
      <c r="K1780" s="2">
        <v>45850</v>
      </c>
      <c r="L1780">
        <v>9279</v>
      </c>
      <c r="M1780">
        <v>65331</v>
      </c>
      <c r="N1780">
        <v>0</v>
      </c>
    </row>
    <row r="1781" spans="1:14" x14ac:dyDescent="0.3">
      <c r="A1781" s="1" t="s">
        <v>1826</v>
      </c>
      <c r="B1781" s="1" t="s">
        <v>34</v>
      </c>
      <c r="C1781">
        <v>21</v>
      </c>
      <c r="D1781" s="1" t="s">
        <v>23</v>
      </c>
      <c r="E1781" s="1" t="s">
        <v>17</v>
      </c>
      <c r="F1781" s="1" t="s">
        <v>18</v>
      </c>
      <c r="G1781" s="1" t="s">
        <v>41</v>
      </c>
      <c r="H1781" s="1" t="s">
        <v>20</v>
      </c>
      <c r="I1781" s="2">
        <v>44602</v>
      </c>
      <c r="J1781">
        <v>17897</v>
      </c>
      <c r="K1781" s="2">
        <v>45773</v>
      </c>
      <c r="L1781">
        <v>17877</v>
      </c>
      <c r="M1781">
        <v>35774</v>
      </c>
      <c r="N1781">
        <v>0</v>
      </c>
    </row>
    <row r="1782" spans="1:14" x14ac:dyDescent="0.3">
      <c r="A1782" s="1" t="s">
        <v>1827</v>
      </c>
      <c r="B1782" s="1" t="s">
        <v>71</v>
      </c>
      <c r="C1782">
        <v>31</v>
      </c>
      <c r="D1782" s="1" t="s">
        <v>23</v>
      </c>
      <c r="E1782" s="1" t="s">
        <v>17</v>
      </c>
      <c r="F1782" s="1" t="s">
        <v>18</v>
      </c>
      <c r="G1782" s="1" t="s">
        <v>19</v>
      </c>
      <c r="H1782" s="1" t="s">
        <v>20</v>
      </c>
      <c r="I1782" s="2">
        <v>44920</v>
      </c>
      <c r="J1782">
        <v>50686</v>
      </c>
      <c r="K1782" s="2">
        <v>45862</v>
      </c>
      <c r="L1782">
        <v>-7687</v>
      </c>
      <c r="M1782">
        <v>42999</v>
      </c>
      <c r="N1782">
        <v>0</v>
      </c>
    </row>
    <row r="1783" spans="1:14" x14ac:dyDescent="0.3">
      <c r="A1783" s="1" t="s">
        <v>1828</v>
      </c>
      <c r="B1783" s="1" t="s">
        <v>64</v>
      </c>
      <c r="C1783">
        <v>54</v>
      </c>
      <c r="D1783" s="1" t="s">
        <v>30</v>
      </c>
      <c r="E1783" s="1" t="s">
        <v>24</v>
      </c>
      <c r="F1783" s="1" t="s">
        <v>25</v>
      </c>
      <c r="G1783" s="1" t="s">
        <v>19</v>
      </c>
      <c r="H1783" s="1" t="s">
        <v>20</v>
      </c>
      <c r="I1783" s="2">
        <v>44624</v>
      </c>
      <c r="J1783">
        <v>3390</v>
      </c>
      <c r="K1783" s="2">
        <v>45864</v>
      </c>
      <c r="L1783">
        <v>16135</v>
      </c>
      <c r="M1783">
        <v>19525</v>
      </c>
      <c r="N1783">
        <v>0</v>
      </c>
    </row>
    <row r="1784" spans="1:14" x14ac:dyDescent="0.3">
      <c r="A1784" s="1" t="s">
        <v>1829</v>
      </c>
      <c r="B1784" s="1" t="s">
        <v>32</v>
      </c>
      <c r="C1784">
        <v>51</v>
      </c>
      <c r="D1784" s="1" t="s">
        <v>16</v>
      </c>
      <c r="E1784" s="1" t="s">
        <v>38</v>
      </c>
      <c r="F1784" s="1" t="s">
        <v>25</v>
      </c>
      <c r="G1784" s="1" t="s">
        <v>19</v>
      </c>
      <c r="H1784" s="1" t="s">
        <v>20</v>
      </c>
      <c r="I1784" s="2">
        <v>45676</v>
      </c>
      <c r="J1784">
        <v>2143</v>
      </c>
      <c r="K1784" s="2">
        <v>45862</v>
      </c>
      <c r="L1784">
        <v>46683</v>
      </c>
      <c r="M1784">
        <v>48826</v>
      </c>
      <c r="N1784">
        <v>0</v>
      </c>
    </row>
    <row r="1785" spans="1:14" x14ac:dyDescent="0.3">
      <c r="A1785" s="1" t="s">
        <v>1830</v>
      </c>
      <c r="B1785" s="1" t="s">
        <v>27</v>
      </c>
      <c r="C1785">
        <v>28</v>
      </c>
      <c r="D1785" s="1" t="s">
        <v>16</v>
      </c>
      <c r="E1785" s="1" t="s">
        <v>17</v>
      </c>
      <c r="F1785" s="1" t="s">
        <v>18</v>
      </c>
      <c r="G1785" s="1" t="s">
        <v>19</v>
      </c>
      <c r="H1785" s="1" t="s">
        <v>20</v>
      </c>
      <c r="I1785" s="2">
        <v>44385</v>
      </c>
      <c r="J1785">
        <v>17029</v>
      </c>
      <c r="K1785" s="2">
        <v>45862</v>
      </c>
      <c r="L1785">
        <v>3766</v>
      </c>
      <c r="M1785">
        <v>20795</v>
      </c>
      <c r="N1785">
        <v>0</v>
      </c>
    </row>
    <row r="1786" spans="1:14" x14ac:dyDescent="0.3">
      <c r="A1786" s="1" t="s">
        <v>1831</v>
      </c>
      <c r="B1786" s="1" t="s">
        <v>79</v>
      </c>
      <c r="C1786">
        <v>58</v>
      </c>
      <c r="D1786" s="1" t="s">
        <v>23</v>
      </c>
      <c r="E1786" s="1" t="s">
        <v>38</v>
      </c>
      <c r="F1786" s="1" t="s">
        <v>18</v>
      </c>
      <c r="G1786" s="1" t="s">
        <v>19</v>
      </c>
      <c r="H1786" s="1" t="s">
        <v>20</v>
      </c>
      <c r="I1786" s="2">
        <v>45334</v>
      </c>
      <c r="J1786">
        <v>7433</v>
      </c>
      <c r="K1786" s="2">
        <v>45861</v>
      </c>
      <c r="L1786">
        <v>-5165</v>
      </c>
      <c r="M1786">
        <v>2268</v>
      </c>
      <c r="N1786">
        <v>0</v>
      </c>
    </row>
    <row r="1787" spans="1:14" x14ac:dyDescent="0.3">
      <c r="A1787" s="1" t="s">
        <v>1832</v>
      </c>
      <c r="B1787" s="1" t="s">
        <v>52</v>
      </c>
      <c r="C1787">
        <v>20</v>
      </c>
      <c r="D1787" s="1" t="s">
        <v>16</v>
      </c>
      <c r="E1787" s="1" t="s">
        <v>38</v>
      </c>
      <c r="F1787" s="1" t="s">
        <v>25</v>
      </c>
      <c r="G1787" s="1" t="s">
        <v>19</v>
      </c>
      <c r="H1787" s="1" t="s">
        <v>20</v>
      </c>
      <c r="I1787" s="2">
        <v>44632</v>
      </c>
      <c r="J1787">
        <v>32169</v>
      </c>
      <c r="K1787" s="2">
        <v>45843</v>
      </c>
      <c r="L1787">
        <v>28236</v>
      </c>
      <c r="M1787">
        <v>60405</v>
      </c>
      <c r="N1787">
        <v>0</v>
      </c>
    </row>
    <row r="1788" spans="1:14" x14ac:dyDescent="0.3">
      <c r="A1788" s="1" t="s">
        <v>1833</v>
      </c>
      <c r="B1788" s="1" t="s">
        <v>79</v>
      </c>
      <c r="C1788">
        <v>45</v>
      </c>
      <c r="D1788" s="1" t="s">
        <v>16</v>
      </c>
      <c r="E1788" s="1" t="s">
        <v>24</v>
      </c>
      <c r="F1788" s="1" t="s">
        <v>18</v>
      </c>
      <c r="G1788" s="1" t="s">
        <v>19</v>
      </c>
      <c r="H1788" s="1" t="s">
        <v>20</v>
      </c>
      <c r="I1788" s="2">
        <v>44992</v>
      </c>
      <c r="J1788">
        <v>9794</v>
      </c>
      <c r="K1788" s="2">
        <v>45825</v>
      </c>
      <c r="L1788">
        <v>21520</v>
      </c>
      <c r="M1788">
        <v>31314</v>
      </c>
      <c r="N1788">
        <v>0</v>
      </c>
    </row>
    <row r="1789" spans="1:14" x14ac:dyDescent="0.3">
      <c r="A1789" s="1" t="s">
        <v>1834</v>
      </c>
      <c r="B1789" s="1" t="s">
        <v>75</v>
      </c>
      <c r="C1789">
        <v>46</v>
      </c>
      <c r="D1789" s="1" t="s">
        <v>16</v>
      </c>
      <c r="E1789" s="1" t="s">
        <v>17</v>
      </c>
      <c r="F1789" s="1" t="s">
        <v>25</v>
      </c>
      <c r="G1789" s="1" t="s">
        <v>19</v>
      </c>
      <c r="H1789" s="1" t="s">
        <v>20</v>
      </c>
      <c r="I1789" s="2">
        <v>44697</v>
      </c>
      <c r="J1789">
        <v>15478</v>
      </c>
      <c r="K1789" s="2">
        <v>45858</v>
      </c>
      <c r="L1789">
        <v>9393</v>
      </c>
      <c r="M1789">
        <v>24871</v>
      </c>
      <c r="N1789">
        <v>0</v>
      </c>
    </row>
    <row r="1790" spans="1:14" x14ac:dyDescent="0.3">
      <c r="A1790" s="1" t="s">
        <v>1835</v>
      </c>
      <c r="B1790" s="1" t="s">
        <v>79</v>
      </c>
      <c r="C1790">
        <v>26</v>
      </c>
      <c r="D1790" s="1" t="s">
        <v>30</v>
      </c>
      <c r="E1790" s="1" t="s">
        <v>17</v>
      </c>
      <c r="F1790" s="1" t="s">
        <v>18</v>
      </c>
      <c r="G1790" s="1" t="s">
        <v>19</v>
      </c>
      <c r="H1790" s="1" t="s">
        <v>20</v>
      </c>
      <c r="I1790" s="2">
        <v>44737</v>
      </c>
      <c r="J1790">
        <v>14487</v>
      </c>
      <c r="K1790" s="2">
        <v>45793</v>
      </c>
      <c r="L1790">
        <v>6015</v>
      </c>
      <c r="M1790">
        <v>20502</v>
      </c>
      <c r="N1790">
        <v>0</v>
      </c>
    </row>
    <row r="1791" spans="1:14" x14ac:dyDescent="0.3">
      <c r="A1791" s="1" t="s">
        <v>1836</v>
      </c>
      <c r="B1791" s="1" t="s">
        <v>71</v>
      </c>
      <c r="C1791">
        <v>20</v>
      </c>
      <c r="D1791" s="1" t="s">
        <v>23</v>
      </c>
      <c r="E1791" s="1" t="s">
        <v>38</v>
      </c>
      <c r="F1791" s="1" t="s">
        <v>25</v>
      </c>
      <c r="G1791" s="1" t="s">
        <v>19</v>
      </c>
      <c r="H1791" s="1" t="s">
        <v>20</v>
      </c>
      <c r="I1791" s="2">
        <v>44632</v>
      </c>
      <c r="J1791">
        <v>14956</v>
      </c>
      <c r="K1791" s="2">
        <v>45796</v>
      </c>
      <c r="L1791">
        <v>1877</v>
      </c>
      <c r="M1791">
        <v>16833</v>
      </c>
      <c r="N1791">
        <v>0</v>
      </c>
    </row>
    <row r="1792" spans="1:14" x14ac:dyDescent="0.3">
      <c r="A1792" s="1" t="s">
        <v>1837</v>
      </c>
      <c r="B1792" s="1" t="s">
        <v>87</v>
      </c>
      <c r="C1792">
        <v>42</v>
      </c>
      <c r="D1792" s="1" t="s">
        <v>16</v>
      </c>
      <c r="E1792" s="1" t="s">
        <v>38</v>
      </c>
      <c r="F1792" s="1" t="s">
        <v>25</v>
      </c>
      <c r="G1792" s="1" t="s">
        <v>19</v>
      </c>
      <c r="H1792" s="1" t="s">
        <v>20</v>
      </c>
      <c r="I1792" s="2">
        <v>45456</v>
      </c>
      <c r="J1792">
        <v>7765</v>
      </c>
      <c r="K1792" s="2">
        <v>45858</v>
      </c>
      <c r="L1792">
        <v>-23465</v>
      </c>
      <c r="M1792">
        <v>-15700</v>
      </c>
      <c r="N1792">
        <v>0</v>
      </c>
    </row>
    <row r="1793" spans="1:14" x14ac:dyDescent="0.3">
      <c r="A1793" s="1" t="s">
        <v>1838</v>
      </c>
      <c r="B1793" s="1" t="s">
        <v>15</v>
      </c>
      <c r="C1793">
        <v>51</v>
      </c>
      <c r="D1793" s="1" t="s">
        <v>16</v>
      </c>
      <c r="E1793" s="1" t="s">
        <v>38</v>
      </c>
      <c r="F1793" s="1" t="s">
        <v>25</v>
      </c>
      <c r="G1793" s="1" t="s">
        <v>19</v>
      </c>
      <c r="H1793" s="1" t="s">
        <v>20</v>
      </c>
      <c r="I1793" s="2">
        <v>44808</v>
      </c>
      <c r="J1793">
        <v>3413</v>
      </c>
      <c r="K1793" s="2">
        <v>45863</v>
      </c>
      <c r="L1793">
        <v>25666</v>
      </c>
      <c r="M1793">
        <v>29079</v>
      </c>
      <c r="N1793">
        <v>0</v>
      </c>
    </row>
    <row r="1794" spans="1:14" x14ac:dyDescent="0.3">
      <c r="A1794" s="1" t="s">
        <v>1839</v>
      </c>
      <c r="B1794" s="1" t="s">
        <v>34</v>
      </c>
      <c r="C1794">
        <v>29</v>
      </c>
      <c r="D1794" s="1" t="s">
        <v>23</v>
      </c>
      <c r="E1794" s="1" t="s">
        <v>24</v>
      </c>
      <c r="F1794" s="1" t="s">
        <v>18</v>
      </c>
      <c r="G1794" s="1" t="s">
        <v>19</v>
      </c>
      <c r="H1794" s="1" t="s">
        <v>20</v>
      </c>
      <c r="I1794" s="2">
        <v>45412</v>
      </c>
      <c r="J1794">
        <v>10730</v>
      </c>
      <c r="K1794" s="2">
        <v>45815</v>
      </c>
      <c r="L1794">
        <v>670</v>
      </c>
      <c r="M1794">
        <v>11400</v>
      </c>
      <c r="N1794">
        <v>0</v>
      </c>
    </row>
    <row r="1795" spans="1:14" x14ac:dyDescent="0.3">
      <c r="A1795" s="1" t="s">
        <v>1840</v>
      </c>
      <c r="B1795" s="1" t="s">
        <v>64</v>
      </c>
      <c r="C1795">
        <v>59</v>
      </c>
      <c r="D1795" s="1" t="s">
        <v>16</v>
      </c>
      <c r="E1795" s="1" t="s">
        <v>17</v>
      </c>
      <c r="F1795" s="1" t="s">
        <v>25</v>
      </c>
      <c r="G1795" s="1" t="s">
        <v>19</v>
      </c>
      <c r="H1795" s="1" t="s">
        <v>20</v>
      </c>
      <c r="I1795" s="2">
        <v>44960</v>
      </c>
      <c r="J1795">
        <v>56956</v>
      </c>
      <c r="K1795" s="2">
        <v>45859</v>
      </c>
      <c r="L1795">
        <v>2515</v>
      </c>
      <c r="M1795">
        <v>59471</v>
      </c>
      <c r="N1795">
        <v>0</v>
      </c>
    </row>
    <row r="1796" spans="1:14" x14ac:dyDescent="0.3">
      <c r="A1796" s="1" t="s">
        <v>1841</v>
      </c>
      <c r="B1796" s="1" t="s">
        <v>27</v>
      </c>
      <c r="C1796">
        <v>26</v>
      </c>
      <c r="D1796" s="1" t="s">
        <v>30</v>
      </c>
      <c r="E1796" s="1" t="s">
        <v>17</v>
      </c>
      <c r="F1796" s="1" t="s">
        <v>18</v>
      </c>
      <c r="G1796" s="1" t="s">
        <v>41</v>
      </c>
      <c r="H1796" s="1" t="s">
        <v>49</v>
      </c>
      <c r="I1796" s="2">
        <v>45112</v>
      </c>
      <c r="J1796">
        <v>7268</v>
      </c>
      <c r="K1796" s="2">
        <v>45797</v>
      </c>
      <c r="L1796">
        <v>25261</v>
      </c>
      <c r="M1796">
        <v>32529</v>
      </c>
      <c r="N1796">
        <v>0</v>
      </c>
    </row>
    <row r="1797" spans="1:14" x14ac:dyDescent="0.3">
      <c r="A1797" s="1" t="s">
        <v>1842</v>
      </c>
      <c r="B1797" s="1" t="s">
        <v>48</v>
      </c>
      <c r="C1797">
        <v>32</v>
      </c>
      <c r="D1797" s="1" t="s">
        <v>23</v>
      </c>
      <c r="E1797" s="1" t="s">
        <v>38</v>
      </c>
      <c r="F1797" s="1" t="s">
        <v>18</v>
      </c>
      <c r="G1797" s="1" t="s">
        <v>19</v>
      </c>
      <c r="H1797" s="1" t="s">
        <v>20</v>
      </c>
      <c r="I1797" s="2">
        <v>45105</v>
      </c>
      <c r="J1797">
        <v>7228</v>
      </c>
      <c r="K1797" s="2">
        <v>45868</v>
      </c>
      <c r="L1797">
        <v>3916</v>
      </c>
      <c r="M1797">
        <v>11144</v>
      </c>
      <c r="N1797">
        <v>0</v>
      </c>
    </row>
    <row r="1798" spans="1:14" x14ac:dyDescent="0.3">
      <c r="A1798" s="1" t="s">
        <v>1843</v>
      </c>
      <c r="B1798" s="1" t="s">
        <v>32</v>
      </c>
      <c r="C1798">
        <v>57</v>
      </c>
      <c r="D1798" s="1" t="s">
        <v>16</v>
      </c>
      <c r="E1798" s="1" t="s">
        <v>17</v>
      </c>
      <c r="F1798" s="1" t="s">
        <v>18</v>
      </c>
      <c r="G1798" s="1" t="s">
        <v>19</v>
      </c>
      <c r="H1798" s="1" t="s">
        <v>20</v>
      </c>
      <c r="I1798" s="2">
        <v>45829</v>
      </c>
      <c r="J1798">
        <v>15641</v>
      </c>
      <c r="K1798" s="2">
        <v>45866</v>
      </c>
      <c r="L1798">
        <v>-9743</v>
      </c>
      <c r="M1798">
        <v>5898</v>
      </c>
      <c r="N1798">
        <v>0</v>
      </c>
    </row>
    <row r="1799" spans="1:14" x14ac:dyDescent="0.3">
      <c r="A1799" s="1" t="s">
        <v>1844</v>
      </c>
      <c r="B1799" s="1" t="s">
        <v>69</v>
      </c>
      <c r="C1799">
        <v>42</v>
      </c>
      <c r="D1799" s="1" t="s">
        <v>30</v>
      </c>
      <c r="E1799" s="1" t="s">
        <v>24</v>
      </c>
      <c r="F1799" s="1" t="s">
        <v>18</v>
      </c>
      <c r="G1799" s="1" t="s">
        <v>19</v>
      </c>
      <c r="H1799" s="1" t="s">
        <v>20</v>
      </c>
      <c r="I1799" s="2">
        <v>44811</v>
      </c>
      <c r="J1799">
        <v>4117</v>
      </c>
      <c r="K1799" s="2">
        <v>45823</v>
      </c>
      <c r="L1799">
        <v>14652</v>
      </c>
      <c r="M1799">
        <v>18769</v>
      </c>
      <c r="N1799">
        <v>0</v>
      </c>
    </row>
    <row r="1800" spans="1:14" x14ac:dyDescent="0.3">
      <c r="A1800" s="1" t="s">
        <v>1845</v>
      </c>
      <c r="B1800" s="1" t="s">
        <v>75</v>
      </c>
      <c r="C1800">
        <v>22</v>
      </c>
      <c r="D1800" s="1" t="s">
        <v>16</v>
      </c>
      <c r="E1800" s="1" t="s">
        <v>24</v>
      </c>
      <c r="F1800" s="1" t="s">
        <v>25</v>
      </c>
      <c r="G1800" s="1" t="s">
        <v>19</v>
      </c>
      <c r="H1800" s="1" t="s">
        <v>20</v>
      </c>
      <c r="I1800" s="2">
        <v>44544</v>
      </c>
      <c r="J1800">
        <v>36442</v>
      </c>
      <c r="K1800" s="2">
        <v>45860</v>
      </c>
      <c r="L1800">
        <v>975</v>
      </c>
      <c r="M1800">
        <v>37417</v>
      </c>
      <c r="N1800">
        <v>0</v>
      </c>
    </row>
    <row r="1801" spans="1:14" x14ac:dyDescent="0.3">
      <c r="A1801" s="1" t="s">
        <v>1846</v>
      </c>
      <c r="B1801" s="1" t="s">
        <v>32</v>
      </c>
      <c r="C1801">
        <v>28</v>
      </c>
      <c r="D1801" s="1" t="s">
        <v>23</v>
      </c>
      <c r="E1801" s="1" t="s">
        <v>17</v>
      </c>
      <c r="F1801" s="1" t="s">
        <v>18</v>
      </c>
      <c r="G1801" s="1" t="s">
        <v>19</v>
      </c>
      <c r="H1801" s="1" t="s">
        <v>20</v>
      </c>
      <c r="I1801" s="2">
        <v>45722</v>
      </c>
      <c r="J1801">
        <v>4529</v>
      </c>
      <c r="K1801" s="2">
        <v>45867</v>
      </c>
      <c r="L1801">
        <v>-1436</v>
      </c>
      <c r="M1801">
        <v>3093</v>
      </c>
      <c r="N1801">
        <v>0</v>
      </c>
    </row>
    <row r="1802" spans="1:14" x14ac:dyDescent="0.3">
      <c r="A1802" s="1" t="s">
        <v>1847</v>
      </c>
      <c r="B1802" s="1" t="s">
        <v>64</v>
      </c>
      <c r="C1802">
        <v>51</v>
      </c>
      <c r="D1802" s="1" t="s">
        <v>16</v>
      </c>
      <c r="E1802" s="1" t="s">
        <v>17</v>
      </c>
      <c r="F1802" s="1" t="s">
        <v>25</v>
      </c>
      <c r="G1802" s="1" t="s">
        <v>19</v>
      </c>
      <c r="H1802" s="1" t="s">
        <v>20</v>
      </c>
      <c r="I1802" s="2">
        <v>44489</v>
      </c>
      <c r="J1802">
        <v>10004</v>
      </c>
      <c r="K1802" s="2">
        <v>45808</v>
      </c>
      <c r="L1802">
        <v>8359</v>
      </c>
      <c r="M1802">
        <v>18363</v>
      </c>
      <c r="N1802">
        <v>0</v>
      </c>
    </row>
    <row r="1803" spans="1:14" x14ac:dyDescent="0.3">
      <c r="A1803" s="1" t="s">
        <v>1848</v>
      </c>
      <c r="B1803" s="1" t="s">
        <v>64</v>
      </c>
      <c r="C1803">
        <v>41</v>
      </c>
      <c r="D1803" s="1" t="s">
        <v>23</v>
      </c>
      <c r="E1803" s="1" t="s">
        <v>24</v>
      </c>
      <c r="F1803" s="1" t="s">
        <v>25</v>
      </c>
      <c r="G1803" s="1" t="s">
        <v>19</v>
      </c>
      <c r="H1803" s="1" t="s">
        <v>20</v>
      </c>
      <c r="I1803" s="2">
        <v>45592</v>
      </c>
      <c r="J1803">
        <v>169212</v>
      </c>
      <c r="K1803" s="2">
        <v>45868</v>
      </c>
      <c r="L1803">
        <v>32189</v>
      </c>
      <c r="M1803">
        <v>201401</v>
      </c>
      <c r="N1803">
        <v>0</v>
      </c>
    </row>
    <row r="1804" spans="1:14" x14ac:dyDescent="0.3">
      <c r="A1804" s="1" t="s">
        <v>1849</v>
      </c>
      <c r="B1804" s="1" t="s">
        <v>34</v>
      </c>
      <c r="C1804">
        <v>32</v>
      </c>
      <c r="D1804" s="1" t="s">
        <v>16</v>
      </c>
      <c r="E1804" s="1" t="s">
        <v>24</v>
      </c>
      <c r="F1804" s="1" t="s">
        <v>25</v>
      </c>
      <c r="G1804" s="1" t="s">
        <v>19</v>
      </c>
      <c r="H1804" s="1" t="s">
        <v>20</v>
      </c>
      <c r="I1804" s="2">
        <v>44448</v>
      </c>
      <c r="J1804">
        <v>4262</v>
      </c>
      <c r="K1804" s="2">
        <v>45856</v>
      </c>
      <c r="L1804">
        <v>-621</v>
      </c>
      <c r="M1804">
        <v>3641</v>
      </c>
      <c r="N1804">
        <v>0</v>
      </c>
    </row>
    <row r="1805" spans="1:14" x14ac:dyDescent="0.3">
      <c r="A1805" s="1" t="s">
        <v>1850</v>
      </c>
      <c r="B1805" s="1" t="s">
        <v>59</v>
      </c>
      <c r="C1805">
        <v>55</v>
      </c>
      <c r="D1805" s="1" t="s">
        <v>23</v>
      </c>
      <c r="E1805" s="1" t="s">
        <v>17</v>
      </c>
      <c r="F1805" s="1" t="s">
        <v>18</v>
      </c>
      <c r="G1805" s="1" t="s">
        <v>41</v>
      </c>
      <c r="H1805" s="1" t="s">
        <v>20</v>
      </c>
      <c r="I1805" s="2">
        <v>45299</v>
      </c>
      <c r="J1805">
        <v>58243</v>
      </c>
      <c r="K1805" s="2">
        <v>45846</v>
      </c>
      <c r="L1805">
        <v>4145</v>
      </c>
      <c r="M1805">
        <v>62388</v>
      </c>
      <c r="N1805">
        <v>0</v>
      </c>
    </row>
    <row r="1806" spans="1:14" x14ac:dyDescent="0.3">
      <c r="A1806" s="1" t="s">
        <v>1851</v>
      </c>
      <c r="B1806" s="1" t="s">
        <v>15</v>
      </c>
      <c r="C1806">
        <v>25</v>
      </c>
      <c r="D1806" s="1" t="s">
        <v>16</v>
      </c>
      <c r="E1806" s="1" t="s">
        <v>38</v>
      </c>
      <c r="F1806" s="1" t="s">
        <v>18</v>
      </c>
      <c r="G1806" s="1" t="s">
        <v>41</v>
      </c>
      <c r="H1806" s="1" t="s">
        <v>20</v>
      </c>
      <c r="I1806" s="2">
        <v>44448</v>
      </c>
      <c r="J1806">
        <v>15082</v>
      </c>
      <c r="K1806" s="2">
        <v>45833</v>
      </c>
      <c r="L1806">
        <v>21855</v>
      </c>
      <c r="M1806">
        <v>36937</v>
      </c>
      <c r="N1806">
        <v>0</v>
      </c>
    </row>
    <row r="1807" spans="1:14" x14ac:dyDescent="0.3">
      <c r="A1807" s="1" t="s">
        <v>1852</v>
      </c>
      <c r="B1807" s="1" t="s">
        <v>40</v>
      </c>
      <c r="C1807">
        <v>22</v>
      </c>
      <c r="D1807" s="1" t="s">
        <v>16</v>
      </c>
      <c r="E1807" s="1" t="s">
        <v>38</v>
      </c>
      <c r="F1807" s="1" t="s">
        <v>25</v>
      </c>
      <c r="G1807" s="1" t="s">
        <v>19</v>
      </c>
      <c r="H1807" s="1" t="s">
        <v>20</v>
      </c>
      <c r="I1807" s="2">
        <v>45741</v>
      </c>
      <c r="J1807">
        <v>17367</v>
      </c>
      <c r="K1807" s="2">
        <v>45869</v>
      </c>
      <c r="L1807">
        <v>26637</v>
      </c>
      <c r="M1807">
        <v>44004</v>
      </c>
      <c r="N1807">
        <v>0</v>
      </c>
    </row>
    <row r="1808" spans="1:14" x14ac:dyDescent="0.3">
      <c r="A1808" s="1" t="s">
        <v>1853</v>
      </c>
      <c r="B1808" s="1" t="s">
        <v>37</v>
      </c>
      <c r="C1808">
        <v>65</v>
      </c>
      <c r="D1808" s="1" t="s">
        <v>16</v>
      </c>
      <c r="E1808" s="1" t="s">
        <v>24</v>
      </c>
      <c r="F1808" s="1" t="s">
        <v>18</v>
      </c>
      <c r="G1808" s="1" t="s">
        <v>19</v>
      </c>
      <c r="H1808" s="1" t="s">
        <v>20</v>
      </c>
      <c r="I1808" s="2">
        <v>45142</v>
      </c>
      <c r="J1808">
        <v>5947</v>
      </c>
      <c r="K1808" s="2">
        <v>45869</v>
      </c>
      <c r="L1808">
        <v>-4975</v>
      </c>
      <c r="M1808">
        <v>972</v>
      </c>
      <c r="N1808">
        <v>0</v>
      </c>
    </row>
    <row r="1809" spans="1:14" x14ac:dyDescent="0.3">
      <c r="A1809" s="1" t="s">
        <v>1854</v>
      </c>
      <c r="B1809" s="1" t="s">
        <v>87</v>
      </c>
      <c r="C1809">
        <v>43</v>
      </c>
      <c r="D1809" s="1" t="s">
        <v>16</v>
      </c>
      <c r="E1809" s="1" t="s">
        <v>38</v>
      </c>
      <c r="F1809" s="1" t="s">
        <v>18</v>
      </c>
      <c r="G1809" s="1" t="s">
        <v>19</v>
      </c>
      <c r="H1809" s="1" t="s">
        <v>20</v>
      </c>
      <c r="I1809" s="2">
        <v>44747</v>
      </c>
      <c r="J1809">
        <v>29695</v>
      </c>
      <c r="K1809" s="2">
        <v>45817</v>
      </c>
      <c r="L1809">
        <v>-4229</v>
      </c>
      <c r="M1809">
        <v>25466</v>
      </c>
      <c r="N1809">
        <v>0</v>
      </c>
    </row>
    <row r="1810" spans="1:14" x14ac:dyDescent="0.3">
      <c r="A1810" s="1" t="s">
        <v>1855</v>
      </c>
      <c r="B1810" s="1" t="s">
        <v>52</v>
      </c>
      <c r="C1810">
        <v>35</v>
      </c>
      <c r="D1810" s="1" t="s">
        <v>16</v>
      </c>
      <c r="E1810" s="1" t="s">
        <v>24</v>
      </c>
      <c r="F1810" s="1" t="s">
        <v>18</v>
      </c>
      <c r="G1810" s="1" t="s">
        <v>41</v>
      </c>
      <c r="H1810" s="1" t="s">
        <v>20</v>
      </c>
      <c r="I1810" s="2">
        <v>44431</v>
      </c>
      <c r="J1810">
        <v>9266</v>
      </c>
      <c r="K1810" s="2">
        <v>45854</v>
      </c>
      <c r="L1810">
        <v>-3117</v>
      </c>
      <c r="M1810">
        <v>6149</v>
      </c>
      <c r="N1810">
        <v>0</v>
      </c>
    </row>
    <row r="1811" spans="1:14" x14ac:dyDescent="0.3">
      <c r="A1811" s="1" t="s">
        <v>1856</v>
      </c>
      <c r="B1811" s="1" t="s">
        <v>32</v>
      </c>
      <c r="C1811">
        <v>23</v>
      </c>
      <c r="D1811" s="1" t="s">
        <v>16</v>
      </c>
      <c r="E1811" s="1" t="s">
        <v>24</v>
      </c>
      <c r="F1811" s="1" t="s">
        <v>18</v>
      </c>
      <c r="G1811" s="1" t="s">
        <v>19</v>
      </c>
      <c r="H1811" s="1" t="s">
        <v>20</v>
      </c>
      <c r="I1811" s="2">
        <v>44818</v>
      </c>
      <c r="J1811">
        <v>4240</v>
      </c>
      <c r="K1811" s="2">
        <v>45861</v>
      </c>
      <c r="L1811">
        <v>9777</v>
      </c>
      <c r="M1811">
        <v>14017</v>
      </c>
      <c r="N1811">
        <v>0</v>
      </c>
    </row>
    <row r="1812" spans="1:14" x14ac:dyDescent="0.3">
      <c r="A1812" s="1" t="s">
        <v>1857</v>
      </c>
      <c r="B1812" s="1" t="s">
        <v>56</v>
      </c>
      <c r="C1812">
        <v>54</v>
      </c>
      <c r="D1812" s="1" t="s">
        <v>23</v>
      </c>
      <c r="E1812" s="1" t="s">
        <v>38</v>
      </c>
      <c r="F1812" s="1" t="s">
        <v>25</v>
      </c>
      <c r="G1812" s="1" t="s">
        <v>19</v>
      </c>
      <c r="H1812" s="1" t="s">
        <v>20</v>
      </c>
      <c r="I1812" s="2">
        <v>45376</v>
      </c>
      <c r="J1812">
        <v>57277</v>
      </c>
      <c r="K1812" s="2">
        <v>45836</v>
      </c>
      <c r="L1812">
        <v>-8870</v>
      </c>
      <c r="M1812">
        <v>48407</v>
      </c>
      <c r="N1812">
        <v>0</v>
      </c>
    </row>
    <row r="1813" spans="1:14" x14ac:dyDescent="0.3">
      <c r="A1813" s="1" t="s">
        <v>1858</v>
      </c>
      <c r="B1813" s="1" t="s">
        <v>27</v>
      </c>
      <c r="C1813">
        <v>65</v>
      </c>
      <c r="D1813" s="1" t="s">
        <v>16</v>
      </c>
      <c r="E1813" s="1" t="s">
        <v>38</v>
      </c>
      <c r="F1813" s="1" t="s">
        <v>18</v>
      </c>
      <c r="G1813" s="1" t="s">
        <v>41</v>
      </c>
      <c r="H1813" s="1" t="s">
        <v>20</v>
      </c>
      <c r="I1813" s="2">
        <v>44841</v>
      </c>
      <c r="J1813">
        <v>9083</v>
      </c>
      <c r="K1813" s="2">
        <v>45824</v>
      </c>
      <c r="L1813">
        <v>11554</v>
      </c>
      <c r="M1813">
        <v>20637</v>
      </c>
      <c r="N1813">
        <v>0</v>
      </c>
    </row>
    <row r="1814" spans="1:14" x14ac:dyDescent="0.3">
      <c r="A1814" s="1" t="s">
        <v>1859</v>
      </c>
      <c r="B1814" s="1" t="s">
        <v>61</v>
      </c>
      <c r="C1814">
        <v>30</v>
      </c>
      <c r="D1814" s="1" t="s">
        <v>23</v>
      </c>
      <c r="E1814" s="1" t="s">
        <v>38</v>
      </c>
      <c r="F1814" s="1" t="s">
        <v>18</v>
      </c>
      <c r="G1814" s="1" t="s">
        <v>19</v>
      </c>
      <c r="H1814" s="1" t="s">
        <v>20</v>
      </c>
      <c r="I1814" s="2">
        <v>44608</v>
      </c>
      <c r="J1814">
        <v>2081</v>
      </c>
      <c r="K1814" s="2">
        <v>45797</v>
      </c>
      <c r="L1814">
        <v>6686</v>
      </c>
      <c r="M1814">
        <v>8767</v>
      </c>
      <c r="N1814">
        <v>0</v>
      </c>
    </row>
    <row r="1815" spans="1:14" x14ac:dyDescent="0.3">
      <c r="A1815" s="1" t="s">
        <v>1860</v>
      </c>
      <c r="B1815" s="1" t="s">
        <v>15</v>
      </c>
      <c r="C1815">
        <v>45</v>
      </c>
      <c r="D1815" s="1" t="s">
        <v>16</v>
      </c>
      <c r="E1815" s="1" t="s">
        <v>17</v>
      </c>
      <c r="F1815" s="1" t="s">
        <v>18</v>
      </c>
      <c r="G1815" s="1" t="s">
        <v>19</v>
      </c>
      <c r="H1815" s="1" t="s">
        <v>20</v>
      </c>
      <c r="I1815" s="2">
        <v>45163</v>
      </c>
      <c r="J1815">
        <v>10212</v>
      </c>
      <c r="K1815" s="2">
        <v>45825</v>
      </c>
      <c r="L1815">
        <v>11225</v>
      </c>
      <c r="M1815">
        <v>21437</v>
      </c>
      <c r="N1815">
        <v>0</v>
      </c>
    </row>
    <row r="1816" spans="1:14" x14ac:dyDescent="0.3">
      <c r="A1816" s="1" t="s">
        <v>1861</v>
      </c>
      <c r="B1816" s="1" t="s">
        <v>40</v>
      </c>
      <c r="C1816">
        <v>22</v>
      </c>
      <c r="D1816" s="1" t="s">
        <v>23</v>
      </c>
      <c r="E1816" s="1" t="s">
        <v>17</v>
      </c>
      <c r="F1816" s="1" t="s">
        <v>18</v>
      </c>
      <c r="G1816" s="1" t="s">
        <v>19</v>
      </c>
      <c r="H1816" s="1" t="s">
        <v>20</v>
      </c>
      <c r="I1816" s="2">
        <v>44896</v>
      </c>
      <c r="J1816">
        <v>29974</v>
      </c>
      <c r="K1816" s="2">
        <v>45774</v>
      </c>
      <c r="L1816">
        <v>2546</v>
      </c>
      <c r="M1816">
        <v>32520</v>
      </c>
      <c r="N1816">
        <v>0</v>
      </c>
    </row>
    <row r="1817" spans="1:14" x14ac:dyDescent="0.3">
      <c r="A1817" s="1" t="s">
        <v>1862</v>
      </c>
      <c r="B1817" s="1" t="s">
        <v>52</v>
      </c>
      <c r="C1817">
        <v>30</v>
      </c>
      <c r="D1817" s="1" t="s">
        <v>23</v>
      </c>
      <c r="E1817" s="1" t="s">
        <v>38</v>
      </c>
      <c r="F1817" s="1" t="s">
        <v>18</v>
      </c>
      <c r="G1817" s="1" t="s">
        <v>41</v>
      </c>
      <c r="H1817" s="1" t="s">
        <v>20</v>
      </c>
      <c r="I1817" s="2">
        <v>44474</v>
      </c>
      <c r="J1817">
        <v>25549</v>
      </c>
      <c r="K1817" s="2">
        <v>45836</v>
      </c>
      <c r="L1817">
        <v>9323</v>
      </c>
      <c r="M1817">
        <v>34872</v>
      </c>
      <c r="N1817">
        <v>0</v>
      </c>
    </row>
    <row r="1818" spans="1:14" x14ac:dyDescent="0.3">
      <c r="A1818" s="1" t="s">
        <v>1863</v>
      </c>
      <c r="B1818" s="1" t="s">
        <v>61</v>
      </c>
      <c r="C1818">
        <v>34</v>
      </c>
      <c r="D1818" s="1" t="s">
        <v>16</v>
      </c>
      <c r="E1818" s="1" t="s">
        <v>24</v>
      </c>
      <c r="F1818" s="1" t="s">
        <v>18</v>
      </c>
      <c r="G1818" s="1" t="s">
        <v>19</v>
      </c>
      <c r="H1818" s="1" t="s">
        <v>20</v>
      </c>
      <c r="I1818" s="2">
        <v>44454</v>
      </c>
      <c r="J1818">
        <v>7038</v>
      </c>
      <c r="K1818" s="2">
        <v>45748</v>
      </c>
      <c r="L1818">
        <v>-6240</v>
      </c>
      <c r="M1818">
        <v>798</v>
      </c>
      <c r="N1818">
        <v>0</v>
      </c>
    </row>
    <row r="1819" spans="1:14" x14ac:dyDescent="0.3">
      <c r="A1819" s="1" t="s">
        <v>1864</v>
      </c>
      <c r="B1819" s="1" t="s">
        <v>37</v>
      </c>
      <c r="C1819">
        <v>67</v>
      </c>
      <c r="D1819" s="1" t="s">
        <v>16</v>
      </c>
      <c r="E1819" s="1" t="s">
        <v>24</v>
      </c>
      <c r="F1819" s="1" t="s">
        <v>18</v>
      </c>
      <c r="G1819" s="1" t="s">
        <v>19</v>
      </c>
      <c r="H1819" s="1" t="s">
        <v>20</v>
      </c>
      <c r="I1819" s="2">
        <v>45380</v>
      </c>
      <c r="J1819">
        <v>5027</v>
      </c>
      <c r="K1819" s="2">
        <v>45864</v>
      </c>
      <c r="L1819">
        <v>28953</v>
      </c>
      <c r="M1819">
        <v>33980</v>
      </c>
      <c r="N1819">
        <v>0</v>
      </c>
    </row>
    <row r="1820" spans="1:14" x14ac:dyDescent="0.3">
      <c r="A1820" s="1" t="s">
        <v>1865</v>
      </c>
      <c r="B1820" s="1" t="s">
        <v>71</v>
      </c>
      <c r="C1820">
        <v>57</v>
      </c>
      <c r="D1820" s="1" t="s">
        <v>23</v>
      </c>
      <c r="E1820" s="1" t="s">
        <v>38</v>
      </c>
      <c r="F1820" s="1" t="s">
        <v>25</v>
      </c>
      <c r="G1820" s="1" t="s">
        <v>19</v>
      </c>
      <c r="H1820" s="1" t="s">
        <v>20</v>
      </c>
      <c r="I1820" s="2">
        <v>45827</v>
      </c>
      <c r="J1820">
        <v>3408</v>
      </c>
      <c r="K1820" s="2">
        <v>45866</v>
      </c>
      <c r="L1820">
        <v>18948</v>
      </c>
      <c r="M1820">
        <v>22356</v>
      </c>
      <c r="N1820">
        <v>0</v>
      </c>
    </row>
    <row r="1821" spans="1:14" x14ac:dyDescent="0.3">
      <c r="A1821" s="1" t="s">
        <v>1866</v>
      </c>
      <c r="B1821" s="1" t="s">
        <v>61</v>
      </c>
      <c r="C1821">
        <v>62</v>
      </c>
      <c r="D1821" s="1" t="s">
        <v>16</v>
      </c>
      <c r="E1821" s="1" t="s">
        <v>38</v>
      </c>
      <c r="F1821" s="1" t="s">
        <v>18</v>
      </c>
      <c r="G1821" s="1" t="s">
        <v>19</v>
      </c>
      <c r="H1821" s="1" t="s">
        <v>20</v>
      </c>
      <c r="I1821" s="2">
        <v>44586</v>
      </c>
      <c r="J1821">
        <v>13059</v>
      </c>
      <c r="K1821" s="2">
        <v>45810</v>
      </c>
      <c r="L1821">
        <v>27885</v>
      </c>
      <c r="M1821">
        <v>40944</v>
      </c>
      <c r="N1821">
        <v>0</v>
      </c>
    </row>
    <row r="1822" spans="1:14" x14ac:dyDescent="0.3">
      <c r="A1822" s="1" t="s">
        <v>1867</v>
      </c>
      <c r="B1822" s="1" t="s">
        <v>34</v>
      </c>
      <c r="C1822">
        <v>49</v>
      </c>
      <c r="D1822" s="1" t="s">
        <v>16</v>
      </c>
      <c r="E1822" s="1" t="s">
        <v>38</v>
      </c>
      <c r="F1822" s="1" t="s">
        <v>18</v>
      </c>
      <c r="G1822" s="1" t="s">
        <v>19</v>
      </c>
      <c r="H1822" s="1" t="s">
        <v>20</v>
      </c>
      <c r="I1822" s="2">
        <v>45490</v>
      </c>
      <c r="J1822">
        <v>15537</v>
      </c>
      <c r="K1822" s="2">
        <v>45868</v>
      </c>
      <c r="L1822">
        <v>9261</v>
      </c>
      <c r="M1822">
        <v>24798</v>
      </c>
      <c r="N1822">
        <v>0</v>
      </c>
    </row>
    <row r="1823" spans="1:14" x14ac:dyDescent="0.3">
      <c r="A1823" s="1" t="s">
        <v>1868</v>
      </c>
      <c r="B1823" s="1" t="s">
        <v>15</v>
      </c>
      <c r="C1823">
        <v>46</v>
      </c>
      <c r="D1823" s="1" t="s">
        <v>16</v>
      </c>
      <c r="E1823" s="1" t="s">
        <v>24</v>
      </c>
      <c r="F1823" s="1" t="s">
        <v>18</v>
      </c>
      <c r="G1823" s="1" t="s">
        <v>19</v>
      </c>
      <c r="H1823" s="1" t="s">
        <v>20</v>
      </c>
      <c r="I1823" s="2">
        <v>44343</v>
      </c>
      <c r="J1823">
        <v>27145</v>
      </c>
      <c r="K1823" s="2">
        <v>45835</v>
      </c>
      <c r="L1823">
        <v>35571</v>
      </c>
      <c r="M1823">
        <v>62716</v>
      </c>
      <c r="N1823">
        <v>0</v>
      </c>
    </row>
    <row r="1824" spans="1:14" x14ac:dyDescent="0.3">
      <c r="A1824" s="1" t="s">
        <v>1869</v>
      </c>
      <c r="B1824" s="1" t="s">
        <v>79</v>
      </c>
      <c r="C1824">
        <v>68</v>
      </c>
      <c r="D1824" s="1" t="s">
        <v>23</v>
      </c>
      <c r="E1824" s="1" t="s">
        <v>38</v>
      </c>
      <c r="F1824" s="1" t="s">
        <v>18</v>
      </c>
      <c r="G1824" s="1" t="s">
        <v>41</v>
      </c>
      <c r="H1824" s="1" t="s">
        <v>20</v>
      </c>
      <c r="I1824" s="2">
        <v>44835</v>
      </c>
      <c r="J1824">
        <v>11510</v>
      </c>
      <c r="K1824" s="2">
        <v>45819</v>
      </c>
      <c r="L1824">
        <v>15376</v>
      </c>
      <c r="M1824">
        <v>26886</v>
      </c>
      <c r="N1824">
        <v>0</v>
      </c>
    </row>
    <row r="1825" spans="1:14" x14ac:dyDescent="0.3">
      <c r="A1825" s="1" t="s">
        <v>1870</v>
      </c>
      <c r="B1825" s="1" t="s">
        <v>48</v>
      </c>
      <c r="C1825">
        <v>20</v>
      </c>
      <c r="D1825" s="1" t="s">
        <v>16</v>
      </c>
      <c r="E1825" s="1" t="s">
        <v>17</v>
      </c>
      <c r="F1825" s="1" t="s">
        <v>25</v>
      </c>
      <c r="G1825" s="1" t="s">
        <v>19</v>
      </c>
      <c r="H1825" s="1" t="s">
        <v>20</v>
      </c>
      <c r="I1825" s="2">
        <v>45044</v>
      </c>
      <c r="J1825">
        <v>11174</v>
      </c>
      <c r="K1825" s="2">
        <v>45857</v>
      </c>
      <c r="L1825">
        <v>21658</v>
      </c>
      <c r="M1825">
        <v>32832</v>
      </c>
      <c r="N1825">
        <v>0</v>
      </c>
    </row>
    <row r="1826" spans="1:14" x14ac:dyDescent="0.3">
      <c r="A1826" s="1" t="s">
        <v>1871</v>
      </c>
      <c r="B1826" s="1" t="s">
        <v>29</v>
      </c>
      <c r="C1826">
        <v>57</v>
      </c>
      <c r="D1826" s="1" t="s">
        <v>16</v>
      </c>
      <c r="E1826" s="1" t="s">
        <v>17</v>
      </c>
      <c r="F1826" s="1" t="s">
        <v>18</v>
      </c>
      <c r="G1826" s="1" t="s">
        <v>41</v>
      </c>
      <c r="H1826" s="1" t="s">
        <v>20</v>
      </c>
      <c r="I1826" s="2">
        <v>44646</v>
      </c>
      <c r="J1826">
        <v>10112</v>
      </c>
      <c r="K1826" s="2">
        <v>45849</v>
      </c>
      <c r="L1826">
        <v>14533</v>
      </c>
      <c r="M1826">
        <v>24645</v>
      </c>
      <c r="N1826">
        <v>0</v>
      </c>
    </row>
    <row r="1827" spans="1:14" x14ac:dyDescent="0.3">
      <c r="A1827" s="1" t="s">
        <v>1872</v>
      </c>
      <c r="B1827" s="1" t="s">
        <v>48</v>
      </c>
      <c r="C1827">
        <v>51</v>
      </c>
      <c r="D1827" s="1" t="s">
        <v>16</v>
      </c>
      <c r="E1827" s="1" t="s">
        <v>24</v>
      </c>
      <c r="F1827" s="1" t="s">
        <v>18</v>
      </c>
      <c r="G1827" s="1" t="s">
        <v>19</v>
      </c>
      <c r="H1827" s="1" t="s">
        <v>20</v>
      </c>
      <c r="I1827" s="2">
        <v>45082</v>
      </c>
      <c r="J1827">
        <v>15564</v>
      </c>
      <c r="K1827" s="2">
        <v>45861</v>
      </c>
      <c r="L1827">
        <v>33313</v>
      </c>
      <c r="M1827">
        <v>48877</v>
      </c>
      <c r="N1827">
        <v>0</v>
      </c>
    </row>
    <row r="1828" spans="1:14" x14ac:dyDescent="0.3">
      <c r="A1828" s="1" t="s">
        <v>1873</v>
      </c>
      <c r="B1828" s="1" t="s">
        <v>71</v>
      </c>
      <c r="C1828">
        <v>57</v>
      </c>
      <c r="D1828" s="1" t="s">
        <v>16</v>
      </c>
      <c r="E1828" s="1" t="s">
        <v>17</v>
      </c>
      <c r="F1828" s="1" t="s">
        <v>18</v>
      </c>
      <c r="G1828" s="1" t="s">
        <v>19</v>
      </c>
      <c r="H1828" s="1" t="s">
        <v>49</v>
      </c>
      <c r="I1828" s="2">
        <v>45673</v>
      </c>
      <c r="J1828">
        <v>11688</v>
      </c>
      <c r="K1828" s="2">
        <v>45844</v>
      </c>
      <c r="L1828">
        <v>15941</v>
      </c>
      <c r="M1828">
        <v>27629</v>
      </c>
      <c r="N1828">
        <v>0</v>
      </c>
    </row>
    <row r="1829" spans="1:14" x14ac:dyDescent="0.3">
      <c r="A1829" s="1" t="s">
        <v>1874</v>
      </c>
      <c r="B1829" s="1" t="s">
        <v>75</v>
      </c>
      <c r="C1829">
        <v>44</v>
      </c>
      <c r="D1829" s="1" t="s">
        <v>16</v>
      </c>
      <c r="E1829" s="1" t="s">
        <v>24</v>
      </c>
      <c r="F1829" s="1" t="s">
        <v>25</v>
      </c>
      <c r="G1829" s="1" t="s">
        <v>19</v>
      </c>
      <c r="H1829" s="1" t="s">
        <v>49</v>
      </c>
      <c r="I1829" s="2">
        <v>45777</v>
      </c>
      <c r="J1829">
        <v>34169</v>
      </c>
      <c r="K1829" s="2">
        <v>45862</v>
      </c>
      <c r="L1829">
        <v>6488</v>
      </c>
      <c r="M1829">
        <v>40657</v>
      </c>
      <c r="N1829">
        <v>0</v>
      </c>
    </row>
    <row r="1830" spans="1:14" x14ac:dyDescent="0.3">
      <c r="A1830" s="1" t="s">
        <v>1875</v>
      </c>
      <c r="B1830" s="1" t="s">
        <v>61</v>
      </c>
      <c r="C1830">
        <v>30</v>
      </c>
      <c r="D1830" s="1" t="s">
        <v>23</v>
      </c>
      <c r="E1830" s="1" t="s">
        <v>38</v>
      </c>
      <c r="F1830" s="1" t="s">
        <v>18</v>
      </c>
      <c r="G1830" s="1" t="s">
        <v>19</v>
      </c>
      <c r="H1830" s="1" t="s">
        <v>20</v>
      </c>
      <c r="I1830" s="2">
        <v>44365</v>
      </c>
      <c r="J1830">
        <v>18230</v>
      </c>
      <c r="K1830" s="2">
        <v>45796</v>
      </c>
      <c r="L1830">
        <v>3900</v>
      </c>
      <c r="M1830">
        <v>22130</v>
      </c>
      <c r="N1830">
        <v>0</v>
      </c>
    </row>
    <row r="1831" spans="1:14" x14ac:dyDescent="0.3">
      <c r="A1831" s="1" t="s">
        <v>1876</v>
      </c>
      <c r="B1831" s="1" t="s">
        <v>69</v>
      </c>
      <c r="C1831">
        <v>62</v>
      </c>
      <c r="D1831" s="1" t="s">
        <v>23</v>
      </c>
      <c r="E1831" s="1" t="s">
        <v>24</v>
      </c>
      <c r="F1831" s="1" t="s">
        <v>25</v>
      </c>
      <c r="G1831" s="1" t="s">
        <v>19</v>
      </c>
      <c r="H1831" s="1" t="s">
        <v>20</v>
      </c>
      <c r="I1831" s="2">
        <v>44651</v>
      </c>
      <c r="J1831">
        <v>14883</v>
      </c>
      <c r="K1831" s="2">
        <v>45837</v>
      </c>
      <c r="L1831">
        <v>-12717</v>
      </c>
      <c r="M1831">
        <v>2166</v>
      </c>
      <c r="N1831">
        <v>0</v>
      </c>
    </row>
    <row r="1832" spans="1:14" x14ac:dyDescent="0.3">
      <c r="A1832" s="1" t="s">
        <v>1877</v>
      </c>
      <c r="B1832" s="1" t="s">
        <v>69</v>
      </c>
      <c r="C1832">
        <v>50</v>
      </c>
      <c r="D1832" s="1" t="s">
        <v>23</v>
      </c>
      <c r="E1832" s="1" t="s">
        <v>17</v>
      </c>
      <c r="F1832" s="1" t="s">
        <v>18</v>
      </c>
      <c r="G1832" s="1" t="s">
        <v>19</v>
      </c>
      <c r="H1832" s="1" t="s">
        <v>20</v>
      </c>
      <c r="I1832" s="2">
        <v>45835</v>
      </c>
      <c r="J1832">
        <v>12814</v>
      </c>
      <c r="K1832" s="2">
        <v>45868</v>
      </c>
      <c r="L1832">
        <v>8793</v>
      </c>
      <c r="M1832">
        <v>21607</v>
      </c>
      <c r="N1832">
        <v>0</v>
      </c>
    </row>
    <row r="1833" spans="1:14" x14ac:dyDescent="0.3">
      <c r="A1833" s="1" t="s">
        <v>1878</v>
      </c>
      <c r="B1833" s="1" t="s">
        <v>56</v>
      </c>
      <c r="C1833">
        <v>23</v>
      </c>
      <c r="D1833" s="1" t="s">
        <v>23</v>
      </c>
      <c r="E1833" s="1" t="s">
        <v>24</v>
      </c>
      <c r="F1833" s="1" t="s">
        <v>25</v>
      </c>
      <c r="G1833" s="1" t="s">
        <v>19</v>
      </c>
      <c r="H1833" s="1" t="s">
        <v>20</v>
      </c>
      <c r="I1833" s="2">
        <v>44649</v>
      </c>
      <c r="J1833">
        <v>5209</v>
      </c>
      <c r="K1833" s="2">
        <v>45857</v>
      </c>
      <c r="L1833">
        <v>8842</v>
      </c>
      <c r="M1833">
        <v>14051</v>
      </c>
      <c r="N1833">
        <v>0</v>
      </c>
    </row>
    <row r="1834" spans="1:14" x14ac:dyDescent="0.3">
      <c r="A1834" s="1" t="s">
        <v>1879</v>
      </c>
      <c r="B1834" s="1" t="s">
        <v>34</v>
      </c>
      <c r="C1834">
        <v>41</v>
      </c>
      <c r="D1834" s="1" t="s">
        <v>23</v>
      </c>
      <c r="E1834" s="1" t="s">
        <v>24</v>
      </c>
      <c r="F1834" s="1" t="s">
        <v>25</v>
      </c>
      <c r="G1834" s="1" t="s">
        <v>19</v>
      </c>
      <c r="H1834" s="1" t="s">
        <v>20</v>
      </c>
      <c r="I1834" s="2">
        <v>45355</v>
      </c>
      <c r="J1834">
        <v>13351</v>
      </c>
      <c r="K1834" s="2">
        <v>45868</v>
      </c>
      <c r="L1834">
        <v>-940</v>
      </c>
      <c r="M1834">
        <v>12411</v>
      </c>
      <c r="N1834">
        <v>0</v>
      </c>
    </row>
    <row r="1835" spans="1:14" x14ac:dyDescent="0.3">
      <c r="A1835" s="1" t="s">
        <v>1880</v>
      </c>
      <c r="B1835" s="1" t="s">
        <v>71</v>
      </c>
      <c r="C1835">
        <v>36</v>
      </c>
      <c r="D1835" s="1" t="s">
        <v>16</v>
      </c>
      <c r="E1835" s="1" t="s">
        <v>24</v>
      </c>
      <c r="F1835" s="1" t="s">
        <v>18</v>
      </c>
      <c r="G1835" s="1" t="s">
        <v>41</v>
      </c>
      <c r="H1835" s="1" t="s">
        <v>20</v>
      </c>
      <c r="I1835" s="2">
        <v>44621</v>
      </c>
      <c r="J1835">
        <v>6999</v>
      </c>
      <c r="K1835" s="2">
        <v>45804</v>
      </c>
      <c r="L1835">
        <v>-7606</v>
      </c>
      <c r="M1835">
        <v>-607</v>
      </c>
      <c r="N1835">
        <v>0</v>
      </c>
    </row>
    <row r="1836" spans="1:14" x14ac:dyDescent="0.3">
      <c r="A1836" s="1" t="s">
        <v>1881</v>
      </c>
      <c r="B1836" s="1" t="s">
        <v>87</v>
      </c>
      <c r="C1836">
        <v>33</v>
      </c>
      <c r="D1836" s="1" t="s">
        <v>23</v>
      </c>
      <c r="E1836" s="1" t="s">
        <v>38</v>
      </c>
      <c r="F1836" s="1" t="s">
        <v>18</v>
      </c>
      <c r="G1836" s="1" t="s">
        <v>19</v>
      </c>
      <c r="H1836" s="1" t="s">
        <v>20</v>
      </c>
      <c r="I1836" s="2">
        <v>44793</v>
      </c>
      <c r="J1836">
        <v>18893</v>
      </c>
      <c r="K1836" s="2">
        <v>45868</v>
      </c>
      <c r="L1836">
        <v>31886</v>
      </c>
      <c r="M1836">
        <v>50779</v>
      </c>
      <c r="N1836">
        <v>0</v>
      </c>
    </row>
    <row r="1837" spans="1:14" x14ac:dyDescent="0.3">
      <c r="A1837" s="1" t="s">
        <v>1882</v>
      </c>
      <c r="B1837" s="1" t="s">
        <v>27</v>
      </c>
      <c r="C1837">
        <v>57</v>
      </c>
      <c r="D1837" s="1" t="s">
        <v>16</v>
      </c>
      <c r="E1837" s="1" t="s">
        <v>38</v>
      </c>
      <c r="F1837" s="1" t="s">
        <v>18</v>
      </c>
      <c r="G1837" s="1" t="s">
        <v>19</v>
      </c>
      <c r="H1837" s="1" t="s">
        <v>20</v>
      </c>
      <c r="I1837" s="2">
        <v>44517</v>
      </c>
      <c r="J1837">
        <v>10842</v>
      </c>
      <c r="K1837" s="2">
        <v>45667</v>
      </c>
      <c r="L1837">
        <v>6969</v>
      </c>
      <c r="M1837">
        <v>17811</v>
      </c>
      <c r="N1837">
        <v>1</v>
      </c>
    </row>
    <row r="1838" spans="1:14" x14ac:dyDescent="0.3">
      <c r="A1838" s="1" t="s">
        <v>1883</v>
      </c>
      <c r="B1838" s="1" t="s">
        <v>56</v>
      </c>
      <c r="C1838">
        <v>45</v>
      </c>
      <c r="D1838" s="1" t="s">
        <v>23</v>
      </c>
      <c r="E1838" s="1" t="s">
        <v>24</v>
      </c>
      <c r="F1838" s="1" t="s">
        <v>18</v>
      </c>
      <c r="G1838" s="1" t="s">
        <v>19</v>
      </c>
      <c r="H1838" s="1" t="s">
        <v>20</v>
      </c>
      <c r="I1838" s="2">
        <v>45629</v>
      </c>
      <c r="J1838">
        <v>70567</v>
      </c>
      <c r="K1838" s="2">
        <v>45866</v>
      </c>
      <c r="L1838">
        <v>14533</v>
      </c>
      <c r="M1838">
        <v>85100</v>
      </c>
      <c r="N1838">
        <v>0</v>
      </c>
    </row>
    <row r="1839" spans="1:14" x14ac:dyDescent="0.3">
      <c r="A1839" s="1" t="s">
        <v>1884</v>
      </c>
      <c r="B1839" s="1" t="s">
        <v>32</v>
      </c>
      <c r="C1839">
        <v>50</v>
      </c>
      <c r="D1839" s="1" t="s">
        <v>16</v>
      </c>
      <c r="E1839" s="1" t="s">
        <v>38</v>
      </c>
      <c r="F1839" s="1" t="s">
        <v>18</v>
      </c>
      <c r="G1839" s="1" t="s">
        <v>19</v>
      </c>
      <c r="H1839" s="1" t="s">
        <v>20</v>
      </c>
      <c r="I1839" s="2">
        <v>45673</v>
      </c>
      <c r="J1839">
        <v>3782</v>
      </c>
      <c r="K1839" s="2">
        <v>45866</v>
      </c>
      <c r="L1839">
        <v>18036</v>
      </c>
      <c r="M1839">
        <v>21818</v>
      </c>
      <c r="N1839">
        <v>0</v>
      </c>
    </row>
    <row r="1840" spans="1:14" x14ac:dyDescent="0.3">
      <c r="A1840" s="1" t="s">
        <v>1885</v>
      </c>
      <c r="B1840" s="1" t="s">
        <v>40</v>
      </c>
      <c r="C1840">
        <v>65</v>
      </c>
      <c r="D1840" s="1" t="s">
        <v>16</v>
      </c>
      <c r="E1840" s="1" t="s">
        <v>17</v>
      </c>
      <c r="F1840" s="1" t="s">
        <v>18</v>
      </c>
      <c r="G1840" s="1" t="s">
        <v>19</v>
      </c>
      <c r="H1840" s="1" t="s">
        <v>20</v>
      </c>
      <c r="I1840" s="2">
        <v>44693</v>
      </c>
      <c r="J1840">
        <v>602</v>
      </c>
      <c r="K1840" s="2">
        <v>45836</v>
      </c>
      <c r="L1840">
        <v>289</v>
      </c>
      <c r="M1840">
        <v>891</v>
      </c>
      <c r="N1840">
        <v>0</v>
      </c>
    </row>
    <row r="1841" spans="1:14" x14ac:dyDescent="0.3">
      <c r="A1841" s="1" t="s">
        <v>1886</v>
      </c>
      <c r="B1841" s="1" t="s">
        <v>48</v>
      </c>
      <c r="C1841">
        <v>58</v>
      </c>
      <c r="D1841" s="1" t="s">
        <v>23</v>
      </c>
      <c r="E1841" s="1" t="s">
        <v>24</v>
      </c>
      <c r="F1841" s="1" t="s">
        <v>18</v>
      </c>
      <c r="G1841" s="1" t="s">
        <v>19</v>
      </c>
      <c r="H1841" s="1" t="s">
        <v>20</v>
      </c>
      <c r="I1841" s="2">
        <v>45574</v>
      </c>
      <c r="J1841">
        <v>17460</v>
      </c>
      <c r="K1841" s="2">
        <v>45869</v>
      </c>
      <c r="L1841">
        <v>-1946</v>
      </c>
      <c r="M1841">
        <v>15514</v>
      </c>
      <c r="N1841">
        <v>0</v>
      </c>
    </row>
    <row r="1842" spans="1:14" x14ac:dyDescent="0.3">
      <c r="A1842" s="1" t="s">
        <v>1887</v>
      </c>
      <c r="B1842" s="1" t="s">
        <v>27</v>
      </c>
      <c r="C1842">
        <v>30</v>
      </c>
      <c r="D1842" s="1" t="s">
        <v>23</v>
      </c>
      <c r="E1842" s="1" t="s">
        <v>38</v>
      </c>
      <c r="F1842" s="1" t="s">
        <v>18</v>
      </c>
      <c r="G1842" s="1" t="s">
        <v>19</v>
      </c>
      <c r="H1842" s="1" t="s">
        <v>20</v>
      </c>
      <c r="I1842" s="2">
        <v>44796</v>
      </c>
      <c r="J1842">
        <v>7022</v>
      </c>
      <c r="K1842" s="2">
        <v>45816</v>
      </c>
      <c r="L1842">
        <v>5246</v>
      </c>
      <c r="M1842">
        <v>12268</v>
      </c>
      <c r="N1842">
        <v>0</v>
      </c>
    </row>
    <row r="1843" spans="1:14" x14ac:dyDescent="0.3">
      <c r="A1843" s="1" t="s">
        <v>1888</v>
      </c>
      <c r="B1843" s="1" t="s">
        <v>52</v>
      </c>
      <c r="C1843">
        <v>60</v>
      </c>
      <c r="D1843" s="1" t="s">
        <v>16</v>
      </c>
      <c r="E1843" s="1" t="s">
        <v>24</v>
      </c>
      <c r="F1843" s="1" t="s">
        <v>18</v>
      </c>
      <c r="G1843" s="1" t="s">
        <v>41</v>
      </c>
      <c r="H1843" s="1" t="s">
        <v>20</v>
      </c>
      <c r="I1843" s="2">
        <v>44362</v>
      </c>
      <c r="J1843">
        <v>15694</v>
      </c>
      <c r="K1843" s="2">
        <v>45808</v>
      </c>
      <c r="L1843">
        <v>12132</v>
      </c>
      <c r="M1843">
        <v>27826</v>
      </c>
      <c r="N1843">
        <v>0</v>
      </c>
    </row>
    <row r="1844" spans="1:14" x14ac:dyDescent="0.3">
      <c r="A1844" s="1" t="s">
        <v>1889</v>
      </c>
      <c r="B1844" s="1" t="s">
        <v>32</v>
      </c>
      <c r="C1844">
        <v>62</v>
      </c>
      <c r="D1844" s="1" t="s">
        <v>23</v>
      </c>
      <c r="E1844" s="1" t="s">
        <v>35</v>
      </c>
      <c r="F1844" s="1" t="s">
        <v>18</v>
      </c>
      <c r="G1844" s="1" t="s">
        <v>19</v>
      </c>
      <c r="H1844" s="1" t="s">
        <v>20</v>
      </c>
      <c r="I1844" s="2">
        <v>45465</v>
      </c>
      <c r="J1844">
        <v>3883</v>
      </c>
      <c r="K1844" s="2">
        <v>45856</v>
      </c>
      <c r="L1844">
        <v>-1300</v>
      </c>
      <c r="M1844">
        <v>2583</v>
      </c>
      <c r="N1844">
        <v>0</v>
      </c>
    </row>
    <row r="1845" spans="1:14" x14ac:dyDescent="0.3">
      <c r="A1845" s="1" t="s">
        <v>1890</v>
      </c>
      <c r="B1845" s="1" t="s">
        <v>40</v>
      </c>
      <c r="C1845">
        <v>42</v>
      </c>
      <c r="D1845" s="1" t="s">
        <v>16</v>
      </c>
      <c r="E1845" s="1" t="s">
        <v>24</v>
      </c>
      <c r="F1845" s="1" t="s">
        <v>18</v>
      </c>
      <c r="G1845" s="1" t="s">
        <v>19</v>
      </c>
      <c r="H1845" s="1" t="s">
        <v>20</v>
      </c>
      <c r="I1845" s="2">
        <v>45194</v>
      </c>
      <c r="J1845">
        <v>90126</v>
      </c>
      <c r="K1845" s="2">
        <v>45854</v>
      </c>
      <c r="L1845">
        <v>15938</v>
      </c>
      <c r="M1845">
        <v>106064</v>
      </c>
      <c r="N1845">
        <v>0</v>
      </c>
    </row>
    <row r="1846" spans="1:14" x14ac:dyDescent="0.3">
      <c r="A1846" s="1" t="s">
        <v>1891</v>
      </c>
      <c r="B1846" s="1" t="s">
        <v>59</v>
      </c>
      <c r="C1846">
        <v>59</v>
      </c>
      <c r="D1846" s="1" t="s">
        <v>16</v>
      </c>
      <c r="E1846" s="1" t="s">
        <v>38</v>
      </c>
      <c r="F1846" s="1" t="s">
        <v>25</v>
      </c>
      <c r="G1846" s="1" t="s">
        <v>19</v>
      </c>
      <c r="H1846" s="1" t="s">
        <v>20</v>
      </c>
      <c r="I1846" s="2">
        <v>44656</v>
      </c>
      <c r="J1846">
        <v>9077</v>
      </c>
      <c r="K1846" s="2">
        <v>45844</v>
      </c>
      <c r="L1846">
        <v>35755</v>
      </c>
      <c r="M1846">
        <v>44832</v>
      </c>
      <c r="N1846">
        <v>0</v>
      </c>
    </row>
    <row r="1847" spans="1:14" x14ac:dyDescent="0.3">
      <c r="A1847" s="1" t="s">
        <v>1892</v>
      </c>
      <c r="B1847" s="1" t="s">
        <v>87</v>
      </c>
      <c r="C1847">
        <v>53</v>
      </c>
      <c r="D1847" s="1" t="s">
        <v>16</v>
      </c>
      <c r="E1847" s="1" t="s">
        <v>24</v>
      </c>
      <c r="F1847" s="1" t="s">
        <v>18</v>
      </c>
      <c r="G1847" s="1" t="s">
        <v>19</v>
      </c>
      <c r="H1847" s="1" t="s">
        <v>20</v>
      </c>
      <c r="I1847" s="2">
        <v>44620</v>
      </c>
      <c r="J1847">
        <v>6582</v>
      </c>
      <c r="K1847" s="2">
        <v>45847</v>
      </c>
      <c r="L1847">
        <v>17361</v>
      </c>
      <c r="M1847">
        <v>23943</v>
      </c>
      <c r="N1847">
        <v>0</v>
      </c>
    </row>
    <row r="1848" spans="1:14" x14ac:dyDescent="0.3">
      <c r="A1848" s="1" t="s">
        <v>1893</v>
      </c>
      <c r="B1848" s="1" t="s">
        <v>27</v>
      </c>
      <c r="C1848">
        <v>44</v>
      </c>
      <c r="D1848" s="1" t="s">
        <v>23</v>
      </c>
      <c r="E1848" s="1" t="s">
        <v>24</v>
      </c>
      <c r="F1848" s="1" t="s">
        <v>25</v>
      </c>
      <c r="G1848" s="1" t="s">
        <v>19</v>
      </c>
      <c r="H1848" s="1" t="s">
        <v>20</v>
      </c>
      <c r="I1848" s="2">
        <v>45829</v>
      </c>
      <c r="J1848">
        <v>88476</v>
      </c>
      <c r="K1848" s="2">
        <v>45867</v>
      </c>
      <c r="L1848">
        <v>21442</v>
      </c>
      <c r="M1848">
        <v>109918</v>
      </c>
      <c r="N1848">
        <v>0</v>
      </c>
    </row>
    <row r="1849" spans="1:14" x14ac:dyDescent="0.3">
      <c r="A1849" s="1" t="s">
        <v>1894</v>
      </c>
      <c r="B1849" s="1" t="s">
        <v>40</v>
      </c>
      <c r="C1849">
        <v>55</v>
      </c>
      <c r="D1849" s="1" t="s">
        <v>16</v>
      </c>
      <c r="E1849" s="1" t="s">
        <v>24</v>
      </c>
      <c r="F1849" s="1" t="s">
        <v>18</v>
      </c>
      <c r="G1849" s="1" t="s">
        <v>19</v>
      </c>
      <c r="H1849" s="1" t="s">
        <v>20</v>
      </c>
      <c r="I1849" s="2">
        <v>45639</v>
      </c>
      <c r="J1849">
        <v>30957</v>
      </c>
      <c r="K1849" s="2">
        <v>45869</v>
      </c>
      <c r="L1849">
        <v>20899</v>
      </c>
      <c r="M1849">
        <v>51856</v>
      </c>
      <c r="N1849">
        <v>0</v>
      </c>
    </row>
    <row r="1850" spans="1:14" x14ac:dyDescent="0.3">
      <c r="A1850" s="1" t="s">
        <v>1895</v>
      </c>
      <c r="B1850" s="1" t="s">
        <v>61</v>
      </c>
      <c r="C1850">
        <v>24</v>
      </c>
      <c r="D1850" s="1" t="s">
        <v>16</v>
      </c>
      <c r="E1850" s="1" t="s">
        <v>38</v>
      </c>
      <c r="F1850" s="1" t="s">
        <v>18</v>
      </c>
      <c r="G1850" s="1" t="s">
        <v>41</v>
      </c>
      <c r="H1850" s="1" t="s">
        <v>20</v>
      </c>
      <c r="I1850" s="2">
        <v>45551</v>
      </c>
      <c r="J1850">
        <v>53611</v>
      </c>
      <c r="K1850" s="2">
        <v>45842</v>
      </c>
      <c r="L1850">
        <v>-11960</v>
      </c>
      <c r="M1850">
        <v>41651</v>
      </c>
      <c r="N1850">
        <v>0</v>
      </c>
    </row>
    <row r="1851" spans="1:14" x14ac:dyDescent="0.3">
      <c r="A1851" s="1" t="s">
        <v>1896</v>
      </c>
      <c r="B1851" s="1" t="s">
        <v>32</v>
      </c>
      <c r="C1851">
        <v>22</v>
      </c>
      <c r="D1851" s="1" t="s">
        <v>16</v>
      </c>
      <c r="E1851" s="1" t="s">
        <v>24</v>
      </c>
      <c r="F1851" s="1" t="s">
        <v>18</v>
      </c>
      <c r="G1851" s="1" t="s">
        <v>19</v>
      </c>
      <c r="H1851" s="1" t="s">
        <v>20</v>
      </c>
      <c r="I1851" s="2">
        <v>44411</v>
      </c>
      <c r="J1851">
        <v>11247</v>
      </c>
      <c r="K1851" s="2">
        <v>45867</v>
      </c>
      <c r="L1851">
        <v>12599</v>
      </c>
      <c r="M1851">
        <v>23846</v>
      </c>
      <c r="N1851">
        <v>0</v>
      </c>
    </row>
    <row r="1852" spans="1:14" x14ac:dyDescent="0.3">
      <c r="A1852" s="1" t="s">
        <v>1897</v>
      </c>
      <c r="B1852" s="1" t="s">
        <v>22</v>
      </c>
      <c r="C1852">
        <v>60</v>
      </c>
      <c r="D1852" s="1" t="s">
        <v>23</v>
      </c>
      <c r="E1852" s="1" t="s">
        <v>35</v>
      </c>
      <c r="F1852" s="1" t="s">
        <v>18</v>
      </c>
      <c r="G1852" s="1" t="s">
        <v>19</v>
      </c>
      <c r="H1852" s="1" t="s">
        <v>49</v>
      </c>
      <c r="I1852" s="2">
        <v>45460</v>
      </c>
      <c r="J1852">
        <v>14001</v>
      </c>
      <c r="K1852" s="2">
        <v>45843</v>
      </c>
      <c r="L1852">
        <v>22809</v>
      </c>
      <c r="M1852">
        <v>36810</v>
      </c>
      <c r="N1852">
        <v>0</v>
      </c>
    </row>
    <row r="1853" spans="1:14" x14ac:dyDescent="0.3">
      <c r="A1853" s="1" t="s">
        <v>1898</v>
      </c>
      <c r="B1853" s="1" t="s">
        <v>37</v>
      </c>
      <c r="C1853">
        <v>62</v>
      </c>
      <c r="D1853" s="1" t="s">
        <v>16</v>
      </c>
      <c r="E1853" s="1" t="s">
        <v>24</v>
      </c>
      <c r="F1853" s="1" t="s">
        <v>25</v>
      </c>
      <c r="G1853" s="1" t="s">
        <v>41</v>
      </c>
      <c r="H1853" s="1" t="s">
        <v>20</v>
      </c>
      <c r="I1853" s="2">
        <v>44555</v>
      </c>
      <c r="J1853">
        <v>7356</v>
      </c>
      <c r="K1853" s="2">
        <v>45859</v>
      </c>
      <c r="L1853">
        <v>9021</v>
      </c>
      <c r="M1853">
        <v>16377</v>
      </c>
      <c r="N1853">
        <v>0</v>
      </c>
    </row>
    <row r="1854" spans="1:14" x14ac:dyDescent="0.3">
      <c r="A1854" s="1" t="s">
        <v>1899</v>
      </c>
      <c r="B1854" s="1" t="s">
        <v>61</v>
      </c>
      <c r="C1854">
        <v>68</v>
      </c>
      <c r="D1854" s="1" t="s">
        <v>16</v>
      </c>
      <c r="E1854" s="1" t="s">
        <v>17</v>
      </c>
      <c r="F1854" s="1" t="s">
        <v>25</v>
      </c>
      <c r="G1854" s="1" t="s">
        <v>19</v>
      </c>
      <c r="H1854" s="1" t="s">
        <v>20</v>
      </c>
      <c r="I1854" s="2">
        <v>45832</v>
      </c>
      <c r="J1854">
        <v>6545</v>
      </c>
      <c r="K1854" s="2">
        <v>45869</v>
      </c>
      <c r="L1854">
        <v>6898</v>
      </c>
      <c r="M1854">
        <v>13443</v>
      </c>
      <c r="N1854">
        <v>0</v>
      </c>
    </row>
    <row r="1855" spans="1:14" x14ac:dyDescent="0.3">
      <c r="A1855" s="1" t="s">
        <v>1900</v>
      </c>
      <c r="B1855" s="1" t="s">
        <v>69</v>
      </c>
      <c r="C1855">
        <v>48</v>
      </c>
      <c r="D1855" s="1" t="s">
        <v>16</v>
      </c>
      <c r="E1855" s="1" t="s">
        <v>24</v>
      </c>
      <c r="F1855" s="1" t="s">
        <v>18</v>
      </c>
      <c r="G1855" s="1" t="s">
        <v>19</v>
      </c>
      <c r="H1855" s="1" t="s">
        <v>20</v>
      </c>
      <c r="I1855" s="2">
        <v>44284</v>
      </c>
      <c r="J1855">
        <v>19895</v>
      </c>
      <c r="K1855" s="2">
        <v>45802</v>
      </c>
      <c r="L1855">
        <v>6452</v>
      </c>
      <c r="M1855">
        <v>26347</v>
      </c>
      <c r="N1855">
        <v>0</v>
      </c>
    </row>
    <row r="1856" spans="1:14" x14ac:dyDescent="0.3">
      <c r="A1856" s="1" t="s">
        <v>1901</v>
      </c>
      <c r="B1856" s="1" t="s">
        <v>79</v>
      </c>
      <c r="C1856">
        <v>40</v>
      </c>
      <c r="D1856" s="1" t="s">
        <v>23</v>
      </c>
      <c r="E1856" s="1" t="s">
        <v>24</v>
      </c>
      <c r="F1856" s="1" t="s">
        <v>25</v>
      </c>
      <c r="G1856" s="1" t="s">
        <v>19</v>
      </c>
      <c r="H1856" s="1" t="s">
        <v>49</v>
      </c>
      <c r="I1856" s="2">
        <v>44786</v>
      </c>
      <c r="J1856">
        <v>9242</v>
      </c>
      <c r="K1856" s="2">
        <v>45853</v>
      </c>
      <c r="L1856">
        <v>2293</v>
      </c>
      <c r="M1856">
        <v>11535</v>
      </c>
      <c r="N1856">
        <v>0</v>
      </c>
    </row>
    <row r="1857" spans="1:14" x14ac:dyDescent="0.3">
      <c r="A1857" s="1" t="s">
        <v>1902</v>
      </c>
      <c r="B1857" s="1" t="s">
        <v>15</v>
      </c>
      <c r="C1857">
        <v>59</v>
      </c>
      <c r="D1857" s="1" t="s">
        <v>16</v>
      </c>
      <c r="E1857" s="1" t="s">
        <v>38</v>
      </c>
      <c r="F1857" s="1" t="s">
        <v>18</v>
      </c>
      <c r="G1857" s="1" t="s">
        <v>19</v>
      </c>
      <c r="H1857" s="1" t="s">
        <v>20</v>
      </c>
      <c r="I1857" s="2">
        <v>44914</v>
      </c>
      <c r="J1857">
        <v>123108</v>
      </c>
      <c r="K1857" s="2">
        <v>45860</v>
      </c>
      <c r="L1857">
        <v>18105</v>
      </c>
      <c r="M1857">
        <v>141213</v>
      </c>
      <c r="N1857">
        <v>0</v>
      </c>
    </row>
    <row r="1858" spans="1:14" x14ac:dyDescent="0.3">
      <c r="A1858" s="1" t="s">
        <v>1903</v>
      </c>
      <c r="B1858" s="1" t="s">
        <v>75</v>
      </c>
      <c r="C1858">
        <v>27</v>
      </c>
      <c r="D1858" s="1" t="s">
        <v>23</v>
      </c>
      <c r="E1858" s="1" t="s">
        <v>24</v>
      </c>
      <c r="F1858" s="1" t="s">
        <v>25</v>
      </c>
      <c r="G1858" s="1" t="s">
        <v>19</v>
      </c>
      <c r="H1858" s="1" t="s">
        <v>20</v>
      </c>
      <c r="I1858" s="2">
        <v>45575</v>
      </c>
      <c r="J1858">
        <v>31024</v>
      </c>
      <c r="K1858" s="2">
        <v>45869</v>
      </c>
      <c r="L1858">
        <v>1626</v>
      </c>
      <c r="M1858">
        <v>32650</v>
      </c>
      <c r="N1858">
        <v>0</v>
      </c>
    </row>
    <row r="1859" spans="1:14" x14ac:dyDescent="0.3">
      <c r="A1859" s="1" t="s">
        <v>1904</v>
      </c>
      <c r="B1859" s="1" t="s">
        <v>75</v>
      </c>
      <c r="C1859">
        <v>49</v>
      </c>
      <c r="D1859" s="1" t="s">
        <v>16</v>
      </c>
      <c r="E1859" s="1" t="s">
        <v>38</v>
      </c>
      <c r="F1859" s="1" t="s">
        <v>25</v>
      </c>
      <c r="G1859" s="1" t="s">
        <v>19</v>
      </c>
      <c r="H1859" s="1" t="s">
        <v>20</v>
      </c>
      <c r="I1859" s="2">
        <v>45478</v>
      </c>
      <c r="J1859">
        <v>87839</v>
      </c>
      <c r="K1859" s="2">
        <v>45866</v>
      </c>
      <c r="L1859">
        <v>1944</v>
      </c>
      <c r="M1859">
        <v>89783</v>
      </c>
      <c r="N1859">
        <v>0</v>
      </c>
    </row>
    <row r="1860" spans="1:14" x14ac:dyDescent="0.3">
      <c r="A1860" s="1" t="s">
        <v>1905</v>
      </c>
      <c r="B1860" s="1" t="s">
        <v>56</v>
      </c>
      <c r="C1860">
        <v>60</v>
      </c>
      <c r="D1860" s="1" t="s">
        <v>16</v>
      </c>
      <c r="E1860" s="1" t="s">
        <v>24</v>
      </c>
      <c r="F1860" s="1" t="s">
        <v>18</v>
      </c>
      <c r="G1860" s="1" t="s">
        <v>19</v>
      </c>
      <c r="H1860" s="1" t="s">
        <v>49</v>
      </c>
      <c r="I1860" s="2">
        <v>44824</v>
      </c>
      <c r="J1860">
        <v>1438</v>
      </c>
      <c r="K1860" s="2">
        <v>45811</v>
      </c>
      <c r="L1860">
        <v>-7050</v>
      </c>
      <c r="M1860">
        <v>-5612</v>
      </c>
      <c r="N1860">
        <v>0</v>
      </c>
    </row>
    <row r="1861" spans="1:14" x14ac:dyDescent="0.3">
      <c r="A1861" s="1" t="s">
        <v>1906</v>
      </c>
      <c r="B1861" s="1" t="s">
        <v>61</v>
      </c>
      <c r="C1861">
        <v>47</v>
      </c>
      <c r="D1861" s="1" t="s">
        <v>16</v>
      </c>
      <c r="E1861" s="1" t="s">
        <v>24</v>
      </c>
      <c r="F1861" s="1" t="s">
        <v>18</v>
      </c>
      <c r="G1861" s="1" t="s">
        <v>19</v>
      </c>
      <c r="H1861" s="1" t="s">
        <v>20</v>
      </c>
      <c r="I1861" s="2">
        <v>45143</v>
      </c>
      <c r="J1861">
        <v>88914</v>
      </c>
      <c r="K1861" s="2">
        <v>45858</v>
      </c>
      <c r="L1861">
        <v>21434</v>
      </c>
      <c r="M1861">
        <v>110348</v>
      </c>
      <c r="N1861">
        <v>0</v>
      </c>
    </row>
    <row r="1862" spans="1:14" x14ac:dyDescent="0.3">
      <c r="A1862" s="1" t="s">
        <v>1907</v>
      </c>
      <c r="B1862" s="1" t="s">
        <v>69</v>
      </c>
      <c r="C1862">
        <v>56</v>
      </c>
      <c r="D1862" s="1" t="s">
        <v>16</v>
      </c>
      <c r="E1862" s="1" t="s">
        <v>38</v>
      </c>
      <c r="F1862" s="1" t="s">
        <v>18</v>
      </c>
      <c r="G1862" s="1" t="s">
        <v>41</v>
      </c>
      <c r="H1862" s="1" t="s">
        <v>20</v>
      </c>
      <c r="I1862" s="2">
        <v>45594</v>
      </c>
      <c r="J1862">
        <v>1230</v>
      </c>
      <c r="K1862" s="2">
        <v>45868</v>
      </c>
      <c r="L1862">
        <v>17525</v>
      </c>
      <c r="M1862">
        <v>18755</v>
      </c>
      <c r="N1862">
        <v>0</v>
      </c>
    </row>
    <row r="1863" spans="1:14" x14ac:dyDescent="0.3">
      <c r="A1863" s="1" t="s">
        <v>1908</v>
      </c>
      <c r="B1863" s="1" t="s">
        <v>15</v>
      </c>
      <c r="C1863">
        <v>48</v>
      </c>
      <c r="D1863" s="1" t="s">
        <v>23</v>
      </c>
      <c r="E1863" s="1" t="s">
        <v>17</v>
      </c>
      <c r="F1863" s="1" t="s">
        <v>25</v>
      </c>
      <c r="G1863" s="1" t="s">
        <v>19</v>
      </c>
      <c r="H1863" s="1" t="s">
        <v>20</v>
      </c>
      <c r="I1863" s="2">
        <v>44227</v>
      </c>
      <c r="J1863">
        <v>3786</v>
      </c>
      <c r="K1863" s="2">
        <v>45799</v>
      </c>
      <c r="L1863">
        <v>10944</v>
      </c>
      <c r="M1863">
        <v>14730</v>
      </c>
      <c r="N1863">
        <v>0</v>
      </c>
    </row>
    <row r="1864" spans="1:14" x14ac:dyDescent="0.3">
      <c r="A1864" s="1" t="s">
        <v>1909</v>
      </c>
      <c r="B1864" s="1" t="s">
        <v>32</v>
      </c>
      <c r="C1864">
        <v>35</v>
      </c>
      <c r="D1864" s="1" t="s">
        <v>30</v>
      </c>
      <c r="E1864" s="1" t="s">
        <v>24</v>
      </c>
      <c r="F1864" s="1" t="s">
        <v>18</v>
      </c>
      <c r="G1864" s="1" t="s">
        <v>19</v>
      </c>
      <c r="H1864" s="1" t="s">
        <v>20</v>
      </c>
      <c r="I1864" s="2">
        <v>45539</v>
      </c>
      <c r="J1864">
        <v>2315</v>
      </c>
      <c r="K1864" s="2">
        <v>45861</v>
      </c>
      <c r="L1864">
        <v>-3840</v>
      </c>
      <c r="M1864">
        <v>-1525</v>
      </c>
      <c r="N1864">
        <v>0</v>
      </c>
    </row>
    <row r="1865" spans="1:14" x14ac:dyDescent="0.3">
      <c r="A1865" s="1" t="s">
        <v>1910</v>
      </c>
      <c r="B1865" s="1" t="s">
        <v>27</v>
      </c>
      <c r="C1865">
        <v>53</v>
      </c>
      <c r="D1865" s="1" t="s">
        <v>23</v>
      </c>
      <c r="E1865" s="1" t="s">
        <v>35</v>
      </c>
      <c r="F1865" s="1" t="s">
        <v>25</v>
      </c>
      <c r="G1865" s="1" t="s">
        <v>19</v>
      </c>
      <c r="H1865" s="1" t="s">
        <v>20</v>
      </c>
      <c r="I1865" s="2">
        <v>45781</v>
      </c>
      <c r="J1865">
        <v>17035</v>
      </c>
      <c r="K1865" s="2">
        <v>45862</v>
      </c>
      <c r="L1865">
        <v>14344</v>
      </c>
      <c r="M1865">
        <v>31379</v>
      </c>
      <c r="N1865">
        <v>0</v>
      </c>
    </row>
    <row r="1866" spans="1:14" x14ac:dyDescent="0.3">
      <c r="A1866" s="1" t="s">
        <v>1911</v>
      </c>
      <c r="B1866" s="1" t="s">
        <v>27</v>
      </c>
      <c r="C1866">
        <v>19</v>
      </c>
      <c r="D1866" s="1" t="s">
        <v>16</v>
      </c>
      <c r="E1866" s="1" t="s">
        <v>38</v>
      </c>
      <c r="F1866" s="1" t="s">
        <v>25</v>
      </c>
      <c r="G1866" s="1" t="s">
        <v>19</v>
      </c>
      <c r="H1866" s="1" t="s">
        <v>20</v>
      </c>
      <c r="I1866" s="2">
        <v>44250</v>
      </c>
      <c r="J1866">
        <v>13119</v>
      </c>
      <c r="K1866" s="2">
        <v>45807</v>
      </c>
      <c r="L1866">
        <v>-2014</v>
      </c>
      <c r="M1866">
        <v>11105</v>
      </c>
      <c r="N1866">
        <v>0</v>
      </c>
    </row>
    <row r="1867" spans="1:14" x14ac:dyDescent="0.3">
      <c r="A1867" s="1" t="s">
        <v>1912</v>
      </c>
      <c r="B1867" s="1" t="s">
        <v>34</v>
      </c>
      <c r="C1867">
        <v>31</v>
      </c>
      <c r="D1867" s="1" t="s">
        <v>16</v>
      </c>
      <c r="E1867" s="1" t="s">
        <v>24</v>
      </c>
      <c r="F1867" s="1" t="s">
        <v>18</v>
      </c>
      <c r="G1867" s="1" t="s">
        <v>19</v>
      </c>
      <c r="H1867" s="1" t="s">
        <v>20</v>
      </c>
      <c r="I1867" s="2">
        <v>44273</v>
      </c>
      <c r="J1867">
        <v>29582</v>
      </c>
      <c r="K1867" s="2">
        <v>45709</v>
      </c>
      <c r="L1867">
        <v>-4626</v>
      </c>
      <c r="M1867">
        <v>24956</v>
      </c>
      <c r="N1867">
        <v>0</v>
      </c>
    </row>
    <row r="1868" spans="1:14" x14ac:dyDescent="0.3">
      <c r="A1868" s="1" t="s">
        <v>1913</v>
      </c>
      <c r="B1868" s="1" t="s">
        <v>43</v>
      </c>
      <c r="C1868">
        <v>30</v>
      </c>
      <c r="D1868" s="1" t="s">
        <v>16</v>
      </c>
      <c r="E1868" s="1" t="s">
        <v>24</v>
      </c>
      <c r="F1868" s="1" t="s">
        <v>18</v>
      </c>
      <c r="G1868" s="1" t="s">
        <v>19</v>
      </c>
      <c r="H1868" s="1" t="s">
        <v>20</v>
      </c>
      <c r="I1868" s="2">
        <v>44773</v>
      </c>
      <c r="J1868">
        <v>12229</v>
      </c>
      <c r="K1868" s="2">
        <v>45791</v>
      </c>
      <c r="L1868">
        <v>3610</v>
      </c>
      <c r="M1868">
        <v>15839</v>
      </c>
      <c r="N1868">
        <v>0</v>
      </c>
    </row>
    <row r="1869" spans="1:14" x14ac:dyDescent="0.3">
      <c r="A1869" s="1" t="s">
        <v>1914</v>
      </c>
      <c r="B1869" s="1" t="s">
        <v>29</v>
      </c>
      <c r="C1869">
        <v>46</v>
      </c>
      <c r="D1869" s="1" t="s">
        <v>23</v>
      </c>
      <c r="E1869" s="1" t="s">
        <v>24</v>
      </c>
      <c r="F1869" s="1" t="s">
        <v>25</v>
      </c>
      <c r="G1869" s="1" t="s">
        <v>19</v>
      </c>
      <c r="H1869" s="1" t="s">
        <v>49</v>
      </c>
      <c r="I1869" s="2">
        <v>44343</v>
      </c>
      <c r="J1869">
        <v>45483</v>
      </c>
      <c r="K1869" s="2">
        <v>45843</v>
      </c>
      <c r="L1869">
        <v>31637</v>
      </c>
      <c r="M1869">
        <v>77120</v>
      </c>
      <c r="N1869">
        <v>0</v>
      </c>
    </row>
    <row r="1870" spans="1:14" x14ac:dyDescent="0.3">
      <c r="A1870" s="1" t="s">
        <v>1915</v>
      </c>
      <c r="B1870" s="1" t="s">
        <v>29</v>
      </c>
      <c r="C1870">
        <v>29</v>
      </c>
      <c r="D1870" s="1" t="s">
        <v>16</v>
      </c>
      <c r="E1870" s="1" t="s">
        <v>24</v>
      </c>
      <c r="F1870" s="1" t="s">
        <v>18</v>
      </c>
      <c r="G1870" s="1" t="s">
        <v>19</v>
      </c>
      <c r="H1870" s="1" t="s">
        <v>20</v>
      </c>
      <c r="I1870" s="2">
        <v>44998</v>
      </c>
      <c r="J1870">
        <v>5257</v>
      </c>
      <c r="K1870" s="2">
        <v>45869</v>
      </c>
      <c r="L1870">
        <v>-406</v>
      </c>
      <c r="M1870">
        <v>4851</v>
      </c>
      <c r="N1870">
        <v>0</v>
      </c>
    </row>
    <row r="1871" spans="1:14" x14ac:dyDescent="0.3">
      <c r="A1871" s="1" t="s">
        <v>1916</v>
      </c>
      <c r="B1871" s="1" t="s">
        <v>37</v>
      </c>
      <c r="C1871">
        <v>56</v>
      </c>
      <c r="D1871" s="1" t="s">
        <v>16</v>
      </c>
      <c r="E1871" s="1" t="s">
        <v>38</v>
      </c>
      <c r="F1871" s="1" t="s">
        <v>25</v>
      </c>
      <c r="G1871" s="1" t="s">
        <v>19</v>
      </c>
      <c r="H1871" s="1" t="s">
        <v>20</v>
      </c>
      <c r="I1871" s="2">
        <v>45416</v>
      </c>
      <c r="J1871">
        <v>46544</v>
      </c>
      <c r="K1871" s="2">
        <v>45869</v>
      </c>
      <c r="L1871">
        <v>8790</v>
      </c>
      <c r="M1871">
        <v>55334</v>
      </c>
      <c r="N1871">
        <v>0</v>
      </c>
    </row>
    <row r="1872" spans="1:14" x14ac:dyDescent="0.3">
      <c r="A1872" s="1" t="s">
        <v>1917</v>
      </c>
      <c r="B1872" s="1" t="s">
        <v>32</v>
      </c>
      <c r="C1872">
        <v>19</v>
      </c>
      <c r="D1872" s="1" t="s">
        <v>23</v>
      </c>
      <c r="E1872" s="1" t="s">
        <v>38</v>
      </c>
      <c r="F1872" s="1" t="s">
        <v>18</v>
      </c>
      <c r="G1872" s="1" t="s">
        <v>19</v>
      </c>
      <c r="H1872" s="1" t="s">
        <v>20</v>
      </c>
      <c r="I1872" s="2">
        <v>45145</v>
      </c>
      <c r="J1872">
        <v>12955</v>
      </c>
      <c r="K1872" s="2">
        <v>45862</v>
      </c>
      <c r="L1872">
        <v>-8365</v>
      </c>
      <c r="M1872">
        <v>4590</v>
      </c>
      <c r="N1872">
        <v>0</v>
      </c>
    </row>
    <row r="1873" spans="1:14" x14ac:dyDescent="0.3">
      <c r="A1873" s="1" t="s">
        <v>1918</v>
      </c>
      <c r="B1873" s="1" t="s">
        <v>43</v>
      </c>
      <c r="C1873">
        <v>49</v>
      </c>
      <c r="D1873" s="1" t="s">
        <v>16</v>
      </c>
      <c r="E1873" s="1" t="s">
        <v>24</v>
      </c>
      <c r="F1873" s="1" t="s">
        <v>18</v>
      </c>
      <c r="G1873" s="1" t="s">
        <v>19</v>
      </c>
      <c r="H1873" s="1" t="s">
        <v>20</v>
      </c>
      <c r="I1873" s="2">
        <v>44525</v>
      </c>
      <c r="J1873">
        <v>140908</v>
      </c>
      <c r="K1873" s="2">
        <v>45824</v>
      </c>
      <c r="L1873">
        <v>4467</v>
      </c>
      <c r="M1873">
        <v>145375</v>
      </c>
      <c r="N1873">
        <v>0</v>
      </c>
    </row>
    <row r="1874" spans="1:14" x14ac:dyDescent="0.3">
      <c r="A1874" s="1" t="s">
        <v>1919</v>
      </c>
      <c r="B1874" s="1" t="s">
        <v>15</v>
      </c>
      <c r="C1874">
        <v>30</v>
      </c>
      <c r="D1874" s="1" t="s">
        <v>23</v>
      </c>
      <c r="E1874" s="1" t="s">
        <v>17</v>
      </c>
      <c r="F1874" s="1" t="s">
        <v>18</v>
      </c>
      <c r="G1874" s="1" t="s">
        <v>19</v>
      </c>
      <c r="H1874" s="1" t="s">
        <v>20</v>
      </c>
      <c r="I1874" s="2">
        <v>45292</v>
      </c>
      <c r="J1874">
        <v>31949</v>
      </c>
      <c r="K1874" s="2">
        <v>45725</v>
      </c>
      <c r="L1874">
        <v>3872</v>
      </c>
      <c r="M1874">
        <v>35821</v>
      </c>
      <c r="N1874">
        <v>0</v>
      </c>
    </row>
    <row r="1875" spans="1:14" x14ac:dyDescent="0.3">
      <c r="A1875" s="1" t="s">
        <v>1920</v>
      </c>
      <c r="B1875" s="1" t="s">
        <v>79</v>
      </c>
      <c r="C1875">
        <v>63</v>
      </c>
      <c r="D1875" s="1" t="s">
        <v>23</v>
      </c>
      <c r="E1875" s="1" t="s">
        <v>24</v>
      </c>
      <c r="F1875" s="1" t="s">
        <v>25</v>
      </c>
      <c r="G1875" s="1" t="s">
        <v>19</v>
      </c>
      <c r="H1875" s="1" t="s">
        <v>20</v>
      </c>
      <c r="I1875" s="2">
        <v>45342</v>
      </c>
      <c r="J1875">
        <v>9861</v>
      </c>
      <c r="K1875" s="2">
        <v>45850</v>
      </c>
      <c r="L1875">
        <v>3772</v>
      </c>
      <c r="M1875">
        <v>13633</v>
      </c>
      <c r="N1875">
        <v>0</v>
      </c>
    </row>
    <row r="1876" spans="1:14" x14ac:dyDescent="0.3">
      <c r="A1876" s="1" t="s">
        <v>1921</v>
      </c>
      <c r="B1876" s="1" t="s">
        <v>56</v>
      </c>
      <c r="C1876">
        <v>44</v>
      </c>
      <c r="D1876" s="1" t="s">
        <v>23</v>
      </c>
      <c r="E1876" s="1" t="s">
        <v>17</v>
      </c>
      <c r="F1876" s="1" t="s">
        <v>18</v>
      </c>
      <c r="G1876" s="1" t="s">
        <v>19</v>
      </c>
      <c r="H1876" s="1" t="s">
        <v>20</v>
      </c>
      <c r="I1876" s="2">
        <v>45756</v>
      </c>
      <c r="J1876">
        <v>12912</v>
      </c>
      <c r="K1876" s="2">
        <v>45863</v>
      </c>
      <c r="L1876">
        <v>-442</v>
      </c>
      <c r="M1876">
        <v>12470</v>
      </c>
      <c r="N1876">
        <v>0</v>
      </c>
    </row>
    <row r="1877" spans="1:14" x14ac:dyDescent="0.3">
      <c r="A1877" s="1" t="s">
        <v>1922</v>
      </c>
      <c r="B1877" s="1" t="s">
        <v>40</v>
      </c>
      <c r="C1877">
        <v>66</v>
      </c>
      <c r="D1877" s="1" t="s">
        <v>23</v>
      </c>
      <c r="E1877" s="1" t="s">
        <v>17</v>
      </c>
      <c r="F1877" s="1" t="s">
        <v>25</v>
      </c>
      <c r="G1877" s="1" t="s">
        <v>19</v>
      </c>
      <c r="H1877" s="1" t="s">
        <v>49</v>
      </c>
      <c r="I1877" s="2">
        <v>44442</v>
      </c>
      <c r="J1877">
        <v>4870</v>
      </c>
      <c r="K1877" s="2">
        <v>45848</v>
      </c>
      <c r="L1877">
        <v>10909</v>
      </c>
      <c r="M1877">
        <v>15779</v>
      </c>
      <c r="N1877">
        <v>0</v>
      </c>
    </row>
    <row r="1878" spans="1:14" x14ac:dyDescent="0.3">
      <c r="A1878" s="1" t="s">
        <v>1923</v>
      </c>
      <c r="B1878" s="1" t="s">
        <v>27</v>
      </c>
      <c r="C1878">
        <v>58</v>
      </c>
      <c r="D1878" s="1" t="s">
        <v>16</v>
      </c>
      <c r="E1878" s="1" t="s">
        <v>24</v>
      </c>
      <c r="F1878" s="1" t="s">
        <v>18</v>
      </c>
      <c r="G1878" s="1" t="s">
        <v>19</v>
      </c>
      <c r="H1878" s="1" t="s">
        <v>20</v>
      </c>
      <c r="I1878" s="2">
        <v>45355</v>
      </c>
      <c r="J1878">
        <v>19137</v>
      </c>
      <c r="K1878" s="2">
        <v>45820</v>
      </c>
      <c r="L1878">
        <v>1359</v>
      </c>
      <c r="M1878">
        <v>20496</v>
      </c>
      <c r="N1878">
        <v>0</v>
      </c>
    </row>
    <row r="1879" spans="1:14" x14ac:dyDescent="0.3">
      <c r="A1879" s="1" t="s">
        <v>1924</v>
      </c>
      <c r="B1879" s="1" t="s">
        <v>87</v>
      </c>
      <c r="C1879">
        <v>34</v>
      </c>
      <c r="D1879" s="1" t="s">
        <v>23</v>
      </c>
      <c r="E1879" s="1" t="s">
        <v>17</v>
      </c>
      <c r="F1879" s="1" t="s">
        <v>25</v>
      </c>
      <c r="G1879" s="1" t="s">
        <v>41</v>
      </c>
      <c r="H1879" s="1" t="s">
        <v>20</v>
      </c>
      <c r="I1879" s="2">
        <v>45721</v>
      </c>
      <c r="J1879">
        <v>9856</v>
      </c>
      <c r="K1879" s="2">
        <v>45865</v>
      </c>
      <c r="L1879">
        <v>27299</v>
      </c>
      <c r="M1879">
        <v>37155</v>
      </c>
      <c r="N1879">
        <v>0</v>
      </c>
    </row>
    <row r="1880" spans="1:14" x14ac:dyDescent="0.3">
      <c r="A1880" s="1" t="s">
        <v>1925</v>
      </c>
      <c r="B1880" s="1" t="s">
        <v>29</v>
      </c>
      <c r="C1880">
        <v>57</v>
      </c>
      <c r="D1880" s="1" t="s">
        <v>23</v>
      </c>
      <c r="E1880" s="1" t="s">
        <v>17</v>
      </c>
      <c r="F1880" s="1" t="s">
        <v>18</v>
      </c>
      <c r="G1880" s="1" t="s">
        <v>41</v>
      </c>
      <c r="H1880" s="1" t="s">
        <v>20</v>
      </c>
      <c r="I1880" s="2">
        <v>45036</v>
      </c>
      <c r="J1880">
        <v>27561</v>
      </c>
      <c r="K1880" s="2">
        <v>45850</v>
      </c>
      <c r="L1880">
        <v>26284</v>
      </c>
      <c r="M1880">
        <v>53845</v>
      </c>
      <c r="N1880">
        <v>0</v>
      </c>
    </row>
    <row r="1881" spans="1:14" x14ac:dyDescent="0.3">
      <c r="A1881" s="1" t="s">
        <v>1926</v>
      </c>
      <c r="B1881" s="1" t="s">
        <v>15</v>
      </c>
      <c r="C1881">
        <v>48</v>
      </c>
      <c r="D1881" s="1" t="s">
        <v>23</v>
      </c>
      <c r="E1881" s="1" t="s">
        <v>24</v>
      </c>
      <c r="F1881" s="1" t="s">
        <v>18</v>
      </c>
      <c r="G1881" s="1" t="s">
        <v>41</v>
      </c>
      <c r="H1881" s="1" t="s">
        <v>20</v>
      </c>
      <c r="I1881" s="2">
        <v>44802</v>
      </c>
      <c r="J1881">
        <v>3505</v>
      </c>
      <c r="K1881" s="2">
        <v>45869</v>
      </c>
      <c r="L1881">
        <v>18399</v>
      </c>
      <c r="M1881">
        <v>21904</v>
      </c>
      <c r="N1881">
        <v>0</v>
      </c>
    </row>
    <row r="1882" spans="1:14" x14ac:dyDescent="0.3">
      <c r="A1882" s="1" t="s">
        <v>1927</v>
      </c>
      <c r="B1882" s="1" t="s">
        <v>27</v>
      </c>
      <c r="C1882">
        <v>51</v>
      </c>
      <c r="D1882" s="1" t="s">
        <v>16</v>
      </c>
      <c r="E1882" s="1" t="s">
        <v>17</v>
      </c>
      <c r="F1882" s="1" t="s">
        <v>25</v>
      </c>
      <c r="G1882" s="1" t="s">
        <v>19</v>
      </c>
      <c r="H1882" s="1" t="s">
        <v>20</v>
      </c>
      <c r="I1882" s="2">
        <v>44482</v>
      </c>
      <c r="J1882">
        <v>9608</v>
      </c>
      <c r="K1882" s="2">
        <v>45805</v>
      </c>
      <c r="L1882">
        <v>28199</v>
      </c>
      <c r="M1882">
        <v>37807</v>
      </c>
      <c r="N1882">
        <v>0</v>
      </c>
    </row>
    <row r="1883" spans="1:14" x14ac:dyDescent="0.3">
      <c r="A1883" s="1" t="s">
        <v>1928</v>
      </c>
      <c r="B1883" s="1" t="s">
        <v>71</v>
      </c>
      <c r="C1883">
        <v>41</v>
      </c>
      <c r="D1883" s="1" t="s">
        <v>16</v>
      </c>
      <c r="E1883" s="1" t="s">
        <v>17</v>
      </c>
      <c r="F1883" s="1" t="s">
        <v>18</v>
      </c>
      <c r="G1883" s="1" t="s">
        <v>19</v>
      </c>
      <c r="H1883" s="1" t="s">
        <v>20</v>
      </c>
      <c r="I1883" s="2">
        <v>45647</v>
      </c>
      <c r="J1883">
        <v>4190</v>
      </c>
      <c r="K1883" s="2">
        <v>45859</v>
      </c>
      <c r="L1883">
        <v>5526</v>
      </c>
      <c r="M1883">
        <v>9716</v>
      </c>
      <c r="N1883">
        <v>0</v>
      </c>
    </row>
    <row r="1884" spans="1:14" x14ac:dyDescent="0.3">
      <c r="A1884" s="1" t="s">
        <v>1929</v>
      </c>
      <c r="B1884" s="1" t="s">
        <v>56</v>
      </c>
      <c r="C1884">
        <v>62</v>
      </c>
      <c r="D1884" s="1" t="s">
        <v>23</v>
      </c>
      <c r="E1884" s="1" t="s">
        <v>24</v>
      </c>
      <c r="F1884" s="1" t="s">
        <v>18</v>
      </c>
      <c r="G1884" s="1" t="s">
        <v>19</v>
      </c>
      <c r="H1884" s="1" t="s">
        <v>20</v>
      </c>
      <c r="I1884" s="2">
        <v>44856</v>
      </c>
      <c r="J1884">
        <v>4459</v>
      </c>
      <c r="K1884" s="2">
        <v>45840</v>
      </c>
      <c r="L1884">
        <v>19627</v>
      </c>
      <c r="M1884">
        <v>24086</v>
      </c>
      <c r="N1884">
        <v>0</v>
      </c>
    </row>
    <row r="1885" spans="1:14" x14ac:dyDescent="0.3">
      <c r="A1885" s="1" t="s">
        <v>1930</v>
      </c>
      <c r="B1885" s="1" t="s">
        <v>22</v>
      </c>
      <c r="C1885">
        <v>52</v>
      </c>
      <c r="D1885" s="1" t="s">
        <v>23</v>
      </c>
      <c r="E1885" s="1" t="s">
        <v>17</v>
      </c>
      <c r="F1885" s="1" t="s">
        <v>18</v>
      </c>
      <c r="G1885" s="1" t="s">
        <v>41</v>
      </c>
      <c r="H1885" s="1" t="s">
        <v>20</v>
      </c>
      <c r="I1885" s="2">
        <v>45744</v>
      </c>
      <c r="J1885">
        <v>24491</v>
      </c>
      <c r="K1885" s="2">
        <v>45864</v>
      </c>
      <c r="L1885">
        <v>13222</v>
      </c>
      <c r="M1885">
        <v>37713</v>
      </c>
      <c r="N1885">
        <v>0</v>
      </c>
    </row>
    <row r="1886" spans="1:14" x14ac:dyDescent="0.3">
      <c r="A1886" s="1" t="s">
        <v>1931</v>
      </c>
      <c r="B1886" s="1" t="s">
        <v>22</v>
      </c>
      <c r="C1886">
        <v>65</v>
      </c>
      <c r="D1886" s="1" t="s">
        <v>16</v>
      </c>
      <c r="E1886" s="1" t="s">
        <v>24</v>
      </c>
      <c r="F1886" s="1" t="s">
        <v>25</v>
      </c>
      <c r="G1886" s="1" t="s">
        <v>19</v>
      </c>
      <c r="H1886" s="1" t="s">
        <v>20</v>
      </c>
      <c r="I1886" s="2">
        <v>45615</v>
      </c>
      <c r="J1886">
        <v>41131</v>
      </c>
      <c r="K1886" s="2">
        <v>45865</v>
      </c>
      <c r="L1886">
        <v>16708</v>
      </c>
      <c r="M1886">
        <v>57839</v>
      </c>
      <c r="N1886">
        <v>0</v>
      </c>
    </row>
    <row r="1887" spans="1:14" x14ac:dyDescent="0.3">
      <c r="A1887" s="1" t="s">
        <v>1932</v>
      </c>
      <c r="B1887" s="1" t="s">
        <v>59</v>
      </c>
      <c r="C1887">
        <v>23</v>
      </c>
      <c r="D1887" s="1" t="s">
        <v>23</v>
      </c>
      <c r="E1887" s="1" t="s">
        <v>17</v>
      </c>
      <c r="F1887" s="1" t="s">
        <v>25</v>
      </c>
      <c r="G1887" s="1" t="s">
        <v>19</v>
      </c>
      <c r="H1887" s="1" t="s">
        <v>20</v>
      </c>
      <c r="I1887" s="2">
        <v>44827</v>
      </c>
      <c r="J1887">
        <v>1297</v>
      </c>
      <c r="K1887" s="2">
        <v>45831</v>
      </c>
      <c r="L1887">
        <v>8220</v>
      </c>
      <c r="M1887">
        <v>9517</v>
      </c>
      <c r="N1887">
        <v>0</v>
      </c>
    </row>
    <row r="1888" spans="1:14" x14ac:dyDescent="0.3">
      <c r="A1888" s="1" t="s">
        <v>1933</v>
      </c>
      <c r="B1888" s="1" t="s">
        <v>64</v>
      </c>
      <c r="C1888">
        <v>36</v>
      </c>
      <c r="D1888" s="1" t="s">
        <v>16</v>
      </c>
      <c r="E1888" s="1" t="s">
        <v>38</v>
      </c>
      <c r="F1888" s="1" t="s">
        <v>18</v>
      </c>
      <c r="G1888" s="1" t="s">
        <v>19</v>
      </c>
      <c r="H1888" s="1" t="s">
        <v>20</v>
      </c>
      <c r="I1888" s="2">
        <v>45157</v>
      </c>
      <c r="J1888">
        <v>85980</v>
      </c>
      <c r="K1888" s="2">
        <v>45857</v>
      </c>
      <c r="L1888">
        <v>22679</v>
      </c>
      <c r="M1888">
        <v>108659</v>
      </c>
      <c r="N1888">
        <v>0</v>
      </c>
    </row>
    <row r="1889" spans="1:14" x14ac:dyDescent="0.3">
      <c r="A1889" s="1" t="s">
        <v>1934</v>
      </c>
      <c r="B1889" s="1" t="s">
        <v>43</v>
      </c>
      <c r="C1889">
        <v>47</v>
      </c>
      <c r="D1889" s="1" t="s">
        <v>23</v>
      </c>
      <c r="E1889" s="1" t="s">
        <v>35</v>
      </c>
      <c r="F1889" s="1" t="s">
        <v>18</v>
      </c>
      <c r="G1889" s="1" t="s">
        <v>19</v>
      </c>
      <c r="H1889" s="1" t="s">
        <v>20</v>
      </c>
      <c r="I1889" s="2">
        <v>44242</v>
      </c>
      <c r="J1889">
        <v>54398</v>
      </c>
      <c r="K1889" s="2">
        <v>45832</v>
      </c>
      <c r="L1889">
        <v>19613</v>
      </c>
      <c r="M1889">
        <v>74011</v>
      </c>
      <c r="N1889">
        <v>0</v>
      </c>
    </row>
    <row r="1890" spans="1:14" x14ac:dyDescent="0.3">
      <c r="A1890" s="1" t="s">
        <v>1935</v>
      </c>
      <c r="B1890" s="1" t="s">
        <v>43</v>
      </c>
      <c r="C1890">
        <v>24</v>
      </c>
      <c r="D1890" s="1" t="s">
        <v>16</v>
      </c>
      <c r="E1890" s="1" t="s">
        <v>38</v>
      </c>
      <c r="F1890" s="1" t="s">
        <v>25</v>
      </c>
      <c r="G1890" s="1" t="s">
        <v>19</v>
      </c>
      <c r="H1890" s="1" t="s">
        <v>20</v>
      </c>
      <c r="I1890" s="2">
        <v>44637</v>
      </c>
      <c r="J1890">
        <v>3475</v>
      </c>
      <c r="K1890" s="2">
        <v>45850</v>
      </c>
      <c r="L1890">
        <v>24816</v>
      </c>
      <c r="M1890">
        <v>28291</v>
      </c>
      <c r="N1890">
        <v>0</v>
      </c>
    </row>
    <row r="1891" spans="1:14" x14ac:dyDescent="0.3">
      <c r="A1891" s="1" t="s">
        <v>1936</v>
      </c>
      <c r="B1891" s="1" t="s">
        <v>87</v>
      </c>
      <c r="C1891">
        <v>27</v>
      </c>
      <c r="D1891" s="1" t="s">
        <v>23</v>
      </c>
      <c r="E1891" s="1" t="s">
        <v>24</v>
      </c>
      <c r="F1891" s="1" t="s">
        <v>18</v>
      </c>
      <c r="G1891" s="1" t="s">
        <v>19</v>
      </c>
      <c r="H1891" s="1" t="s">
        <v>20</v>
      </c>
      <c r="I1891" s="2">
        <v>45385</v>
      </c>
      <c r="J1891">
        <v>30542</v>
      </c>
      <c r="K1891" s="2">
        <v>45855</v>
      </c>
      <c r="L1891">
        <v>19485</v>
      </c>
      <c r="M1891">
        <v>50027</v>
      </c>
      <c r="N1891">
        <v>0</v>
      </c>
    </row>
    <row r="1892" spans="1:14" x14ac:dyDescent="0.3">
      <c r="A1892" s="1" t="s">
        <v>1937</v>
      </c>
      <c r="B1892" s="1" t="s">
        <v>43</v>
      </c>
      <c r="C1892">
        <v>58</v>
      </c>
      <c r="D1892" s="1" t="s">
        <v>16</v>
      </c>
      <c r="E1892" s="1" t="s">
        <v>38</v>
      </c>
      <c r="F1892" s="1" t="s">
        <v>25</v>
      </c>
      <c r="G1892" s="1" t="s">
        <v>19</v>
      </c>
      <c r="H1892" s="1" t="s">
        <v>20</v>
      </c>
      <c r="I1892" s="2">
        <v>45331</v>
      </c>
      <c r="J1892">
        <v>8432</v>
      </c>
      <c r="K1892" s="2">
        <v>45864</v>
      </c>
      <c r="L1892">
        <v>12021</v>
      </c>
      <c r="M1892">
        <v>20453</v>
      </c>
      <c r="N1892">
        <v>0</v>
      </c>
    </row>
    <row r="1893" spans="1:14" x14ac:dyDescent="0.3">
      <c r="A1893" s="1" t="s">
        <v>1938</v>
      </c>
      <c r="B1893" s="1" t="s">
        <v>27</v>
      </c>
      <c r="C1893">
        <v>49</v>
      </c>
      <c r="D1893" s="1" t="s">
        <v>23</v>
      </c>
      <c r="E1893" s="1" t="s">
        <v>38</v>
      </c>
      <c r="F1893" s="1" t="s">
        <v>18</v>
      </c>
      <c r="G1893" s="1" t="s">
        <v>19</v>
      </c>
      <c r="H1893" s="1" t="s">
        <v>20</v>
      </c>
      <c r="I1893" s="2">
        <v>44788</v>
      </c>
      <c r="J1893">
        <v>12111</v>
      </c>
      <c r="K1893" s="2">
        <v>45867</v>
      </c>
      <c r="L1893">
        <v>12377</v>
      </c>
      <c r="M1893">
        <v>24488</v>
      </c>
      <c r="N1893">
        <v>0</v>
      </c>
    </row>
    <row r="1894" spans="1:14" x14ac:dyDescent="0.3">
      <c r="A1894" s="1" t="s">
        <v>1939</v>
      </c>
      <c r="B1894" s="1" t="s">
        <v>37</v>
      </c>
      <c r="C1894">
        <v>51</v>
      </c>
      <c r="D1894" s="1" t="s">
        <v>30</v>
      </c>
      <c r="E1894" s="1" t="s">
        <v>17</v>
      </c>
      <c r="F1894" s="1" t="s">
        <v>25</v>
      </c>
      <c r="G1894" s="1" t="s">
        <v>19</v>
      </c>
      <c r="H1894" s="1" t="s">
        <v>20</v>
      </c>
      <c r="I1894" s="2">
        <v>45549</v>
      </c>
      <c r="J1894">
        <v>24393</v>
      </c>
      <c r="K1894" s="2">
        <v>45849</v>
      </c>
      <c r="L1894">
        <v>28863</v>
      </c>
      <c r="M1894">
        <v>53256</v>
      </c>
      <c r="N1894">
        <v>0</v>
      </c>
    </row>
    <row r="1895" spans="1:14" x14ac:dyDescent="0.3">
      <c r="A1895" s="1" t="s">
        <v>1940</v>
      </c>
      <c r="B1895" s="1" t="s">
        <v>37</v>
      </c>
      <c r="C1895">
        <v>45</v>
      </c>
      <c r="D1895" s="1" t="s">
        <v>23</v>
      </c>
      <c r="E1895" s="1" t="s">
        <v>24</v>
      </c>
      <c r="F1895" s="1" t="s">
        <v>25</v>
      </c>
      <c r="G1895" s="1" t="s">
        <v>19</v>
      </c>
      <c r="H1895" s="1" t="s">
        <v>20</v>
      </c>
      <c r="I1895" s="2">
        <v>44591</v>
      </c>
      <c r="J1895">
        <v>21590</v>
      </c>
      <c r="K1895" s="2">
        <v>45723</v>
      </c>
      <c r="L1895">
        <v>24738</v>
      </c>
      <c r="M1895">
        <v>46328</v>
      </c>
      <c r="N1895">
        <v>0</v>
      </c>
    </row>
    <row r="1896" spans="1:14" x14ac:dyDescent="0.3">
      <c r="A1896" s="1" t="s">
        <v>1941</v>
      </c>
      <c r="B1896" s="1" t="s">
        <v>37</v>
      </c>
      <c r="C1896">
        <v>32</v>
      </c>
      <c r="D1896" s="1" t="s">
        <v>16</v>
      </c>
      <c r="E1896" s="1" t="s">
        <v>38</v>
      </c>
      <c r="F1896" s="1" t="s">
        <v>25</v>
      </c>
      <c r="G1896" s="1" t="s">
        <v>41</v>
      </c>
      <c r="H1896" s="1" t="s">
        <v>20</v>
      </c>
      <c r="I1896" s="2">
        <v>44968</v>
      </c>
      <c r="J1896">
        <v>7533</v>
      </c>
      <c r="K1896" s="2">
        <v>45842</v>
      </c>
      <c r="L1896">
        <v>25888</v>
      </c>
      <c r="M1896">
        <v>33421</v>
      </c>
      <c r="N1896">
        <v>0</v>
      </c>
    </row>
    <row r="1897" spans="1:14" x14ac:dyDescent="0.3">
      <c r="A1897" s="1" t="s">
        <v>1942</v>
      </c>
      <c r="B1897" s="1" t="s">
        <v>40</v>
      </c>
      <c r="C1897">
        <v>47</v>
      </c>
      <c r="D1897" s="1" t="s">
        <v>23</v>
      </c>
      <c r="E1897" s="1" t="s">
        <v>24</v>
      </c>
      <c r="F1897" s="1" t="s">
        <v>25</v>
      </c>
      <c r="G1897" s="1" t="s">
        <v>19</v>
      </c>
      <c r="H1897" s="1" t="s">
        <v>20</v>
      </c>
      <c r="I1897" s="2">
        <v>44987</v>
      </c>
      <c r="J1897">
        <v>7501</v>
      </c>
      <c r="K1897" s="2">
        <v>45835</v>
      </c>
      <c r="L1897">
        <v>3938</v>
      </c>
      <c r="M1897">
        <v>11439</v>
      </c>
      <c r="N1897">
        <v>0</v>
      </c>
    </row>
    <row r="1898" spans="1:14" x14ac:dyDescent="0.3">
      <c r="A1898" s="1" t="s">
        <v>1943</v>
      </c>
      <c r="B1898" s="1" t="s">
        <v>87</v>
      </c>
      <c r="C1898">
        <v>54</v>
      </c>
      <c r="D1898" s="1" t="s">
        <v>23</v>
      </c>
      <c r="E1898" s="1" t="s">
        <v>17</v>
      </c>
      <c r="F1898" s="1" t="s">
        <v>18</v>
      </c>
      <c r="G1898" s="1" t="s">
        <v>19</v>
      </c>
      <c r="H1898" s="1" t="s">
        <v>20</v>
      </c>
      <c r="I1898" s="2">
        <v>44767</v>
      </c>
      <c r="J1898">
        <v>7957</v>
      </c>
      <c r="K1898" s="2">
        <v>45814</v>
      </c>
      <c r="L1898">
        <v>6629</v>
      </c>
      <c r="M1898">
        <v>14586</v>
      </c>
      <c r="N1898">
        <v>0</v>
      </c>
    </row>
    <row r="1899" spans="1:14" x14ac:dyDescent="0.3">
      <c r="A1899" s="1" t="s">
        <v>1944</v>
      </c>
      <c r="B1899" s="1" t="s">
        <v>56</v>
      </c>
      <c r="C1899">
        <v>46</v>
      </c>
      <c r="D1899" s="1" t="s">
        <v>16</v>
      </c>
      <c r="E1899" s="1" t="s">
        <v>38</v>
      </c>
      <c r="F1899" s="1" t="s">
        <v>18</v>
      </c>
      <c r="G1899" s="1" t="s">
        <v>19</v>
      </c>
      <c r="H1899" s="1" t="s">
        <v>20</v>
      </c>
      <c r="I1899" s="2">
        <v>45794</v>
      </c>
      <c r="J1899">
        <v>41891</v>
      </c>
      <c r="K1899" s="2">
        <v>45865</v>
      </c>
      <c r="L1899">
        <v>26022</v>
      </c>
      <c r="M1899">
        <v>67913</v>
      </c>
      <c r="N1899">
        <v>0</v>
      </c>
    </row>
    <row r="1900" spans="1:14" x14ac:dyDescent="0.3">
      <c r="A1900" s="1" t="s">
        <v>1945</v>
      </c>
      <c r="B1900" s="1" t="s">
        <v>69</v>
      </c>
      <c r="C1900">
        <v>39</v>
      </c>
      <c r="D1900" s="1" t="s">
        <v>23</v>
      </c>
      <c r="E1900" s="1" t="s">
        <v>38</v>
      </c>
      <c r="F1900" s="1" t="s">
        <v>18</v>
      </c>
      <c r="G1900" s="1" t="s">
        <v>19</v>
      </c>
      <c r="H1900" s="1" t="s">
        <v>20</v>
      </c>
      <c r="I1900" s="2">
        <v>45362</v>
      </c>
      <c r="J1900">
        <v>2076</v>
      </c>
      <c r="K1900" s="2">
        <v>45865</v>
      </c>
      <c r="L1900">
        <v>7126</v>
      </c>
      <c r="M1900">
        <v>9202</v>
      </c>
      <c r="N1900">
        <v>0</v>
      </c>
    </row>
    <row r="1901" spans="1:14" x14ac:dyDescent="0.3">
      <c r="A1901" s="1" t="s">
        <v>1946</v>
      </c>
      <c r="B1901" s="1" t="s">
        <v>69</v>
      </c>
      <c r="C1901">
        <v>21</v>
      </c>
      <c r="D1901" s="1" t="s">
        <v>16</v>
      </c>
      <c r="E1901" s="1" t="s">
        <v>17</v>
      </c>
      <c r="F1901" s="1" t="s">
        <v>25</v>
      </c>
      <c r="G1901" s="1" t="s">
        <v>19</v>
      </c>
      <c r="H1901" s="1" t="s">
        <v>20</v>
      </c>
      <c r="I1901" s="2">
        <v>45099</v>
      </c>
      <c r="J1901">
        <v>11363</v>
      </c>
      <c r="K1901" s="2">
        <v>45833</v>
      </c>
      <c r="L1901">
        <v>-5657</v>
      </c>
      <c r="M1901">
        <v>5706</v>
      </c>
      <c r="N1901">
        <v>0</v>
      </c>
    </row>
    <row r="1902" spans="1:14" x14ac:dyDescent="0.3">
      <c r="A1902" s="1" t="s">
        <v>1947</v>
      </c>
      <c r="B1902" s="1" t="s">
        <v>69</v>
      </c>
      <c r="C1902">
        <v>37</v>
      </c>
      <c r="D1902" s="1" t="s">
        <v>16</v>
      </c>
      <c r="E1902" s="1" t="s">
        <v>24</v>
      </c>
      <c r="F1902" s="1" t="s">
        <v>25</v>
      </c>
      <c r="G1902" s="1" t="s">
        <v>19</v>
      </c>
      <c r="H1902" s="1" t="s">
        <v>20</v>
      </c>
      <c r="I1902" s="2">
        <v>45051</v>
      </c>
      <c r="J1902">
        <v>64379</v>
      </c>
      <c r="K1902" s="2">
        <v>45779</v>
      </c>
      <c r="L1902">
        <v>5143</v>
      </c>
      <c r="M1902">
        <v>69522</v>
      </c>
      <c r="N1902">
        <v>0</v>
      </c>
    </row>
    <row r="1903" spans="1:14" x14ac:dyDescent="0.3">
      <c r="A1903" s="1" t="s">
        <v>1948</v>
      </c>
      <c r="B1903" s="1" t="s">
        <v>29</v>
      </c>
      <c r="C1903">
        <v>49</v>
      </c>
      <c r="D1903" s="1" t="s">
        <v>16</v>
      </c>
      <c r="E1903" s="1" t="s">
        <v>17</v>
      </c>
      <c r="F1903" s="1" t="s">
        <v>25</v>
      </c>
      <c r="G1903" s="1" t="s">
        <v>19</v>
      </c>
      <c r="H1903" s="1" t="s">
        <v>20</v>
      </c>
      <c r="I1903" s="2">
        <v>44463</v>
      </c>
      <c r="J1903">
        <v>27003</v>
      </c>
      <c r="K1903" s="2">
        <v>45783</v>
      </c>
      <c r="L1903">
        <v>12267</v>
      </c>
      <c r="M1903">
        <v>39270</v>
      </c>
      <c r="N1903">
        <v>0</v>
      </c>
    </row>
    <row r="1904" spans="1:14" x14ac:dyDescent="0.3">
      <c r="A1904" s="1" t="s">
        <v>1949</v>
      </c>
      <c r="B1904" s="1" t="s">
        <v>43</v>
      </c>
      <c r="C1904">
        <v>53</v>
      </c>
      <c r="D1904" s="1" t="s">
        <v>23</v>
      </c>
      <c r="E1904" s="1" t="s">
        <v>38</v>
      </c>
      <c r="F1904" s="1" t="s">
        <v>18</v>
      </c>
      <c r="G1904" s="1" t="s">
        <v>19</v>
      </c>
      <c r="H1904" s="1" t="s">
        <v>20</v>
      </c>
      <c r="I1904" s="2">
        <v>44819</v>
      </c>
      <c r="J1904">
        <v>38214</v>
      </c>
      <c r="K1904" s="2">
        <v>45869</v>
      </c>
      <c r="L1904">
        <v>4958</v>
      </c>
      <c r="M1904">
        <v>43172</v>
      </c>
      <c r="N1904">
        <v>0</v>
      </c>
    </row>
    <row r="1905" spans="1:14" x14ac:dyDescent="0.3">
      <c r="A1905" s="1" t="s">
        <v>1950</v>
      </c>
      <c r="B1905" s="1" t="s">
        <v>52</v>
      </c>
      <c r="C1905">
        <v>67</v>
      </c>
      <c r="D1905" s="1" t="s">
        <v>16</v>
      </c>
      <c r="E1905" s="1" t="s">
        <v>24</v>
      </c>
      <c r="F1905" s="1" t="s">
        <v>18</v>
      </c>
      <c r="G1905" s="1" t="s">
        <v>19</v>
      </c>
      <c r="H1905" s="1" t="s">
        <v>20</v>
      </c>
      <c r="I1905" s="2">
        <v>45322</v>
      </c>
      <c r="J1905">
        <v>11521</v>
      </c>
      <c r="K1905" s="2">
        <v>45795</v>
      </c>
      <c r="L1905">
        <v>19302</v>
      </c>
      <c r="M1905">
        <v>30823</v>
      </c>
      <c r="N1905">
        <v>0</v>
      </c>
    </row>
    <row r="1906" spans="1:14" x14ac:dyDescent="0.3">
      <c r="A1906" s="1" t="s">
        <v>1951</v>
      </c>
      <c r="B1906" s="1" t="s">
        <v>43</v>
      </c>
      <c r="C1906">
        <v>21</v>
      </c>
      <c r="D1906" s="1" t="s">
        <v>23</v>
      </c>
      <c r="E1906" s="1" t="s">
        <v>24</v>
      </c>
      <c r="F1906" s="1" t="s">
        <v>18</v>
      </c>
      <c r="G1906" s="1" t="s">
        <v>19</v>
      </c>
      <c r="H1906" s="1" t="s">
        <v>20</v>
      </c>
      <c r="I1906" s="2">
        <v>45743</v>
      </c>
      <c r="J1906">
        <v>4173</v>
      </c>
      <c r="K1906" s="2">
        <v>45860</v>
      </c>
      <c r="L1906">
        <v>12300</v>
      </c>
      <c r="M1906">
        <v>16473</v>
      </c>
      <c r="N1906">
        <v>0</v>
      </c>
    </row>
    <row r="1907" spans="1:14" x14ac:dyDescent="0.3">
      <c r="A1907" s="1" t="s">
        <v>1952</v>
      </c>
      <c r="B1907" s="1" t="s">
        <v>52</v>
      </c>
      <c r="C1907">
        <v>44</v>
      </c>
      <c r="D1907" s="1" t="s">
        <v>16</v>
      </c>
      <c r="E1907" s="1" t="s">
        <v>38</v>
      </c>
      <c r="F1907" s="1" t="s">
        <v>25</v>
      </c>
      <c r="G1907" s="1" t="s">
        <v>19</v>
      </c>
      <c r="H1907" s="1" t="s">
        <v>20</v>
      </c>
      <c r="I1907" s="2">
        <v>45562</v>
      </c>
      <c r="J1907">
        <v>14125</v>
      </c>
      <c r="K1907" s="2">
        <v>45861</v>
      </c>
      <c r="L1907">
        <v>8857</v>
      </c>
      <c r="M1907">
        <v>22982</v>
      </c>
      <c r="N1907">
        <v>0</v>
      </c>
    </row>
    <row r="1908" spans="1:14" x14ac:dyDescent="0.3">
      <c r="A1908" s="1" t="s">
        <v>1953</v>
      </c>
      <c r="B1908" s="1" t="s">
        <v>43</v>
      </c>
      <c r="C1908">
        <v>34</v>
      </c>
      <c r="D1908" s="1" t="s">
        <v>16</v>
      </c>
      <c r="E1908" s="1" t="s">
        <v>24</v>
      </c>
      <c r="F1908" s="1" t="s">
        <v>18</v>
      </c>
      <c r="G1908" s="1" t="s">
        <v>19</v>
      </c>
      <c r="H1908" s="1" t="s">
        <v>20</v>
      </c>
      <c r="I1908" s="2">
        <v>44699</v>
      </c>
      <c r="J1908">
        <v>6708</v>
      </c>
      <c r="K1908" s="2">
        <v>45813</v>
      </c>
      <c r="L1908">
        <v>1288</v>
      </c>
      <c r="M1908">
        <v>7996</v>
      </c>
      <c r="N1908">
        <v>0</v>
      </c>
    </row>
    <row r="1909" spans="1:14" x14ac:dyDescent="0.3">
      <c r="A1909" s="1" t="s">
        <v>1954</v>
      </c>
      <c r="B1909" s="1" t="s">
        <v>56</v>
      </c>
      <c r="C1909">
        <v>29</v>
      </c>
      <c r="D1909" s="1" t="s">
        <v>16</v>
      </c>
      <c r="E1909" s="1" t="s">
        <v>38</v>
      </c>
      <c r="F1909" s="1" t="s">
        <v>18</v>
      </c>
      <c r="G1909" s="1" t="s">
        <v>19</v>
      </c>
      <c r="H1909" s="1" t="s">
        <v>20</v>
      </c>
      <c r="I1909" s="2">
        <v>44923</v>
      </c>
      <c r="J1909">
        <v>124329</v>
      </c>
      <c r="K1909" s="2">
        <v>45808</v>
      </c>
      <c r="L1909">
        <v>18137</v>
      </c>
      <c r="M1909">
        <v>142466</v>
      </c>
      <c r="N1909">
        <v>0</v>
      </c>
    </row>
    <row r="1910" spans="1:14" x14ac:dyDescent="0.3">
      <c r="A1910" s="1" t="s">
        <v>1955</v>
      </c>
      <c r="B1910" s="1" t="s">
        <v>34</v>
      </c>
      <c r="C1910">
        <v>39</v>
      </c>
      <c r="D1910" s="1" t="s">
        <v>16</v>
      </c>
      <c r="E1910" s="1" t="s">
        <v>24</v>
      </c>
      <c r="F1910" s="1" t="s">
        <v>25</v>
      </c>
      <c r="G1910" s="1" t="s">
        <v>19</v>
      </c>
      <c r="H1910" s="1" t="s">
        <v>20</v>
      </c>
      <c r="I1910" s="2">
        <v>44335</v>
      </c>
      <c r="J1910">
        <v>11405</v>
      </c>
      <c r="K1910" s="2">
        <v>45865</v>
      </c>
      <c r="L1910">
        <v>8035</v>
      </c>
      <c r="M1910">
        <v>19440</v>
      </c>
      <c r="N1910">
        <v>0</v>
      </c>
    </row>
    <row r="1911" spans="1:14" x14ac:dyDescent="0.3">
      <c r="A1911" s="1" t="s">
        <v>1956</v>
      </c>
      <c r="B1911" s="1" t="s">
        <v>71</v>
      </c>
      <c r="C1911">
        <v>34</v>
      </c>
      <c r="D1911" s="1" t="s">
        <v>16</v>
      </c>
      <c r="E1911" s="1" t="s">
        <v>24</v>
      </c>
      <c r="F1911" s="1" t="s">
        <v>18</v>
      </c>
      <c r="G1911" s="1" t="s">
        <v>19</v>
      </c>
      <c r="H1911" s="1" t="s">
        <v>20</v>
      </c>
      <c r="I1911" s="2">
        <v>44367</v>
      </c>
      <c r="J1911">
        <v>25272</v>
      </c>
      <c r="K1911" s="2">
        <v>45850</v>
      </c>
      <c r="L1911">
        <v>2417</v>
      </c>
      <c r="M1911">
        <v>27689</v>
      </c>
      <c r="N1911">
        <v>0</v>
      </c>
    </row>
    <row r="1912" spans="1:14" x14ac:dyDescent="0.3">
      <c r="A1912" s="1" t="s">
        <v>1957</v>
      </c>
      <c r="B1912" s="1" t="s">
        <v>34</v>
      </c>
      <c r="C1912">
        <v>27</v>
      </c>
      <c r="D1912" s="1" t="s">
        <v>23</v>
      </c>
      <c r="E1912" s="1" t="s">
        <v>24</v>
      </c>
      <c r="F1912" s="1" t="s">
        <v>18</v>
      </c>
      <c r="G1912" s="1" t="s">
        <v>19</v>
      </c>
      <c r="H1912" s="1" t="s">
        <v>20</v>
      </c>
      <c r="I1912" s="2">
        <v>44983</v>
      </c>
      <c r="J1912">
        <v>73306</v>
      </c>
      <c r="K1912" s="2">
        <v>45819</v>
      </c>
      <c r="L1912">
        <v>17201</v>
      </c>
      <c r="M1912">
        <v>90507</v>
      </c>
      <c r="N1912">
        <v>0</v>
      </c>
    </row>
    <row r="1913" spans="1:14" x14ac:dyDescent="0.3">
      <c r="A1913" s="1" t="s">
        <v>1958</v>
      </c>
      <c r="B1913" s="1" t="s">
        <v>69</v>
      </c>
      <c r="C1913">
        <v>18</v>
      </c>
      <c r="D1913" s="1" t="s">
        <v>16</v>
      </c>
      <c r="E1913" s="1" t="s">
        <v>17</v>
      </c>
      <c r="F1913" s="1" t="s">
        <v>18</v>
      </c>
      <c r="G1913" s="1" t="s">
        <v>19</v>
      </c>
      <c r="H1913" s="1" t="s">
        <v>20</v>
      </c>
      <c r="I1913" s="2">
        <v>45084</v>
      </c>
      <c r="J1913">
        <v>4462</v>
      </c>
      <c r="K1913" s="2">
        <v>45835</v>
      </c>
      <c r="L1913">
        <v>-11386</v>
      </c>
      <c r="M1913">
        <v>-6924</v>
      </c>
      <c r="N1913">
        <v>0</v>
      </c>
    </row>
    <row r="1914" spans="1:14" x14ac:dyDescent="0.3">
      <c r="A1914" s="1" t="s">
        <v>1959</v>
      </c>
      <c r="B1914" s="1" t="s">
        <v>71</v>
      </c>
      <c r="C1914">
        <v>39</v>
      </c>
      <c r="D1914" s="1" t="s">
        <v>23</v>
      </c>
      <c r="E1914" s="1" t="s">
        <v>24</v>
      </c>
      <c r="F1914" s="1" t="s">
        <v>25</v>
      </c>
      <c r="G1914" s="1" t="s">
        <v>19</v>
      </c>
      <c r="H1914" s="1" t="s">
        <v>20</v>
      </c>
      <c r="I1914" s="2">
        <v>44638</v>
      </c>
      <c r="J1914">
        <v>1367</v>
      </c>
      <c r="K1914" s="2">
        <v>45855</v>
      </c>
      <c r="L1914">
        <v>34923</v>
      </c>
      <c r="M1914">
        <v>36290</v>
      </c>
      <c r="N1914">
        <v>0</v>
      </c>
    </row>
    <row r="1915" spans="1:14" x14ac:dyDescent="0.3">
      <c r="A1915" s="1" t="s">
        <v>1960</v>
      </c>
      <c r="B1915" s="1" t="s">
        <v>34</v>
      </c>
      <c r="C1915">
        <v>43</v>
      </c>
      <c r="D1915" s="1" t="s">
        <v>16</v>
      </c>
      <c r="E1915" s="1" t="s">
        <v>17</v>
      </c>
      <c r="F1915" s="1" t="s">
        <v>18</v>
      </c>
      <c r="G1915" s="1" t="s">
        <v>19</v>
      </c>
      <c r="H1915" s="1" t="s">
        <v>49</v>
      </c>
      <c r="I1915" s="2">
        <v>45272</v>
      </c>
      <c r="J1915">
        <v>21808</v>
      </c>
      <c r="K1915" s="2">
        <v>45864</v>
      </c>
      <c r="L1915">
        <v>-6082</v>
      </c>
      <c r="M1915">
        <v>15726</v>
      </c>
      <c r="N1915">
        <v>0</v>
      </c>
    </row>
    <row r="1916" spans="1:14" x14ac:dyDescent="0.3">
      <c r="A1916" s="1" t="s">
        <v>1961</v>
      </c>
      <c r="B1916" s="1" t="s">
        <v>15</v>
      </c>
      <c r="C1916">
        <v>35</v>
      </c>
      <c r="D1916" s="1" t="s">
        <v>16</v>
      </c>
      <c r="E1916" s="1" t="s">
        <v>38</v>
      </c>
      <c r="F1916" s="1" t="s">
        <v>25</v>
      </c>
      <c r="G1916" s="1" t="s">
        <v>19</v>
      </c>
      <c r="H1916" s="1" t="s">
        <v>20</v>
      </c>
      <c r="I1916" s="2">
        <v>45373</v>
      </c>
      <c r="J1916">
        <v>26326</v>
      </c>
      <c r="K1916" s="2">
        <v>45858</v>
      </c>
      <c r="L1916">
        <v>26986</v>
      </c>
      <c r="M1916">
        <v>53312</v>
      </c>
      <c r="N1916">
        <v>0</v>
      </c>
    </row>
    <row r="1917" spans="1:14" x14ac:dyDescent="0.3">
      <c r="A1917" s="1" t="s">
        <v>1962</v>
      </c>
      <c r="B1917" s="1" t="s">
        <v>64</v>
      </c>
      <c r="C1917">
        <v>67</v>
      </c>
      <c r="D1917" s="1" t="s">
        <v>16</v>
      </c>
      <c r="E1917" s="1" t="s">
        <v>35</v>
      </c>
      <c r="F1917" s="1" t="s">
        <v>18</v>
      </c>
      <c r="G1917" s="1" t="s">
        <v>19</v>
      </c>
      <c r="H1917" s="1" t="s">
        <v>20</v>
      </c>
      <c r="I1917" s="2">
        <v>44697</v>
      </c>
      <c r="J1917">
        <v>8830</v>
      </c>
      <c r="K1917" s="2">
        <v>45736</v>
      </c>
      <c r="L1917">
        <v>4607</v>
      </c>
      <c r="M1917">
        <v>13437</v>
      </c>
      <c r="N1917">
        <v>0</v>
      </c>
    </row>
    <row r="1918" spans="1:14" x14ac:dyDescent="0.3">
      <c r="A1918" s="1" t="s">
        <v>1963</v>
      </c>
      <c r="B1918" s="1" t="s">
        <v>56</v>
      </c>
      <c r="C1918">
        <v>31</v>
      </c>
      <c r="D1918" s="1" t="s">
        <v>23</v>
      </c>
      <c r="E1918" s="1" t="s">
        <v>35</v>
      </c>
      <c r="F1918" s="1" t="s">
        <v>25</v>
      </c>
      <c r="G1918" s="1" t="s">
        <v>41</v>
      </c>
      <c r="H1918" s="1" t="s">
        <v>20</v>
      </c>
      <c r="I1918" s="2">
        <v>45465</v>
      </c>
      <c r="J1918">
        <v>4204</v>
      </c>
      <c r="K1918" s="2">
        <v>45859</v>
      </c>
      <c r="L1918">
        <v>5900</v>
      </c>
      <c r="M1918">
        <v>10104</v>
      </c>
      <c r="N1918">
        <v>0</v>
      </c>
    </row>
    <row r="1919" spans="1:14" x14ac:dyDescent="0.3">
      <c r="A1919" s="1" t="s">
        <v>1964</v>
      </c>
      <c r="B1919" s="1" t="s">
        <v>71</v>
      </c>
      <c r="C1919">
        <v>64</v>
      </c>
      <c r="D1919" s="1" t="s">
        <v>16</v>
      </c>
      <c r="E1919" s="1" t="s">
        <v>24</v>
      </c>
      <c r="F1919" s="1" t="s">
        <v>18</v>
      </c>
      <c r="G1919" s="1" t="s">
        <v>19</v>
      </c>
      <c r="H1919" s="1" t="s">
        <v>20</v>
      </c>
      <c r="I1919" s="2">
        <v>44540</v>
      </c>
      <c r="J1919">
        <v>18212</v>
      </c>
      <c r="K1919" s="2">
        <v>45716</v>
      </c>
      <c r="L1919">
        <v>-1309</v>
      </c>
      <c r="M1919">
        <v>16903</v>
      </c>
      <c r="N1919">
        <v>0</v>
      </c>
    </row>
    <row r="1920" spans="1:14" x14ac:dyDescent="0.3">
      <c r="A1920" s="1" t="s">
        <v>1965</v>
      </c>
      <c r="B1920" s="1" t="s">
        <v>61</v>
      </c>
      <c r="C1920">
        <v>46</v>
      </c>
      <c r="D1920" s="1" t="s">
        <v>23</v>
      </c>
      <c r="E1920" s="1" t="s">
        <v>24</v>
      </c>
      <c r="F1920" s="1" t="s">
        <v>18</v>
      </c>
      <c r="G1920" s="1" t="s">
        <v>19</v>
      </c>
      <c r="H1920" s="1" t="s">
        <v>20</v>
      </c>
      <c r="I1920" s="2">
        <v>45107</v>
      </c>
      <c r="J1920">
        <v>13046</v>
      </c>
      <c r="K1920" s="2">
        <v>45865</v>
      </c>
      <c r="L1920">
        <v>-19615</v>
      </c>
      <c r="M1920">
        <v>-6569</v>
      </c>
      <c r="N1920">
        <v>0</v>
      </c>
    </row>
    <row r="1921" spans="1:14" x14ac:dyDescent="0.3">
      <c r="A1921" s="1" t="s">
        <v>1966</v>
      </c>
      <c r="B1921" s="1" t="s">
        <v>32</v>
      </c>
      <c r="C1921">
        <v>29</v>
      </c>
      <c r="D1921" s="1" t="s">
        <v>16</v>
      </c>
      <c r="E1921" s="1" t="s">
        <v>24</v>
      </c>
      <c r="F1921" s="1" t="s">
        <v>25</v>
      </c>
      <c r="G1921" s="1" t="s">
        <v>19</v>
      </c>
      <c r="H1921" s="1" t="s">
        <v>20</v>
      </c>
      <c r="I1921" s="2">
        <v>45542</v>
      </c>
      <c r="J1921">
        <v>18439</v>
      </c>
      <c r="K1921" s="2">
        <v>45861</v>
      </c>
      <c r="L1921">
        <v>13261</v>
      </c>
      <c r="M1921">
        <v>31700</v>
      </c>
      <c r="N1921">
        <v>0</v>
      </c>
    </row>
    <row r="1922" spans="1:14" x14ac:dyDescent="0.3">
      <c r="A1922" s="1" t="s">
        <v>1967</v>
      </c>
      <c r="B1922" s="1" t="s">
        <v>56</v>
      </c>
      <c r="C1922">
        <v>53</v>
      </c>
      <c r="D1922" s="1" t="s">
        <v>23</v>
      </c>
      <c r="E1922" s="1" t="s">
        <v>38</v>
      </c>
      <c r="F1922" s="1" t="s">
        <v>25</v>
      </c>
      <c r="G1922" s="1" t="s">
        <v>19</v>
      </c>
      <c r="H1922" s="1" t="s">
        <v>20</v>
      </c>
      <c r="I1922" s="2">
        <v>45095</v>
      </c>
      <c r="J1922">
        <v>4303</v>
      </c>
      <c r="K1922" s="2">
        <v>45861</v>
      </c>
      <c r="L1922">
        <v>4268</v>
      </c>
      <c r="M1922">
        <v>8571</v>
      </c>
      <c r="N1922">
        <v>0</v>
      </c>
    </row>
    <row r="1923" spans="1:14" x14ac:dyDescent="0.3">
      <c r="A1923" s="1" t="s">
        <v>1968</v>
      </c>
      <c r="B1923" s="1" t="s">
        <v>61</v>
      </c>
      <c r="C1923">
        <v>52</v>
      </c>
      <c r="D1923" s="1" t="s">
        <v>23</v>
      </c>
      <c r="E1923" s="1" t="s">
        <v>17</v>
      </c>
      <c r="F1923" s="1" t="s">
        <v>18</v>
      </c>
      <c r="G1923" s="1" t="s">
        <v>19</v>
      </c>
      <c r="H1923" s="1" t="s">
        <v>20</v>
      </c>
      <c r="I1923" s="2">
        <v>45716</v>
      </c>
      <c r="J1923">
        <v>18486</v>
      </c>
      <c r="K1923" s="2">
        <v>45863</v>
      </c>
      <c r="L1923">
        <v>24697</v>
      </c>
      <c r="M1923">
        <v>43183</v>
      </c>
      <c r="N1923">
        <v>0</v>
      </c>
    </row>
    <row r="1924" spans="1:14" x14ac:dyDescent="0.3">
      <c r="A1924" s="1" t="s">
        <v>1969</v>
      </c>
      <c r="B1924" s="1" t="s">
        <v>59</v>
      </c>
      <c r="C1924">
        <v>69</v>
      </c>
      <c r="D1924" s="1" t="s">
        <v>23</v>
      </c>
      <c r="E1924" s="1" t="s">
        <v>35</v>
      </c>
      <c r="F1924" s="1" t="s">
        <v>25</v>
      </c>
      <c r="G1924" s="1" t="s">
        <v>19</v>
      </c>
      <c r="H1924" s="1" t="s">
        <v>20</v>
      </c>
      <c r="I1924" s="2">
        <v>44294</v>
      </c>
      <c r="J1924">
        <v>30319</v>
      </c>
      <c r="K1924" s="2">
        <v>45711</v>
      </c>
      <c r="L1924">
        <v>-4152</v>
      </c>
      <c r="M1924">
        <v>26167</v>
      </c>
      <c r="N1924">
        <v>0</v>
      </c>
    </row>
    <row r="1925" spans="1:14" x14ac:dyDescent="0.3">
      <c r="A1925" s="1" t="s">
        <v>1970</v>
      </c>
      <c r="B1925" s="1" t="s">
        <v>79</v>
      </c>
      <c r="C1925">
        <v>29</v>
      </c>
      <c r="D1925" s="1" t="s">
        <v>16</v>
      </c>
      <c r="E1925" s="1" t="s">
        <v>24</v>
      </c>
      <c r="F1925" s="1" t="s">
        <v>18</v>
      </c>
      <c r="G1925" s="1" t="s">
        <v>19</v>
      </c>
      <c r="H1925" s="1" t="s">
        <v>20</v>
      </c>
      <c r="I1925" s="2">
        <v>45181</v>
      </c>
      <c r="J1925">
        <v>2963</v>
      </c>
      <c r="K1925" s="2">
        <v>45829</v>
      </c>
      <c r="L1925">
        <v>27000</v>
      </c>
      <c r="M1925">
        <v>29963</v>
      </c>
      <c r="N1925">
        <v>0</v>
      </c>
    </row>
    <row r="1926" spans="1:14" x14ac:dyDescent="0.3">
      <c r="A1926" s="1" t="s">
        <v>1971</v>
      </c>
      <c r="B1926" s="1" t="s">
        <v>59</v>
      </c>
      <c r="C1926">
        <v>24</v>
      </c>
      <c r="D1926" s="1" t="s">
        <v>23</v>
      </c>
      <c r="E1926" s="1" t="s">
        <v>35</v>
      </c>
      <c r="F1926" s="1" t="s">
        <v>25</v>
      </c>
      <c r="G1926" s="1" t="s">
        <v>19</v>
      </c>
      <c r="H1926" s="1" t="s">
        <v>20</v>
      </c>
      <c r="I1926" s="2">
        <v>45136</v>
      </c>
      <c r="J1926">
        <v>57550</v>
      </c>
      <c r="K1926" s="2">
        <v>45841</v>
      </c>
      <c r="L1926">
        <v>10119</v>
      </c>
      <c r="M1926">
        <v>67669</v>
      </c>
      <c r="N1926">
        <v>0</v>
      </c>
    </row>
    <row r="1927" spans="1:14" x14ac:dyDescent="0.3">
      <c r="A1927" s="1" t="s">
        <v>1972</v>
      </c>
      <c r="B1927" s="1" t="s">
        <v>52</v>
      </c>
      <c r="C1927">
        <v>46</v>
      </c>
      <c r="D1927" s="1" t="s">
        <v>23</v>
      </c>
      <c r="E1927" s="1" t="s">
        <v>38</v>
      </c>
      <c r="F1927" s="1" t="s">
        <v>25</v>
      </c>
      <c r="G1927" s="1" t="s">
        <v>19</v>
      </c>
      <c r="H1927" s="1" t="s">
        <v>20</v>
      </c>
      <c r="I1927" s="2">
        <v>45301</v>
      </c>
      <c r="J1927">
        <v>17231</v>
      </c>
      <c r="K1927" s="2">
        <v>45869</v>
      </c>
      <c r="L1927">
        <v>17185</v>
      </c>
      <c r="M1927">
        <v>34416</v>
      </c>
      <c r="N1927">
        <v>0</v>
      </c>
    </row>
    <row r="1928" spans="1:14" x14ac:dyDescent="0.3">
      <c r="A1928" s="1" t="s">
        <v>1973</v>
      </c>
      <c r="B1928" s="1" t="s">
        <v>27</v>
      </c>
      <c r="C1928">
        <v>28</v>
      </c>
      <c r="D1928" s="1" t="s">
        <v>16</v>
      </c>
      <c r="E1928" s="1" t="s">
        <v>38</v>
      </c>
      <c r="F1928" s="1" t="s">
        <v>18</v>
      </c>
      <c r="G1928" s="1" t="s">
        <v>19</v>
      </c>
      <c r="H1928" s="1" t="s">
        <v>20</v>
      </c>
      <c r="I1928" s="2">
        <v>45591</v>
      </c>
      <c r="J1928">
        <v>31287</v>
      </c>
      <c r="K1928" s="2">
        <v>45856</v>
      </c>
      <c r="L1928">
        <v>17043</v>
      </c>
      <c r="M1928">
        <v>48330</v>
      </c>
      <c r="N1928">
        <v>0</v>
      </c>
    </row>
    <row r="1929" spans="1:14" x14ac:dyDescent="0.3">
      <c r="A1929" s="1" t="s">
        <v>1974</v>
      </c>
      <c r="B1929" s="1" t="s">
        <v>64</v>
      </c>
      <c r="C1929">
        <v>50</v>
      </c>
      <c r="D1929" s="1" t="s">
        <v>23</v>
      </c>
      <c r="E1929" s="1" t="s">
        <v>24</v>
      </c>
      <c r="F1929" s="1" t="s">
        <v>25</v>
      </c>
      <c r="G1929" s="1" t="s">
        <v>19</v>
      </c>
      <c r="H1929" s="1" t="s">
        <v>20</v>
      </c>
      <c r="I1929" s="2">
        <v>45411</v>
      </c>
      <c r="J1929">
        <v>3718</v>
      </c>
      <c r="K1929" s="2">
        <v>45869</v>
      </c>
      <c r="L1929">
        <v>22011</v>
      </c>
      <c r="M1929">
        <v>25729</v>
      </c>
      <c r="N1929">
        <v>0</v>
      </c>
    </row>
    <row r="1930" spans="1:14" x14ac:dyDescent="0.3">
      <c r="A1930" s="1" t="s">
        <v>1975</v>
      </c>
      <c r="B1930" s="1" t="s">
        <v>64</v>
      </c>
      <c r="C1930">
        <v>23</v>
      </c>
      <c r="D1930" s="1" t="s">
        <v>16</v>
      </c>
      <c r="E1930" s="1" t="s">
        <v>17</v>
      </c>
      <c r="F1930" s="1" t="s">
        <v>18</v>
      </c>
      <c r="G1930" s="1" t="s">
        <v>19</v>
      </c>
      <c r="H1930" s="1" t="s">
        <v>20</v>
      </c>
      <c r="I1930" s="2">
        <v>45519</v>
      </c>
      <c r="J1930">
        <v>26439</v>
      </c>
      <c r="K1930" s="2">
        <v>45852</v>
      </c>
      <c r="L1930">
        <v>8828</v>
      </c>
      <c r="M1930">
        <v>35267</v>
      </c>
      <c r="N1930">
        <v>0</v>
      </c>
    </row>
    <row r="1931" spans="1:14" x14ac:dyDescent="0.3">
      <c r="A1931" s="1" t="s">
        <v>1976</v>
      </c>
      <c r="B1931" s="1" t="s">
        <v>27</v>
      </c>
      <c r="C1931">
        <v>64</v>
      </c>
      <c r="D1931" s="1" t="s">
        <v>16</v>
      </c>
      <c r="E1931" s="1" t="s">
        <v>24</v>
      </c>
      <c r="F1931" s="1" t="s">
        <v>18</v>
      </c>
      <c r="G1931" s="1" t="s">
        <v>19</v>
      </c>
      <c r="H1931" s="1" t="s">
        <v>20</v>
      </c>
      <c r="I1931" s="2">
        <v>44680</v>
      </c>
      <c r="J1931">
        <v>2580</v>
      </c>
      <c r="K1931" s="2">
        <v>45862</v>
      </c>
      <c r="L1931">
        <v>4809</v>
      </c>
      <c r="M1931">
        <v>7389</v>
      </c>
      <c r="N1931">
        <v>0</v>
      </c>
    </row>
    <row r="1932" spans="1:14" x14ac:dyDescent="0.3">
      <c r="A1932" s="1" t="s">
        <v>1977</v>
      </c>
      <c r="B1932" s="1" t="s">
        <v>40</v>
      </c>
      <c r="C1932">
        <v>32</v>
      </c>
      <c r="D1932" s="1" t="s">
        <v>16</v>
      </c>
      <c r="E1932" s="1" t="s">
        <v>24</v>
      </c>
      <c r="F1932" s="1" t="s">
        <v>25</v>
      </c>
      <c r="G1932" s="1" t="s">
        <v>19</v>
      </c>
      <c r="H1932" s="1" t="s">
        <v>20</v>
      </c>
      <c r="I1932" s="2">
        <v>44845</v>
      </c>
      <c r="J1932">
        <v>5176</v>
      </c>
      <c r="K1932" s="2">
        <v>45847</v>
      </c>
      <c r="L1932">
        <v>21340</v>
      </c>
      <c r="M1932">
        <v>26516</v>
      </c>
      <c r="N1932">
        <v>0</v>
      </c>
    </row>
    <row r="1933" spans="1:14" x14ac:dyDescent="0.3">
      <c r="A1933" s="1" t="s">
        <v>1978</v>
      </c>
      <c r="B1933" s="1" t="s">
        <v>79</v>
      </c>
      <c r="C1933">
        <v>49</v>
      </c>
      <c r="D1933" s="1" t="s">
        <v>16</v>
      </c>
      <c r="E1933" s="1" t="s">
        <v>17</v>
      </c>
      <c r="F1933" s="1" t="s">
        <v>25</v>
      </c>
      <c r="G1933" s="1" t="s">
        <v>19</v>
      </c>
      <c r="H1933" s="1" t="s">
        <v>20</v>
      </c>
      <c r="I1933" s="2">
        <v>45245</v>
      </c>
      <c r="J1933">
        <v>17385</v>
      </c>
      <c r="K1933" s="2">
        <v>45853</v>
      </c>
      <c r="L1933">
        <v>-3037</v>
      </c>
      <c r="M1933">
        <v>14348</v>
      </c>
      <c r="N1933">
        <v>0</v>
      </c>
    </row>
    <row r="1934" spans="1:14" x14ac:dyDescent="0.3">
      <c r="A1934" s="1" t="s">
        <v>1979</v>
      </c>
      <c r="B1934" s="1" t="s">
        <v>69</v>
      </c>
      <c r="C1934">
        <v>68</v>
      </c>
      <c r="D1934" s="1" t="s">
        <v>16</v>
      </c>
      <c r="E1934" s="1" t="s">
        <v>24</v>
      </c>
      <c r="F1934" s="1" t="s">
        <v>18</v>
      </c>
      <c r="G1934" s="1" t="s">
        <v>41</v>
      </c>
      <c r="H1934" s="1" t="s">
        <v>20</v>
      </c>
      <c r="I1934" s="2">
        <v>45122</v>
      </c>
      <c r="J1934">
        <v>10138</v>
      </c>
      <c r="K1934" s="2">
        <v>45842</v>
      </c>
      <c r="L1934">
        <v>11187</v>
      </c>
      <c r="M1934">
        <v>21325</v>
      </c>
      <c r="N1934">
        <v>0</v>
      </c>
    </row>
    <row r="1935" spans="1:14" x14ac:dyDescent="0.3">
      <c r="A1935" s="1" t="s">
        <v>1980</v>
      </c>
      <c r="B1935" s="1" t="s">
        <v>64</v>
      </c>
      <c r="C1935">
        <v>28</v>
      </c>
      <c r="D1935" s="1" t="s">
        <v>16</v>
      </c>
      <c r="E1935" s="1" t="s">
        <v>24</v>
      </c>
      <c r="F1935" s="1" t="s">
        <v>18</v>
      </c>
      <c r="G1935" s="1" t="s">
        <v>19</v>
      </c>
      <c r="H1935" s="1" t="s">
        <v>20</v>
      </c>
      <c r="I1935" s="2">
        <v>45804</v>
      </c>
      <c r="J1935">
        <v>13732</v>
      </c>
      <c r="K1935" s="2">
        <v>45867</v>
      </c>
      <c r="L1935">
        <v>32825</v>
      </c>
      <c r="M1935">
        <v>46557</v>
      </c>
      <c r="N1935">
        <v>0</v>
      </c>
    </row>
    <row r="1936" spans="1:14" x14ac:dyDescent="0.3">
      <c r="A1936" s="1" t="s">
        <v>1981</v>
      </c>
      <c r="B1936" s="1" t="s">
        <v>27</v>
      </c>
      <c r="C1936">
        <v>40</v>
      </c>
      <c r="D1936" s="1" t="s">
        <v>23</v>
      </c>
      <c r="E1936" s="1" t="s">
        <v>24</v>
      </c>
      <c r="F1936" s="1" t="s">
        <v>18</v>
      </c>
      <c r="G1936" s="1" t="s">
        <v>19</v>
      </c>
      <c r="H1936" s="1" t="s">
        <v>20</v>
      </c>
      <c r="I1936" s="2">
        <v>44509</v>
      </c>
      <c r="J1936">
        <v>91802</v>
      </c>
      <c r="K1936" s="2">
        <v>45777</v>
      </c>
      <c r="L1936">
        <v>11586</v>
      </c>
      <c r="M1936">
        <v>103388</v>
      </c>
      <c r="N1936">
        <v>0</v>
      </c>
    </row>
    <row r="1937" spans="1:14" x14ac:dyDescent="0.3">
      <c r="A1937" s="1" t="s">
        <v>1982</v>
      </c>
      <c r="B1937" s="1" t="s">
        <v>48</v>
      </c>
      <c r="C1937">
        <v>43</v>
      </c>
      <c r="D1937" s="1" t="s">
        <v>16</v>
      </c>
      <c r="E1937" s="1" t="s">
        <v>24</v>
      </c>
      <c r="F1937" s="1" t="s">
        <v>25</v>
      </c>
      <c r="G1937" s="1" t="s">
        <v>19</v>
      </c>
      <c r="H1937" s="1" t="s">
        <v>20</v>
      </c>
      <c r="I1937" s="2">
        <v>44784</v>
      </c>
      <c r="J1937">
        <v>13518</v>
      </c>
      <c r="K1937" s="2">
        <v>45833</v>
      </c>
      <c r="L1937">
        <v>27145</v>
      </c>
      <c r="M1937">
        <v>40663</v>
      </c>
      <c r="N1937">
        <v>0</v>
      </c>
    </row>
    <row r="1938" spans="1:14" x14ac:dyDescent="0.3">
      <c r="A1938" s="1" t="s">
        <v>1983</v>
      </c>
      <c r="B1938" s="1" t="s">
        <v>32</v>
      </c>
      <c r="C1938">
        <v>51</v>
      </c>
      <c r="D1938" s="1" t="s">
        <v>23</v>
      </c>
      <c r="E1938" s="1" t="s">
        <v>17</v>
      </c>
      <c r="F1938" s="1" t="s">
        <v>18</v>
      </c>
      <c r="G1938" s="1" t="s">
        <v>19</v>
      </c>
      <c r="H1938" s="1" t="s">
        <v>20</v>
      </c>
      <c r="I1938" s="2">
        <v>45155</v>
      </c>
      <c r="J1938">
        <v>27165</v>
      </c>
      <c r="K1938" s="2">
        <v>45858</v>
      </c>
      <c r="L1938">
        <v>1853</v>
      </c>
      <c r="M1938">
        <v>29018</v>
      </c>
      <c r="N1938">
        <v>0</v>
      </c>
    </row>
    <row r="1939" spans="1:14" x14ac:dyDescent="0.3">
      <c r="A1939" s="1" t="s">
        <v>1984</v>
      </c>
      <c r="B1939" s="1" t="s">
        <v>56</v>
      </c>
      <c r="C1939">
        <v>63</v>
      </c>
      <c r="D1939" s="1" t="s">
        <v>16</v>
      </c>
      <c r="E1939" s="1" t="s">
        <v>35</v>
      </c>
      <c r="F1939" s="1" t="s">
        <v>18</v>
      </c>
      <c r="G1939" s="1" t="s">
        <v>19</v>
      </c>
      <c r="H1939" s="1" t="s">
        <v>20</v>
      </c>
      <c r="I1939" s="2">
        <v>45649</v>
      </c>
      <c r="J1939">
        <v>12497</v>
      </c>
      <c r="K1939" s="2">
        <v>45842</v>
      </c>
      <c r="L1939">
        <v>10163</v>
      </c>
      <c r="M1939">
        <v>22660</v>
      </c>
      <c r="N1939">
        <v>0</v>
      </c>
    </row>
    <row r="1940" spans="1:14" x14ac:dyDescent="0.3">
      <c r="A1940" s="1" t="s">
        <v>1985</v>
      </c>
      <c r="B1940" s="1" t="s">
        <v>61</v>
      </c>
      <c r="C1940">
        <v>51</v>
      </c>
      <c r="D1940" s="1" t="s">
        <v>23</v>
      </c>
      <c r="E1940" s="1" t="s">
        <v>17</v>
      </c>
      <c r="F1940" s="1" t="s">
        <v>18</v>
      </c>
      <c r="G1940" s="1" t="s">
        <v>19</v>
      </c>
      <c r="H1940" s="1" t="s">
        <v>20</v>
      </c>
      <c r="I1940" s="2">
        <v>45751</v>
      </c>
      <c r="J1940">
        <v>12132</v>
      </c>
      <c r="K1940" s="2">
        <v>45861</v>
      </c>
      <c r="L1940">
        <v>-730</v>
      </c>
      <c r="M1940">
        <v>11402</v>
      </c>
      <c r="N1940">
        <v>0</v>
      </c>
    </row>
    <row r="1941" spans="1:14" x14ac:dyDescent="0.3">
      <c r="A1941" s="1" t="s">
        <v>1986</v>
      </c>
      <c r="B1941" s="1" t="s">
        <v>52</v>
      </c>
      <c r="C1941">
        <v>46</v>
      </c>
      <c r="D1941" s="1" t="s">
        <v>16</v>
      </c>
      <c r="E1941" s="1" t="s">
        <v>24</v>
      </c>
      <c r="F1941" s="1" t="s">
        <v>18</v>
      </c>
      <c r="G1941" s="1" t="s">
        <v>19</v>
      </c>
      <c r="H1941" s="1" t="s">
        <v>20</v>
      </c>
      <c r="I1941" s="2">
        <v>44759</v>
      </c>
      <c r="J1941">
        <v>5023</v>
      </c>
      <c r="K1941" s="2">
        <v>45845</v>
      </c>
      <c r="L1941">
        <v>6551</v>
      </c>
      <c r="M1941">
        <v>11574</v>
      </c>
      <c r="N1941">
        <v>0</v>
      </c>
    </row>
    <row r="1942" spans="1:14" x14ac:dyDescent="0.3">
      <c r="A1942" s="1" t="s">
        <v>1987</v>
      </c>
      <c r="B1942" s="1" t="s">
        <v>40</v>
      </c>
      <c r="C1942">
        <v>21</v>
      </c>
      <c r="D1942" s="1" t="s">
        <v>23</v>
      </c>
      <c r="E1942" s="1" t="s">
        <v>24</v>
      </c>
      <c r="F1942" s="1" t="s">
        <v>18</v>
      </c>
      <c r="G1942" s="1" t="s">
        <v>41</v>
      </c>
      <c r="H1942" s="1" t="s">
        <v>20</v>
      </c>
      <c r="I1942" s="2">
        <v>44309</v>
      </c>
      <c r="J1942">
        <v>19305</v>
      </c>
      <c r="K1942" s="2">
        <v>45836</v>
      </c>
      <c r="L1942">
        <v>3436</v>
      </c>
      <c r="M1942">
        <v>22741</v>
      </c>
      <c r="N1942">
        <v>0</v>
      </c>
    </row>
    <row r="1943" spans="1:14" x14ac:dyDescent="0.3">
      <c r="A1943" s="1" t="s">
        <v>1988</v>
      </c>
      <c r="B1943" s="1" t="s">
        <v>37</v>
      </c>
      <c r="C1943">
        <v>34</v>
      </c>
      <c r="D1943" s="1" t="s">
        <v>16</v>
      </c>
      <c r="E1943" s="1" t="s">
        <v>38</v>
      </c>
      <c r="F1943" s="1" t="s">
        <v>18</v>
      </c>
      <c r="G1943" s="1" t="s">
        <v>19</v>
      </c>
      <c r="H1943" s="1" t="s">
        <v>20</v>
      </c>
      <c r="I1943" s="2">
        <v>44902</v>
      </c>
      <c r="J1943">
        <v>168633</v>
      </c>
      <c r="K1943" s="2">
        <v>45773</v>
      </c>
      <c r="L1943">
        <v>2036</v>
      </c>
      <c r="M1943">
        <v>170669</v>
      </c>
      <c r="N1943">
        <v>0</v>
      </c>
    </row>
    <row r="1944" spans="1:14" x14ac:dyDescent="0.3">
      <c r="A1944" s="1" t="s">
        <v>1989</v>
      </c>
      <c r="B1944" s="1" t="s">
        <v>87</v>
      </c>
      <c r="C1944">
        <v>52</v>
      </c>
      <c r="D1944" s="1" t="s">
        <v>23</v>
      </c>
      <c r="E1944" s="1" t="s">
        <v>17</v>
      </c>
      <c r="F1944" s="1" t="s">
        <v>18</v>
      </c>
      <c r="G1944" s="1" t="s">
        <v>19</v>
      </c>
      <c r="H1944" s="1" t="s">
        <v>20</v>
      </c>
      <c r="I1944" s="2">
        <v>44856</v>
      </c>
      <c r="J1944">
        <v>14587</v>
      </c>
      <c r="K1944" s="2">
        <v>45802</v>
      </c>
      <c r="L1944">
        <v>2172</v>
      </c>
      <c r="M1944">
        <v>16759</v>
      </c>
      <c r="N1944">
        <v>0</v>
      </c>
    </row>
    <row r="1945" spans="1:14" x14ac:dyDescent="0.3">
      <c r="A1945" s="1" t="s">
        <v>1990</v>
      </c>
      <c r="B1945" s="1" t="s">
        <v>37</v>
      </c>
      <c r="C1945">
        <v>30</v>
      </c>
      <c r="D1945" s="1" t="s">
        <v>16</v>
      </c>
      <c r="E1945" s="1" t="s">
        <v>24</v>
      </c>
      <c r="F1945" s="1" t="s">
        <v>18</v>
      </c>
      <c r="G1945" s="1" t="s">
        <v>41</v>
      </c>
      <c r="H1945" s="1" t="s">
        <v>20</v>
      </c>
      <c r="I1945" s="2">
        <v>45847</v>
      </c>
      <c r="J1945">
        <v>10229</v>
      </c>
      <c r="K1945" s="2">
        <v>45867</v>
      </c>
      <c r="L1945">
        <v>14795</v>
      </c>
      <c r="M1945">
        <v>25024</v>
      </c>
      <c r="N1945">
        <v>0</v>
      </c>
    </row>
    <row r="1946" spans="1:14" x14ac:dyDescent="0.3">
      <c r="A1946" s="1" t="s">
        <v>1991</v>
      </c>
      <c r="B1946" s="1" t="s">
        <v>59</v>
      </c>
      <c r="C1946">
        <v>58</v>
      </c>
      <c r="D1946" s="1" t="s">
        <v>16</v>
      </c>
      <c r="E1946" s="1" t="s">
        <v>24</v>
      </c>
      <c r="F1946" s="1" t="s">
        <v>25</v>
      </c>
      <c r="G1946" s="1" t="s">
        <v>19</v>
      </c>
      <c r="H1946" s="1" t="s">
        <v>20</v>
      </c>
      <c r="I1946" s="2">
        <v>44918</v>
      </c>
      <c r="J1946">
        <v>41779</v>
      </c>
      <c r="K1946" s="2">
        <v>45792</v>
      </c>
      <c r="L1946">
        <v>7734</v>
      </c>
      <c r="M1946">
        <v>49513</v>
      </c>
      <c r="N1946">
        <v>0</v>
      </c>
    </row>
    <row r="1947" spans="1:14" x14ac:dyDescent="0.3">
      <c r="A1947" s="1" t="s">
        <v>1992</v>
      </c>
      <c r="B1947" s="1" t="s">
        <v>79</v>
      </c>
      <c r="C1947">
        <v>56</v>
      </c>
      <c r="D1947" s="1" t="s">
        <v>23</v>
      </c>
      <c r="E1947" s="1" t="s">
        <v>17</v>
      </c>
      <c r="F1947" s="1" t="s">
        <v>18</v>
      </c>
      <c r="G1947" s="1" t="s">
        <v>19</v>
      </c>
      <c r="H1947" s="1" t="s">
        <v>20</v>
      </c>
      <c r="I1947" s="2">
        <v>44708</v>
      </c>
      <c r="J1947">
        <v>37153</v>
      </c>
      <c r="K1947" s="2">
        <v>45834</v>
      </c>
      <c r="L1947">
        <v>14743</v>
      </c>
      <c r="M1947">
        <v>51896</v>
      </c>
      <c r="N1947">
        <v>0</v>
      </c>
    </row>
    <row r="1948" spans="1:14" x14ac:dyDescent="0.3">
      <c r="A1948" s="1" t="s">
        <v>1993</v>
      </c>
      <c r="B1948" s="1" t="s">
        <v>79</v>
      </c>
      <c r="C1948">
        <v>32</v>
      </c>
      <c r="D1948" s="1" t="s">
        <v>16</v>
      </c>
      <c r="E1948" s="1" t="s">
        <v>24</v>
      </c>
      <c r="F1948" s="1" t="s">
        <v>25</v>
      </c>
      <c r="G1948" s="1" t="s">
        <v>19</v>
      </c>
      <c r="H1948" s="1" t="s">
        <v>20</v>
      </c>
      <c r="I1948" s="2">
        <v>44808</v>
      </c>
      <c r="J1948">
        <v>20724</v>
      </c>
      <c r="K1948" s="2">
        <v>45864</v>
      </c>
      <c r="L1948">
        <v>-49</v>
      </c>
      <c r="M1948">
        <v>20675</v>
      </c>
      <c r="N1948">
        <v>0</v>
      </c>
    </row>
    <row r="1949" spans="1:14" x14ac:dyDescent="0.3">
      <c r="A1949" s="1" t="s">
        <v>1994</v>
      </c>
      <c r="B1949" s="1" t="s">
        <v>37</v>
      </c>
      <c r="C1949">
        <v>46</v>
      </c>
      <c r="D1949" s="1" t="s">
        <v>16</v>
      </c>
      <c r="E1949" s="1" t="s">
        <v>35</v>
      </c>
      <c r="F1949" s="1" t="s">
        <v>25</v>
      </c>
      <c r="G1949" s="1" t="s">
        <v>19</v>
      </c>
      <c r="H1949" s="1" t="s">
        <v>20</v>
      </c>
      <c r="I1949" s="2">
        <v>44861</v>
      </c>
      <c r="J1949">
        <v>9815</v>
      </c>
      <c r="K1949" s="2">
        <v>45863</v>
      </c>
      <c r="L1949">
        <v>17056</v>
      </c>
      <c r="M1949">
        <v>26871</v>
      </c>
      <c r="N1949">
        <v>0</v>
      </c>
    </row>
    <row r="1950" spans="1:14" x14ac:dyDescent="0.3">
      <c r="A1950" s="1" t="s">
        <v>1995</v>
      </c>
      <c r="B1950" s="1" t="s">
        <v>61</v>
      </c>
      <c r="C1950">
        <v>46</v>
      </c>
      <c r="D1950" s="1" t="s">
        <v>16</v>
      </c>
      <c r="E1950" s="1" t="s">
        <v>35</v>
      </c>
      <c r="F1950" s="1" t="s">
        <v>25</v>
      </c>
      <c r="G1950" s="1" t="s">
        <v>19</v>
      </c>
      <c r="H1950" s="1" t="s">
        <v>20</v>
      </c>
      <c r="I1950" s="2">
        <v>45571</v>
      </c>
      <c r="J1950">
        <v>41958</v>
      </c>
      <c r="K1950" s="2">
        <v>45847</v>
      </c>
      <c r="L1950">
        <v>-172</v>
      </c>
      <c r="M1950">
        <v>41786</v>
      </c>
      <c r="N1950">
        <v>0</v>
      </c>
    </row>
    <row r="1951" spans="1:14" x14ac:dyDescent="0.3">
      <c r="A1951" s="1" t="s">
        <v>1996</v>
      </c>
      <c r="B1951" s="1" t="s">
        <v>69</v>
      </c>
      <c r="C1951">
        <v>28</v>
      </c>
      <c r="D1951" s="1" t="s">
        <v>23</v>
      </c>
      <c r="E1951" s="1" t="s">
        <v>17</v>
      </c>
      <c r="F1951" s="1" t="s">
        <v>25</v>
      </c>
      <c r="G1951" s="1" t="s">
        <v>19</v>
      </c>
      <c r="H1951" s="1" t="s">
        <v>20</v>
      </c>
      <c r="I1951" s="2">
        <v>44332</v>
      </c>
      <c r="J1951">
        <v>15077</v>
      </c>
      <c r="K1951" s="2">
        <v>45662</v>
      </c>
      <c r="L1951">
        <v>10597</v>
      </c>
      <c r="M1951">
        <v>25674</v>
      </c>
      <c r="N1951">
        <v>1</v>
      </c>
    </row>
    <row r="1952" spans="1:14" x14ac:dyDescent="0.3">
      <c r="A1952" s="1" t="s">
        <v>1997</v>
      </c>
      <c r="B1952" s="1" t="s">
        <v>56</v>
      </c>
      <c r="C1952">
        <v>69</v>
      </c>
      <c r="D1952" s="1" t="s">
        <v>23</v>
      </c>
      <c r="E1952" s="1" t="s">
        <v>17</v>
      </c>
      <c r="F1952" s="1" t="s">
        <v>18</v>
      </c>
      <c r="G1952" s="1" t="s">
        <v>19</v>
      </c>
      <c r="H1952" s="1" t="s">
        <v>20</v>
      </c>
      <c r="I1952" s="2">
        <v>44726</v>
      </c>
      <c r="J1952">
        <v>33315</v>
      </c>
      <c r="K1952" s="2">
        <v>45758</v>
      </c>
      <c r="L1952">
        <v>-9854</v>
      </c>
      <c r="M1952">
        <v>23461</v>
      </c>
      <c r="N1952">
        <v>0</v>
      </c>
    </row>
    <row r="1953" spans="1:14" x14ac:dyDescent="0.3">
      <c r="A1953" s="1" t="s">
        <v>1998</v>
      </c>
      <c r="B1953" s="1" t="s">
        <v>64</v>
      </c>
      <c r="C1953">
        <v>49</v>
      </c>
      <c r="D1953" s="1" t="s">
        <v>23</v>
      </c>
      <c r="E1953" s="1" t="s">
        <v>24</v>
      </c>
      <c r="F1953" s="1" t="s">
        <v>18</v>
      </c>
      <c r="G1953" s="1" t="s">
        <v>19</v>
      </c>
      <c r="H1953" s="1" t="s">
        <v>20</v>
      </c>
      <c r="I1953" s="2">
        <v>45813</v>
      </c>
      <c r="J1953">
        <v>5888</v>
      </c>
      <c r="K1953" s="2">
        <v>45867</v>
      </c>
      <c r="L1953">
        <v>20047</v>
      </c>
      <c r="M1953">
        <v>25935</v>
      </c>
      <c r="N1953">
        <v>0</v>
      </c>
    </row>
    <row r="1954" spans="1:14" x14ac:dyDescent="0.3">
      <c r="A1954" s="1" t="s">
        <v>1999</v>
      </c>
      <c r="B1954" s="1" t="s">
        <v>43</v>
      </c>
      <c r="C1954">
        <v>19</v>
      </c>
      <c r="D1954" s="1" t="s">
        <v>23</v>
      </c>
      <c r="E1954" s="1" t="s">
        <v>24</v>
      </c>
      <c r="F1954" s="1" t="s">
        <v>18</v>
      </c>
      <c r="G1954" s="1" t="s">
        <v>19</v>
      </c>
      <c r="H1954" s="1" t="s">
        <v>20</v>
      </c>
      <c r="I1954" s="2">
        <v>44453</v>
      </c>
      <c r="J1954">
        <v>7430</v>
      </c>
      <c r="K1954" s="2">
        <v>45840</v>
      </c>
      <c r="L1954">
        <v>-4153</v>
      </c>
      <c r="M1954">
        <v>3277</v>
      </c>
      <c r="N1954">
        <v>0</v>
      </c>
    </row>
    <row r="1955" spans="1:14" x14ac:dyDescent="0.3">
      <c r="A1955" s="1" t="s">
        <v>2000</v>
      </c>
      <c r="B1955" s="1" t="s">
        <v>29</v>
      </c>
      <c r="C1955">
        <v>64</v>
      </c>
      <c r="D1955" s="1" t="s">
        <v>16</v>
      </c>
      <c r="E1955" s="1" t="s">
        <v>17</v>
      </c>
      <c r="F1955" s="1" t="s">
        <v>18</v>
      </c>
      <c r="G1955" s="1" t="s">
        <v>19</v>
      </c>
      <c r="H1955" s="1" t="s">
        <v>20</v>
      </c>
      <c r="I1955" s="2">
        <v>45439</v>
      </c>
      <c r="J1955">
        <v>14719</v>
      </c>
      <c r="K1955" s="2">
        <v>45869</v>
      </c>
      <c r="L1955">
        <v>2456</v>
      </c>
      <c r="M1955">
        <v>17175</v>
      </c>
      <c r="N1955">
        <v>0</v>
      </c>
    </row>
    <row r="1956" spans="1:14" x14ac:dyDescent="0.3">
      <c r="A1956" s="1" t="s">
        <v>2001</v>
      </c>
      <c r="B1956" s="1" t="s">
        <v>52</v>
      </c>
      <c r="C1956">
        <v>31</v>
      </c>
      <c r="D1956" s="1" t="s">
        <v>23</v>
      </c>
      <c r="E1956" s="1" t="s">
        <v>17</v>
      </c>
      <c r="F1956" s="1" t="s">
        <v>25</v>
      </c>
      <c r="G1956" s="1" t="s">
        <v>19</v>
      </c>
      <c r="H1956" s="1" t="s">
        <v>20</v>
      </c>
      <c r="I1956" s="2">
        <v>44793</v>
      </c>
      <c r="J1956">
        <v>3885</v>
      </c>
      <c r="K1956" s="2">
        <v>45826</v>
      </c>
      <c r="L1956">
        <v>20647</v>
      </c>
      <c r="M1956">
        <v>24532</v>
      </c>
      <c r="N1956">
        <v>0</v>
      </c>
    </row>
    <row r="1957" spans="1:14" x14ac:dyDescent="0.3">
      <c r="A1957" s="1" t="s">
        <v>2002</v>
      </c>
      <c r="B1957" s="1" t="s">
        <v>29</v>
      </c>
      <c r="C1957">
        <v>37</v>
      </c>
      <c r="D1957" s="1" t="s">
        <v>16</v>
      </c>
      <c r="E1957" s="1" t="s">
        <v>35</v>
      </c>
      <c r="F1957" s="1" t="s">
        <v>25</v>
      </c>
      <c r="G1957" s="1" t="s">
        <v>41</v>
      </c>
      <c r="H1957" s="1" t="s">
        <v>20</v>
      </c>
      <c r="I1957" s="2">
        <v>45170</v>
      </c>
      <c r="J1957">
        <v>9229</v>
      </c>
      <c r="K1957" s="2">
        <v>45832</v>
      </c>
      <c r="L1957">
        <v>2496</v>
      </c>
      <c r="M1957">
        <v>11725</v>
      </c>
      <c r="N1957">
        <v>0</v>
      </c>
    </row>
    <row r="1958" spans="1:14" x14ac:dyDescent="0.3">
      <c r="A1958" s="1" t="s">
        <v>2003</v>
      </c>
      <c r="B1958" s="1" t="s">
        <v>64</v>
      </c>
      <c r="C1958">
        <v>39</v>
      </c>
      <c r="D1958" s="1" t="s">
        <v>23</v>
      </c>
      <c r="E1958" s="1" t="s">
        <v>35</v>
      </c>
      <c r="F1958" s="1" t="s">
        <v>25</v>
      </c>
      <c r="G1958" s="1" t="s">
        <v>19</v>
      </c>
      <c r="H1958" s="1" t="s">
        <v>20</v>
      </c>
      <c r="I1958" s="2">
        <v>44363</v>
      </c>
      <c r="J1958">
        <v>3716</v>
      </c>
      <c r="K1958" s="2">
        <v>45850</v>
      </c>
      <c r="L1958">
        <v>13290</v>
      </c>
      <c r="M1958">
        <v>17006</v>
      </c>
      <c r="N1958">
        <v>0</v>
      </c>
    </row>
    <row r="1959" spans="1:14" x14ac:dyDescent="0.3">
      <c r="A1959" s="1" t="s">
        <v>2004</v>
      </c>
      <c r="B1959" s="1" t="s">
        <v>59</v>
      </c>
      <c r="C1959">
        <v>28</v>
      </c>
      <c r="D1959" s="1" t="s">
        <v>16</v>
      </c>
      <c r="E1959" s="1" t="s">
        <v>17</v>
      </c>
      <c r="F1959" s="1" t="s">
        <v>18</v>
      </c>
      <c r="G1959" s="1" t="s">
        <v>41</v>
      </c>
      <c r="H1959" s="1" t="s">
        <v>20</v>
      </c>
      <c r="I1959" s="2">
        <v>44709</v>
      </c>
      <c r="J1959">
        <v>2850</v>
      </c>
      <c r="K1959" s="2">
        <v>45794</v>
      </c>
      <c r="L1959">
        <v>17961</v>
      </c>
      <c r="M1959">
        <v>20811</v>
      </c>
      <c r="N1959">
        <v>0</v>
      </c>
    </row>
    <row r="1960" spans="1:14" x14ac:dyDescent="0.3">
      <c r="A1960" s="1" t="s">
        <v>2005</v>
      </c>
      <c r="B1960" s="1" t="s">
        <v>52</v>
      </c>
      <c r="C1960">
        <v>44</v>
      </c>
      <c r="D1960" s="1" t="s">
        <v>16</v>
      </c>
      <c r="E1960" s="1" t="s">
        <v>24</v>
      </c>
      <c r="F1960" s="1" t="s">
        <v>25</v>
      </c>
      <c r="G1960" s="1" t="s">
        <v>19</v>
      </c>
      <c r="H1960" s="1" t="s">
        <v>49</v>
      </c>
      <c r="I1960" s="2">
        <v>45034</v>
      </c>
      <c r="J1960">
        <v>152664</v>
      </c>
      <c r="K1960" s="2">
        <v>45861</v>
      </c>
      <c r="L1960">
        <v>29100</v>
      </c>
      <c r="M1960">
        <v>181764</v>
      </c>
      <c r="N1960">
        <v>0</v>
      </c>
    </row>
    <row r="1961" spans="1:14" x14ac:dyDescent="0.3">
      <c r="A1961" s="1" t="s">
        <v>2006</v>
      </c>
      <c r="B1961" s="1" t="s">
        <v>79</v>
      </c>
      <c r="C1961">
        <v>20</v>
      </c>
      <c r="D1961" s="1" t="s">
        <v>16</v>
      </c>
      <c r="E1961" s="1" t="s">
        <v>24</v>
      </c>
      <c r="F1961" s="1" t="s">
        <v>18</v>
      </c>
      <c r="G1961" s="1" t="s">
        <v>19</v>
      </c>
      <c r="H1961" s="1" t="s">
        <v>20</v>
      </c>
      <c r="I1961" s="2">
        <v>44584</v>
      </c>
      <c r="J1961">
        <v>7266</v>
      </c>
      <c r="K1961" s="2">
        <v>45829</v>
      </c>
      <c r="L1961">
        <v>8836</v>
      </c>
      <c r="M1961">
        <v>16102</v>
      </c>
      <c r="N1961">
        <v>0</v>
      </c>
    </row>
    <row r="1962" spans="1:14" x14ac:dyDescent="0.3">
      <c r="A1962" s="1" t="s">
        <v>2007</v>
      </c>
      <c r="B1962" s="1" t="s">
        <v>48</v>
      </c>
      <c r="C1962">
        <v>34</v>
      </c>
      <c r="D1962" s="1" t="s">
        <v>23</v>
      </c>
      <c r="E1962" s="1" t="s">
        <v>17</v>
      </c>
      <c r="F1962" s="1" t="s">
        <v>18</v>
      </c>
      <c r="G1962" s="1" t="s">
        <v>19</v>
      </c>
      <c r="H1962" s="1" t="s">
        <v>20</v>
      </c>
      <c r="I1962" s="2">
        <v>45103</v>
      </c>
      <c r="J1962">
        <v>7934</v>
      </c>
      <c r="K1962" s="2">
        <v>45830</v>
      </c>
      <c r="L1962">
        <v>-6168</v>
      </c>
      <c r="M1962">
        <v>1766</v>
      </c>
      <c r="N1962">
        <v>0</v>
      </c>
    </row>
    <row r="1963" spans="1:14" x14ac:dyDescent="0.3">
      <c r="A1963" s="1" t="s">
        <v>2008</v>
      </c>
      <c r="B1963" s="1" t="s">
        <v>56</v>
      </c>
      <c r="C1963">
        <v>61</v>
      </c>
      <c r="D1963" s="1" t="s">
        <v>16</v>
      </c>
      <c r="E1963" s="1" t="s">
        <v>24</v>
      </c>
      <c r="F1963" s="1" t="s">
        <v>18</v>
      </c>
      <c r="G1963" s="1" t="s">
        <v>19</v>
      </c>
      <c r="H1963" s="1" t="s">
        <v>20</v>
      </c>
      <c r="I1963" s="2">
        <v>44564</v>
      </c>
      <c r="J1963">
        <v>14476</v>
      </c>
      <c r="K1963" s="2">
        <v>45849</v>
      </c>
      <c r="L1963">
        <v>16488</v>
      </c>
      <c r="M1963">
        <v>30964</v>
      </c>
      <c r="N1963">
        <v>0</v>
      </c>
    </row>
    <row r="1964" spans="1:14" x14ac:dyDescent="0.3">
      <c r="A1964" s="1" t="s">
        <v>2009</v>
      </c>
      <c r="B1964" s="1" t="s">
        <v>87</v>
      </c>
      <c r="C1964">
        <v>45</v>
      </c>
      <c r="D1964" s="1" t="s">
        <v>23</v>
      </c>
      <c r="E1964" s="1" t="s">
        <v>24</v>
      </c>
      <c r="F1964" s="1" t="s">
        <v>25</v>
      </c>
      <c r="G1964" s="1" t="s">
        <v>41</v>
      </c>
      <c r="H1964" s="1" t="s">
        <v>20</v>
      </c>
      <c r="I1964" s="2">
        <v>45284</v>
      </c>
      <c r="J1964">
        <v>4621</v>
      </c>
      <c r="K1964" s="2">
        <v>45831</v>
      </c>
      <c r="L1964">
        <v>13498</v>
      </c>
      <c r="M1964">
        <v>18119</v>
      </c>
      <c r="N1964">
        <v>0</v>
      </c>
    </row>
    <row r="1965" spans="1:14" x14ac:dyDescent="0.3">
      <c r="A1965" s="1" t="s">
        <v>2010</v>
      </c>
      <c r="B1965" s="1" t="s">
        <v>32</v>
      </c>
      <c r="C1965">
        <v>46</v>
      </c>
      <c r="D1965" s="1" t="s">
        <v>23</v>
      </c>
      <c r="E1965" s="1" t="s">
        <v>38</v>
      </c>
      <c r="F1965" s="1" t="s">
        <v>18</v>
      </c>
      <c r="G1965" s="1" t="s">
        <v>19</v>
      </c>
      <c r="H1965" s="1" t="s">
        <v>20</v>
      </c>
      <c r="I1965" s="2">
        <v>45709</v>
      </c>
      <c r="J1965">
        <v>8090</v>
      </c>
      <c r="K1965" s="2">
        <v>45865</v>
      </c>
      <c r="L1965">
        <v>14716</v>
      </c>
      <c r="M1965">
        <v>22806</v>
      </c>
      <c r="N1965">
        <v>0</v>
      </c>
    </row>
    <row r="1966" spans="1:14" x14ac:dyDescent="0.3">
      <c r="A1966" s="1" t="s">
        <v>2011</v>
      </c>
      <c r="B1966" s="1" t="s">
        <v>59</v>
      </c>
      <c r="C1966">
        <v>38</v>
      </c>
      <c r="D1966" s="1" t="s">
        <v>23</v>
      </c>
      <c r="E1966" s="1" t="s">
        <v>38</v>
      </c>
      <c r="F1966" s="1" t="s">
        <v>25</v>
      </c>
      <c r="G1966" s="1" t="s">
        <v>19</v>
      </c>
      <c r="H1966" s="1" t="s">
        <v>49</v>
      </c>
      <c r="I1966" s="2">
        <v>44340</v>
      </c>
      <c r="J1966">
        <v>83651</v>
      </c>
      <c r="K1966" s="2">
        <v>45852</v>
      </c>
      <c r="L1966">
        <v>6023</v>
      </c>
      <c r="M1966">
        <v>89674</v>
      </c>
      <c r="N1966">
        <v>0</v>
      </c>
    </row>
    <row r="1967" spans="1:14" x14ac:dyDescent="0.3">
      <c r="A1967" s="1" t="s">
        <v>2012</v>
      </c>
      <c r="B1967" s="1" t="s">
        <v>52</v>
      </c>
      <c r="C1967">
        <v>64</v>
      </c>
      <c r="D1967" s="1" t="s">
        <v>16</v>
      </c>
      <c r="E1967" s="1" t="s">
        <v>24</v>
      </c>
      <c r="F1967" s="1" t="s">
        <v>25</v>
      </c>
      <c r="G1967" s="1" t="s">
        <v>19</v>
      </c>
      <c r="H1967" s="1" t="s">
        <v>20</v>
      </c>
      <c r="I1967" s="2">
        <v>44559</v>
      </c>
      <c r="J1967">
        <v>19113</v>
      </c>
      <c r="K1967" s="2">
        <v>45851</v>
      </c>
      <c r="L1967">
        <v>6055</v>
      </c>
      <c r="M1967">
        <v>25168</v>
      </c>
      <c r="N1967">
        <v>0</v>
      </c>
    </row>
    <row r="1968" spans="1:14" x14ac:dyDescent="0.3">
      <c r="A1968" s="1" t="s">
        <v>2013</v>
      </c>
      <c r="B1968" s="1" t="s">
        <v>34</v>
      </c>
      <c r="C1968">
        <v>33</v>
      </c>
      <c r="D1968" s="1" t="s">
        <v>23</v>
      </c>
      <c r="E1968" s="1" t="s">
        <v>38</v>
      </c>
      <c r="F1968" s="1" t="s">
        <v>25</v>
      </c>
      <c r="G1968" s="1" t="s">
        <v>19</v>
      </c>
      <c r="H1968" s="1" t="s">
        <v>20</v>
      </c>
      <c r="I1968" s="2">
        <v>45609</v>
      </c>
      <c r="J1968">
        <v>35814</v>
      </c>
      <c r="K1968" s="2">
        <v>45865</v>
      </c>
      <c r="L1968">
        <v>8484</v>
      </c>
      <c r="M1968">
        <v>44298</v>
      </c>
      <c r="N1968">
        <v>0</v>
      </c>
    </row>
    <row r="1969" spans="1:14" x14ac:dyDescent="0.3">
      <c r="A1969" s="1" t="s">
        <v>2014</v>
      </c>
      <c r="B1969" s="1" t="s">
        <v>69</v>
      </c>
      <c r="C1969">
        <v>54</v>
      </c>
      <c r="D1969" s="1" t="s">
        <v>16</v>
      </c>
      <c r="E1969" s="1" t="s">
        <v>24</v>
      </c>
      <c r="F1969" s="1" t="s">
        <v>18</v>
      </c>
      <c r="G1969" s="1" t="s">
        <v>19</v>
      </c>
      <c r="H1969" s="1" t="s">
        <v>20</v>
      </c>
      <c r="I1969" s="2">
        <v>45253</v>
      </c>
      <c r="J1969">
        <v>64447</v>
      </c>
      <c r="K1969" s="2">
        <v>45843</v>
      </c>
      <c r="L1969">
        <v>12018</v>
      </c>
      <c r="M1969">
        <v>76465</v>
      </c>
      <c r="N1969">
        <v>0</v>
      </c>
    </row>
    <row r="1970" spans="1:14" x14ac:dyDescent="0.3">
      <c r="A1970" s="1" t="s">
        <v>2015</v>
      </c>
      <c r="B1970" s="1" t="s">
        <v>64</v>
      </c>
      <c r="C1970">
        <v>37</v>
      </c>
      <c r="D1970" s="1" t="s">
        <v>23</v>
      </c>
      <c r="E1970" s="1" t="s">
        <v>24</v>
      </c>
      <c r="F1970" s="1" t="s">
        <v>25</v>
      </c>
      <c r="G1970" s="1" t="s">
        <v>19</v>
      </c>
      <c r="H1970" s="1" t="s">
        <v>20</v>
      </c>
      <c r="I1970" s="2">
        <v>44328</v>
      </c>
      <c r="J1970">
        <v>16492</v>
      </c>
      <c r="K1970" s="2">
        <v>45850</v>
      </c>
      <c r="L1970">
        <v>19518</v>
      </c>
      <c r="M1970">
        <v>36010</v>
      </c>
      <c r="N1970">
        <v>0</v>
      </c>
    </row>
    <row r="1971" spans="1:14" x14ac:dyDescent="0.3">
      <c r="A1971" s="1" t="s">
        <v>2016</v>
      </c>
      <c r="B1971" s="1" t="s">
        <v>52</v>
      </c>
      <c r="C1971">
        <v>23</v>
      </c>
      <c r="D1971" s="1" t="s">
        <v>16</v>
      </c>
      <c r="E1971" s="1" t="s">
        <v>24</v>
      </c>
      <c r="F1971" s="1" t="s">
        <v>25</v>
      </c>
      <c r="G1971" s="1" t="s">
        <v>19</v>
      </c>
      <c r="H1971" s="1" t="s">
        <v>20</v>
      </c>
      <c r="I1971" s="2">
        <v>45010</v>
      </c>
      <c r="J1971">
        <v>10708</v>
      </c>
      <c r="K1971" s="2">
        <v>45844</v>
      </c>
      <c r="L1971">
        <v>-10412</v>
      </c>
      <c r="M1971">
        <v>296</v>
      </c>
      <c r="N1971">
        <v>0</v>
      </c>
    </row>
    <row r="1972" spans="1:14" x14ac:dyDescent="0.3">
      <c r="A1972" s="1" t="s">
        <v>2017</v>
      </c>
      <c r="B1972" s="1" t="s">
        <v>22</v>
      </c>
      <c r="C1972">
        <v>36</v>
      </c>
      <c r="D1972" s="1" t="s">
        <v>23</v>
      </c>
      <c r="E1972" s="1" t="s">
        <v>17</v>
      </c>
      <c r="F1972" s="1" t="s">
        <v>18</v>
      </c>
      <c r="G1972" s="1" t="s">
        <v>19</v>
      </c>
      <c r="H1972" s="1" t="s">
        <v>20</v>
      </c>
      <c r="I1972" s="2">
        <v>44547</v>
      </c>
      <c r="J1972">
        <v>3185</v>
      </c>
      <c r="K1972" s="2">
        <v>45868</v>
      </c>
      <c r="L1972">
        <v>37762</v>
      </c>
      <c r="M1972">
        <v>40947</v>
      </c>
      <c r="N1972">
        <v>0</v>
      </c>
    </row>
    <row r="1973" spans="1:14" x14ac:dyDescent="0.3">
      <c r="A1973" s="1" t="s">
        <v>2018</v>
      </c>
      <c r="B1973" s="1" t="s">
        <v>64</v>
      </c>
      <c r="C1973">
        <v>22</v>
      </c>
      <c r="D1973" s="1" t="s">
        <v>16</v>
      </c>
      <c r="E1973" s="1" t="s">
        <v>17</v>
      </c>
      <c r="F1973" s="1" t="s">
        <v>18</v>
      </c>
      <c r="G1973" s="1" t="s">
        <v>19</v>
      </c>
      <c r="H1973" s="1" t="s">
        <v>20</v>
      </c>
      <c r="I1973" s="2">
        <v>44530</v>
      </c>
      <c r="J1973">
        <v>9110</v>
      </c>
      <c r="K1973" s="2">
        <v>45857</v>
      </c>
      <c r="L1973">
        <v>7609</v>
      </c>
      <c r="M1973">
        <v>16719</v>
      </c>
      <c r="N1973">
        <v>0</v>
      </c>
    </row>
    <row r="1974" spans="1:14" x14ac:dyDescent="0.3">
      <c r="A1974" s="1" t="s">
        <v>2019</v>
      </c>
      <c r="B1974" s="1" t="s">
        <v>43</v>
      </c>
      <c r="C1974">
        <v>20</v>
      </c>
      <c r="D1974" s="1" t="s">
        <v>16</v>
      </c>
      <c r="E1974" s="1" t="s">
        <v>24</v>
      </c>
      <c r="F1974" s="1" t="s">
        <v>18</v>
      </c>
      <c r="G1974" s="1" t="s">
        <v>19</v>
      </c>
      <c r="H1974" s="1" t="s">
        <v>20</v>
      </c>
      <c r="I1974" s="2">
        <v>45770</v>
      </c>
      <c r="J1974">
        <v>11356</v>
      </c>
      <c r="K1974" s="2">
        <v>45863</v>
      </c>
      <c r="L1974">
        <v>23181</v>
      </c>
      <c r="M1974">
        <v>34537</v>
      </c>
      <c r="N1974">
        <v>0</v>
      </c>
    </row>
    <row r="1975" spans="1:14" x14ac:dyDescent="0.3">
      <c r="A1975" s="1" t="s">
        <v>2020</v>
      </c>
      <c r="B1975" s="1" t="s">
        <v>22</v>
      </c>
      <c r="C1975">
        <v>18</v>
      </c>
      <c r="D1975" s="1" t="s">
        <v>16</v>
      </c>
      <c r="E1975" s="1" t="s">
        <v>35</v>
      </c>
      <c r="F1975" s="1" t="s">
        <v>18</v>
      </c>
      <c r="G1975" s="1" t="s">
        <v>19</v>
      </c>
      <c r="H1975" s="1" t="s">
        <v>20</v>
      </c>
      <c r="I1975" s="2">
        <v>45471</v>
      </c>
      <c r="J1975">
        <v>5959</v>
      </c>
      <c r="K1975" s="2">
        <v>45865</v>
      </c>
      <c r="L1975">
        <v>7037</v>
      </c>
      <c r="M1975">
        <v>12996</v>
      </c>
      <c r="N1975">
        <v>0</v>
      </c>
    </row>
    <row r="1976" spans="1:14" x14ac:dyDescent="0.3">
      <c r="A1976" s="1" t="s">
        <v>2021</v>
      </c>
      <c r="B1976" s="1" t="s">
        <v>32</v>
      </c>
      <c r="C1976">
        <v>55</v>
      </c>
      <c r="D1976" s="1" t="s">
        <v>16</v>
      </c>
      <c r="E1976" s="1" t="s">
        <v>17</v>
      </c>
      <c r="F1976" s="1" t="s">
        <v>18</v>
      </c>
      <c r="G1976" s="1" t="s">
        <v>19</v>
      </c>
      <c r="H1976" s="1" t="s">
        <v>20</v>
      </c>
      <c r="I1976" s="2">
        <v>45361</v>
      </c>
      <c r="J1976">
        <v>62644</v>
      </c>
      <c r="K1976" s="2">
        <v>45864</v>
      </c>
      <c r="L1976">
        <v>6356</v>
      </c>
      <c r="M1976">
        <v>69000</v>
      </c>
      <c r="N1976">
        <v>0</v>
      </c>
    </row>
    <row r="1977" spans="1:14" x14ac:dyDescent="0.3">
      <c r="A1977" s="1" t="s">
        <v>2022</v>
      </c>
      <c r="B1977" s="1" t="s">
        <v>79</v>
      </c>
      <c r="C1977">
        <v>32</v>
      </c>
      <c r="D1977" s="1" t="s">
        <v>23</v>
      </c>
      <c r="E1977" s="1" t="s">
        <v>24</v>
      </c>
      <c r="F1977" s="1" t="s">
        <v>25</v>
      </c>
      <c r="G1977" s="1" t="s">
        <v>19</v>
      </c>
      <c r="H1977" s="1" t="s">
        <v>20</v>
      </c>
      <c r="I1977" s="2">
        <v>44596</v>
      </c>
      <c r="J1977">
        <v>40227</v>
      </c>
      <c r="K1977" s="2">
        <v>45862</v>
      </c>
      <c r="L1977">
        <v>9043</v>
      </c>
      <c r="M1977">
        <v>49270</v>
      </c>
      <c r="N1977">
        <v>0</v>
      </c>
    </row>
    <row r="1978" spans="1:14" x14ac:dyDescent="0.3">
      <c r="A1978" s="1" t="s">
        <v>2023</v>
      </c>
      <c r="B1978" s="1" t="s">
        <v>15</v>
      </c>
      <c r="C1978">
        <v>51</v>
      </c>
      <c r="D1978" s="1" t="s">
        <v>16</v>
      </c>
      <c r="E1978" s="1" t="s">
        <v>24</v>
      </c>
      <c r="F1978" s="1" t="s">
        <v>18</v>
      </c>
      <c r="G1978" s="1" t="s">
        <v>19</v>
      </c>
      <c r="H1978" s="1" t="s">
        <v>20</v>
      </c>
      <c r="I1978" s="2">
        <v>44395</v>
      </c>
      <c r="J1978">
        <v>35794</v>
      </c>
      <c r="K1978" s="2">
        <v>45754</v>
      </c>
      <c r="L1978">
        <v>14114</v>
      </c>
      <c r="M1978">
        <v>49908</v>
      </c>
      <c r="N1978">
        <v>0</v>
      </c>
    </row>
    <row r="1979" spans="1:14" x14ac:dyDescent="0.3">
      <c r="A1979" s="1" t="s">
        <v>2024</v>
      </c>
      <c r="B1979" s="1" t="s">
        <v>56</v>
      </c>
      <c r="C1979">
        <v>52</v>
      </c>
      <c r="D1979" s="1" t="s">
        <v>23</v>
      </c>
      <c r="E1979" s="1" t="s">
        <v>38</v>
      </c>
      <c r="F1979" s="1" t="s">
        <v>18</v>
      </c>
      <c r="G1979" s="1" t="s">
        <v>19</v>
      </c>
      <c r="H1979" s="1" t="s">
        <v>20</v>
      </c>
      <c r="I1979" s="2">
        <v>45653</v>
      </c>
      <c r="J1979">
        <v>11894</v>
      </c>
      <c r="K1979" s="2">
        <v>45869</v>
      </c>
      <c r="L1979">
        <v>5296</v>
      </c>
      <c r="M1979">
        <v>17190</v>
      </c>
      <c r="N1979">
        <v>0</v>
      </c>
    </row>
    <row r="1980" spans="1:14" x14ac:dyDescent="0.3">
      <c r="A1980" s="1" t="s">
        <v>2025</v>
      </c>
      <c r="B1980" s="1" t="s">
        <v>87</v>
      </c>
      <c r="C1980">
        <v>66</v>
      </c>
      <c r="D1980" s="1" t="s">
        <v>23</v>
      </c>
      <c r="E1980" s="1" t="s">
        <v>17</v>
      </c>
      <c r="F1980" s="1" t="s">
        <v>25</v>
      </c>
      <c r="G1980" s="1" t="s">
        <v>19</v>
      </c>
      <c r="H1980" s="1" t="s">
        <v>20</v>
      </c>
      <c r="I1980" s="2">
        <v>44206</v>
      </c>
      <c r="J1980">
        <v>4755</v>
      </c>
      <c r="K1980" s="2">
        <v>45831</v>
      </c>
      <c r="L1980">
        <v>2283</v>
      </c>
      <c r="M1980">
        <v>7038</v>
      </c>
      <c r="N1980">
        <v>0</v>
      </c>
    </row>
    <row r="1981" spans="1:14" x14ac:dyDescent="0.3">
      <c r="A1981" s="1" t="s">
        <v>2026</v>
      </c>
      <c r="B1981" s="1" t="s">
        <v>27</v>
      </c>
      <c r="C1981">
        <v>42</v>
      </c>
      <c r="D1981" s="1" t="s">
        <v>16</v>
      </c>
      <c r="E1981" s="1" t="s">
        <v>35</v>
      </c>
      <c r="F1981" s="1" t="s">
        <v>18</v>
      </c>
      <c r="G1981" s="1" t="s">
        <v>19</v>
      </c>
      <c r="H1981" s="1" t="s">
        <v>20</v>
      </c>
      <c r="I1981" s="2">
        <v>44846</v>
      </c>
      <c r="J1981">
        <v>50413</v>
      </c>
      <c r="K1981" s="2">
        <v>45855</v>
      </c>
      <c r="L1981">
        <v>4881</v>
      </c>
      <c r="M1981">
        <v>55294</v>
      </c>
      <c r="N1981">
        <v>0</v>
      </c>
    </row>
    <row r="1982" spans="1:14" x14ac:dyDescent="0.3">
      <c r="A1982" s="1" t="s">
        <v>2027</v>
      </c>
      <c r="B1982" s="1" t="s">
        <v>75</v>
      </c>
      <c r="C1982">
        <v>41</v>
      </c>
      <c r="D1982" s="1" t="s">
        <v>16</v>
      </c>
      <c r="E1982" s="1" t="s">
        <v>38</v>
      </c>
      <c r="F1982" s="1" t="s">
        <v>25</v>
      </c>
      <c r="G1982" s="1" t="s">
        <v>19</v>
      </c>
      <c r="H1982" s="1" t="s">
        <v>20</v>
      </c>
      <c r="I1982" s="2">
        <v>44661</v>
      </c>
      <c r="J1982">
        <v>18683</v>
      </c>
      <c r="K1982" s="2">
        <v>45665</v>
      </c>
      <c r="L1982">
        <v>2240</v>
      </c>
      <c r="M1982">
        <v>20923</v>
      </c>
      <c r="N1982">
        <v>1</v>
      </c>
    </row>
    <row r="1983" spans="1:14" x14ac:dyDescent="0.3">
      <c r="A1983" s="1" t="s">
        <v>2028</v>
      </c>
      <c r="B1983" s="1" t="s">
        <v>52</v>
      </c>
      <c r="C1983">
        <v>29</v>
      </c>
      <c r="D1983" s="1" t="s">
        <v>23</v>
      </c>
      <c r="E1983" s="1" t="s">
        <v>24</v>
      </c>
      <c r="F1983" s="1" t="s">
        <v>18</v>
      </c>
      <c r="G1983" s="1" t="s">
        <v>19</v>
      </c>
      <c r="H1983" s="1" t="s">
        <v>20</v>
      </c>
      <c r="I1983" s="2">
        <v>45151</v>
      </c>
      <c r="J1983">
        <v>28943</v>
      </c>
      <c r="K1983" s="2">
        <v>45868</v>
      </c>
      <c r="L1983">
        <v>8754</v>
      </c>
      <c r="M1983">
        <v>37697</v>
      </c>
      <c r="N1983">
        <v>0</v>
      </c>
    </row>
    <row r="1984" spans="1:14" x14ac:dyDescent="0.3">
      <c r="A1984" s="1" t="s">
        <v>2029</v>
      </c>
      <c r="B1984" s="1" t="s">
        <v>43</v>
      </c>
      <c r="C1984">
        <v>35</v>
      </c>
      <c r="D1984" s="1" t="s">
        <v>16</v>
      </c>
      <c r="E1984" s="1" t="s">
        <v>38</v>
      </c>
      <c r="F1984" s="1" t="s">
        <v>18</v>
      </c>
      <c r="G1984" s="1" t="s">
        <v>19</v>
      </c>
      <c r="H1984" s="1" t="s">
        <v>20</v>
      </c>
      <c r="I1984" s="2">
        <v>44616</v>
      </c>
      <c r="J1984">
        <v>24816</v>
      </c>
      <c r="K1984" s="2">
        <v>45817</v>
      </c>
      <c r="L1984">
        <v>10777</v>
      </c>
      <c r="M1984">
        <v>35593</v>
      </c>
      <c r="N1984">
        <v>0</v>
      </c>
    </row>
    <row r="1985" spans="1:14" x14ac:dyDescent="0.3">
      <c r="A1985" s="1" t="s">
        <v>2030</v>
      </c>
      <c r="B1985" s="1" t="s">
        <v>29</v>
      </c>
      <c r="C1985">
        <v>32</v>
      </c>
      <c r="D1985" s="1" t="s">
        <v>16</v>
      </c>
      <c r="E1985" s="1" t="s">
        <v>17</v>
      </c>
      <c r="F1985" s="1" t="s">
        <v>18</v>
      </c>
      <c r="G1985" s="1" t="s">
        <v>19</v>
      </c>
      <c r="H1985" s="1" t="s">
        <v>20</v>
      </c>
      <c r="I1985" s="2">
        <v>44717</v>
      </c>
      <c r="J1985">
        <v>18226</v>
      </c>
      <c r="K1985" s="2">
        <v>45805</v>
      </c>
      <c r="L1985">
        <v>41906</v>
      </c>
      <c r="M1985">
        <v>60132</v>
      </c>
      <c r="N1985">
        <v>0</v>
      </c>
    </row>
    <row r="1986" spans="1:14" x14ac:dyDescent="0.3">
      <c r="A1986" s="1" t="s">
        <v>2031</v>
      </c>
      <c r="B1986" s="1" t="s">
        <v>32</v>
      </c>
      <c r="C1986">
        <v>61</v>
      </c>
      <c r="D1986" s="1" t="s">
        <v>23</v>
      </c>
      <c r="E1986" s="1" t="s">
        <v>24</v>
      </c>
      <c r="F1986" s="1" t="s">
        <v>18</v>
      </c>
      <c r="G1986" s="1" t="s">
        <v>19</v>
      </c>
      <c r="H1986" s="1" t="s">
        <v>20</v>
      </c>
      <c r="I1986" s="2">
        <v>45619</v>
      </c>
      <c r="J1986">
        <v>98678</v>
      </c>
      <c r="K1986" s="2">
        <v>45843</v>
      </c>
      <c r="L1986">
        <v>7518</v>
      </c>
      <c r="M1986">
        <v>106196</v>
      </c>
      <c r="N1986">
        <v>0</v>
      </c>
    </row>
    <row r="1987" spans="1:14" x14ac:dyDescent="0.3">
      <c r="A1987" s="1" t="s">
        <v>2032</v>
      </c>
      <c r="B1987" s="1" t="s">
        <v>34</v>
      </c>
      <c r="C1987">
        <v>33</v>
      </c>
      <c r="D1987" s="1" t="s">
        <v>23</v>
      </c>
      <c r="E1987" s="1" t="s">
        <v>38</v>
      </c>
      <c r="F1987" s="1" t="s">
        <v>18</v>
      </c>
      <c r="G1987" s="1" t="s">
        <v>19</v>
      </c>
      <c r="H1987" s="1" t="s">
        <v>20</v>
      </c>
      <c r="I1987" s="2">
        <v>45206</v>
      </c>
      <c r="J1987">
        <v>6923</v>
      </c>
      <c r="K1987" s="2">
        <v>45857</v>
      </c>
      <c r="L1987">
        <v>22232</v>
      </c>
      <c r="M1987">
        <v>29155</v>
      </c>
      <c r="N1987">
        <v>0</v>
      </c>
    </row>
    <row r="1988" spans="1:14" x14ac:dyDescent="0.3">
      <c r="A1988" s="1" t="s">
        <v>2033</v>
      </c>
      <c r="B1988" s="1" t="s">
        <v>71</v>
      </c>
      <c r="C1988">
        <v>44</v>
      </c>
      <c r="D1988" s="1" t="s">
        <v>23</v>
      </c>
      <c r="E1988" s="1" t="s">
        <v>17</v>
      </c>
      <c r="F1988" s="1" t="s">
        <v>25</v>
      </c>
      <c r="G1988" s="1" t="s">
        <v>19</v>
      </c>
      <c r="H1988" s="1" t="s">
        <v>20</v>
      </c>
      <c r="I1988" s="2">
        <v>44440</v>
      </c>
      <c r="J1988">
        <v>9809</v>
      </c>
      <c r="K1988" s="2">
        <v>45701</v>
      </c>
      <c r="L1988">
        <v>485</v>
      </c>
      <c r="M1988">
        <v>10294</v>
      </c>
      <c r="N1988">
        <v>0</v>
      </c>
    </row>
    <row r="1989" spans="1:14" x14ac:dyDescent="0.3">
      <c r="A1989" s="1" t="s">
        <v>2034</v>
      </c>
      <c r="B1989" s="1" t="s">
        <v>59</v>
      </c>
      <c r="C1989">
        <v>25</v>
      </c>
      <c r="D1989" s="1" t="s">
        <v>23</v>
      </c>
      <c r="E1989" s="1" t="s">
        <v>24</v>
      </c>
      <c r="F1989" s="1" t="s">
        <v>18</v>
      </c>
      <c r="G1989" s="1" t="s">
        <v>19</v>
      </c>
      <c r="H1989" s="1" t="s">
        <v>20</v>
      </c>
      <c r="I1989" s="2">
        <v>45412</v>
      </c>
      <c r="J1989">
        <v>68951</v>
      </c>
      <c r="K1989" s="2">
        <v>45862</v>
      </c>
      <c r="L1989">
        <v>-1980</v>
      </c>
      <c r="M1989">
        <v>66971</v>
      </c>
      <c r="N1989">
        <v>0</v>
      </c>
    </row>
    <row r="1990" spans="1:14" x14ac:dyDescent="0.3">
      <c r="A1990" s="1" t="s">
        <v>2035</v>
      </c>
      <c r="B1990" s="1" t="s">
        <v>52</v>
      </c>
      <c r="C1990">
        <v>63</v>
      </c>
      <c r="D1990" s="1" t="s">
        <v>23</v>
      </c>
      <c r="E1990" s="1" t="s">
        <v>24</v>
      </c>
      <c r="F1990" s="1" t="s">
        <v>25</v>
      </c>
      <c r="G1990" s="1" t="s">
        <v>19</v>
      </c>
      <c r="H1990" s="1" t="s">
        <v>20</v>
      </c>
      <c r="I1990" s="2">
        <v>44544</v>
      </c>
      <c r="J1990">
        <v>14502</v>
      </c>
      <c r="K1990" s="2">
        <v>45864</v>
      </c>
      <c r="L1990">
        <v>8372</v>
      </c>
      <c r="M1990">
        <v>22874</v>
      </c>
      <c r="N1990">
        <v>0</v>
      </c>
    </row>
    <row r="1991" spans="1:14" x14ac:dyDescent="0.3">
      <c r="A1991" s="1" t="s">
        <v>2036</v>
      </c>
      <c r="B1991" s="1" t="s">
        <v>29</v>
      </c>
      <c r="C1991">
        <v>42</v>
      </c>
      <c r="D1991" s="1" t="s">
        <v>23</v>
      </c>
      <c r="E1991" s="1" t="s">
        <v>24</v>
      </c>
      <c r="F1991" s="1" t="s">
        <v>18</v>
      </c>
      <c r="G1991" s="1" t="s">
        <v>19</v>
      </c>
      <c r="H1991" s="1" t="s">
        <v>20</v>
      </c>
      <c r="I1991" s="2">
        <v>44921</v>
      </c>
      <c r="J1991">
        <v>11779</v>
      </c>
      <c r="K1991" s="2">
        <v>45803</v>
      </c>
      <c r="L1991">
        <v>27528</v>
      </c>
      <c r="M1991">
        <v>39307</v>
      </c>
      <c r="N1991">
        <v>0</v>
      </c>
    </row>
    <row r="1992" spans="1:14" x14ac:dyDescent="0.3">
      <c r="A1992" s="1" t="s">
        <v>2037</v>
      </c>
      <c r="B1992" s="1" t="s">
        <v>61</v>
      </c>
      <c r="C1992">
        <v>34</v>
      </c>
      <c r="D1992" s="1" t="s">
        <v>23</v>
      </c>
      <c r="E1992" s="1" t="s">
        <v>35</v>
      </c>
      <c r="F1992" s="1" t="s">
        <v>18</v>
      </c>
      <c r="G1992" s="1" t="s">
        <v>19</v>
      </c>
      <c r="H1992" s="1" t="s">
        <v>20</v>
      </c>
      <c r="I1992" s="2">
        <v>45278</v>
      </c>
      <c r="J1992">
        <v>10373</v>
      </c>
      <c r="K1992" s="2">
        <v>45868</v>
      </c>
      <c r="L1992">
        <v>15829</v>
      </c>
      <c r="M1992">
        <v>26202</v>
      </c>
      <c r="N1992">
        <v>0</v>
      </c>
    </row>
    <row r="1993" spans="1:14" x14ac:dyDescent="0.3">
      <c r="A1993" s="1" t="s">
        <v>2038</v>
      </c>
      <c r="B1993" s="1" t="s">
        <v>34</v>
      </c>
      <c r="C1993">
        <v>46</v>
      </c>
      <c r="D1993" s="1" t="s">
        <v>16</v>
      </c>
      <c r="E1993" s="1" t="s">
        <v>17</v>
      </c>
      <c r="F1993" s="1" t="s">
        <v>25</v>
      </c>
      <c r="G1993" s="1" t="s">
        <v>19</v>
      </c>
      <c r="H1993" s="1" t="s">
        <v>20</v>
      </c>
      <c r="I1993" s="2">
        <v>44651</v>
      </c>
      <c r="J1993">
        <v>26352</v>
      </c>
      <c r="K1993" s="2">
        <v>45848</v>
      </c>
      <c r="L1993">
        <v>14114</v>
      </c>
      <c r="M1993">
        <v>40466</v>
      </c>
      <c r="N1993">
        <v>0</v>
      </c>
    </row>
    <row r="1994" spans="1:14" x14ac:dyDescent="0.3">
      <c r="A1994" s="1" t="s">
        <v>2039</v>
      </c>
      <c r="B1994" s="1" t="s">
        <v>52</v>
      </c>
      <c r="C1994">
        <v>25</v>
      </c>
      <c r="D1994" s="1" t="s">
        <v>16</v>
      </c>
      <c r="E1994" s="1" t="s">
        <v>38</v>
      </c>
      <c r="F1994" s="1" t="s">
        <v>18</v>
      </c>
      <c r="G1994" s="1" t="s">
        <v>19</v>
      </c>
      <c r="H1994" s="1" t="s">
        <v>20</v>
      </c>
      <c r="I1994" s="2">
        <v>44839</v>
      </c>
      <c r="J1994">
        <v>10622</v>
      </c>
      <c r="K1994" s="2">
        <v>45859</v>
      </c>
      <c r="L1994">
        <v>25217</v>
      </c>
      <c r="M1994">
        <v>35839</v>
      </c>
      <c r="N1994">
        <v>0</v>
      </c>
    </row>
    <row r="1995" spans="1:14" x14ac:dyDescent="0.3">
      <c r="A1995" s="1" t="s">
        <v>2040</v>
      </c>
      <c r="B1995" s="1" t="s">
        <v>59</v>
      </c>
      <c r="C1995">
        <v>32</v>
      </c>
      <c r="D1995" s="1" t="s">
        <v>30</v>
      </c>
      <c r="E1995" s="1" t="s">
        <v>24</v>
      </c>
      <c r="F1995" s="1" t="s">
        <v>25</v>
      </c>
      <c r="G1995" s="1" t="s">
        <v>19</v>
      </c>
      <c r="H1995" s="1" t="s">
        <v>20</v>
      </c>
      <c r="I1995" s="2">
        <v>45425</v>
      </c>
      <c r="J1995">
        <v>9494</v>
      </c>
      <c r="K1995" s="2">
        <v>45868</v>
      </c>
      <c r="L1995">
        <v>6991</v>
      </c>
      <c r="M1995">
        <v>16485</v>
      </c>
      <c r="N1995">
        <v>0</v>
      </c>
    </row>
    <row r="1996" spans="1:14" x14ac:dyDescent="0.3">
      <c r="A1996" s="1" t="s">
        <v>2041</v>
      </c>
      <c r="B1996" s="1" t="s">
        <v>56</v>
      </c>
      <c r="C1996">
        <v>44</v>
      </c>
      <c r="D1996" s="1" t="s">
        <v>23</v>
      </c>
      <c r="E1996" s="1" t="s">
        <v>38</v>
      </c>
      <c r="F1996" s="1" t="s">
        <v>25</v>
      </c>
      <c r="G1996" s="1" t="s">
        <v>19</v>
      </c>
      <c r="H1996" s="1" t="s">
        <v>20</v>
      </c>
      <c r="I1996" s="2">
        <v>45766</v>
      </c>
      <c r="J1996">
        <v>25921</v>
      </c>
      <c r="K1996" s="2">
        <v>45867</v>
      </c>
      <c r="L1996">
        <v>19138</v>
      </c>
      <c r="M1996">
        <v>45059</v>
      </c>
      <c r="N1996">
        <v>0</v>
      </c>
    </row>
    <row r="1997" spans="1:14" x14ac:dyDescent="0.3">
      <c r="A1997" s="1" t="s">
        <v>2042</v>
      </c>
      <c r="B1997" s="1" t="s">
        <v>79</v>
      </c>
      <c r="C1997">
        <v>63</v>
      </c>
      <c r="D1997" s="1" t="s">
        <v>16</v>
      </c>
      <c r="E1997" s="1" t="s">
        <v>24</v>
      </c>
      <c r="F1997" s="1" t="s">
        <v>25</v>
      </c>
      <c r="G1997" s="1" t="s">
        <v>19</v>
      </c>
      <c r="H1997" s="1" t="s">
        <v>20</v>
      </c>
      <c r="I1997" s="2">
        <v>45082</v>
      </c>
      <c r="J1997">
        <v>14666</v>
      </c>
      <c r="K1997" s="2">
        <v>45851</v>
      </c>
      <c r="L1997">
        <v>19859</v>
      </c>
      <c r="M1997">
        <v>34525</v>
      </c>
      <c r="N1997">
        <v>0</v>
      </c>
    </row>
    <row r="1998" spans="1:14" x14ac:dyDescent="0.3">
      <c r="A1998" s="1" t="s">
        <v>2043</v>
      </c>
      <c r="B1998" s="1" t="s">
        <v>56</v>
      </c>
      <c r="C1998">
        <v>67</v>
      </c>
      <c r="D1998" s="1" t="s">
        <v>16</v>
      </c>
      <c r="E1998" s="1" t="s">
        <v>24</v>
      </c>
      <c r="F1998" s="1" t="s">
        <v>18</v>
      </c>
      <c r="G1998" s="1" t="s">
        <v>19</v>
      </c>
      <c r="H1998" s="1" t="s">
        <v>20</v>
      </c>
      <c r="I1998" s="2">
        <v>44213</v>
      </c>
      <c r="J1998">
        <v>4869</v>
      </c>
      <c r="K1998" s="2">
        <v>45852</v>
      </c>
      <c r="L1998">
        <v>16139</v>
      </c>
      <c r="M1998">
        <v>21008</v>
      </c>
      <c r="N1998">
        <v>0</v>
      </c>
    </row>
    <row r="1999" spans="1:14" x14ac:dyDescent="0.3">
      <c r="A1999" s="1" t="s">
        <v>2044</v>
      </c>
      <c r="B1999" s="1" t="s">
        <v>34</v>
      </c>
      <c r="C1999">
        <v>69</v>
      </c>
      <c r="D1999" s="1" t="s">
        <v>16</v>
      </c>
      <c r="E1999" s="1" t="s">
        <v>38</v>
      </c>
      <c r="F1999" s="1" t="s">
        <v>18</v>
      </c>
      <c r="G1999" s="1" t="s">
        <v>19</v>
      </c>
      <c r="H1999" s="1" t="s">
        <v>20</v>
      </c>
      <c r="I1999" s="2">
        <v>44763</v>
      </c>
      <c r="J1999">
        <v>13794</v>
      </c>
      <c r="K1999" s="2">
        <v>45862</v>
      </c>
      <c r="L1999">
        <v>13341</v>
      </c>
      <c r="M1999">
        <v>27135</v>
      </c>
      <c r="N1999">
        <v>0</v>
      </c>
    </row>
    <row r="2000" spans="1:14" x14ac:dyDescent="0.3">
      <c r="A2000" s="1" t="s">
        <v>2045</v>
      </c>
      <c r="B2000" s="1" t="s">
        <v>32</v>
      </c>
      <c r="C2000">
        <v>24</v>
      </c>
      <c r="D2000" s="1" t="s">
        <v>23</v>
      </c>
      <c r="E2000" s="1" t="s">
        <v>24</v>
      </c>
      <c r="F2000" s="1" t="s">
        <v>25</v>
      </c>
      <c r="G2000" s="1" t="s">
        <v>19</v>
      </c>
      <c r="H2000" s="1" t="s">
        <v>20</v>
      </c>
      <c r="I2000" s="2">
        <v>44863</v>
      </c>
      <c r="J2000">
        <v>53881</v>
      </c>
      <c r="K2000" s="2">
        <v>45868</v>
      </c>
      <c r="L2000">
        <v>14986</v>
      </c>
      <c r="M2000">
        <v>68867</v>
      </c>
      <c r="N2000">
        <v>0</v>
      </c>
    </row>
    <row r="2001" spans="1:14" x14ac:dyDescent="0.3">
      <c r="A2001" s="1" t="s">
        <v>2046</v>
      </c>
      <c r="B2001" s="1" t="s">
        <v>40</v>
      </c>
      <c r="C2001">
        <v>20</v>
      </c>
      <c r="D2001" s="1" t="s">
        <v>16</v>
      </c>
      <c r="E2001" s="1" t="s">
        <v>24</v>
      </c>
      <c r="F2001" s="1" t="s">
        <v>25</v>
      </c>
      <c r="G2001" s="1" t="s">
        <v>19</v>
      </c>
      <c r="H2001" s="1" t="s">
        <v>20</v>
      </c>
      <c r="I2001" s="2">
        <v>44764</v>
      </c>
      <c r="J2001">
        <v>28719</v>
      </c>
      <c r="K2001" s="2">
        <v>45818</v>
      </c>
      <c r="L2001">
        <v>-6556</v>
      </c>
      <c r="M2001">
        <v>22163</v>
      </c>
      <c r="N200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tabSelected="1" workbookViewId="0">
      <selection activeCell="I12" sqref="I12"/>
    </sheetView>
  </sheetViews>
  <sheetFormatPr defaultRowHeight="14.4" x14ac:dyDescent="0.3"/>
  <cols>
    <col min="1" max="1" width="11.6640625" bestFit="1" customWidth="1"/>
    <col min="2" max="2" width="9.6640625" bestFit="1" customWidth="1"/>
    <col min="3" max="3" width="12.44140625" bestFit="1" customWidth="1"/>
    <col min="4" max="4" width="14.6640625" bestFit="1" customWidth="1"/>
    <col min="8" max="8" width="11.6640625" bestFit="1" customWidth="1"/>
    <col min="9" max="9" width="9.5546875" bestFit="1" customWidth="1"/>
    <col min="10" max="10" width="9.6640625" bestFit="1" customWidth="1"/>
    <col min="12" max="12" width="15.44140625" bestFit="1" customWidth="1"/>
    <col min="13" max="14" width="11.33203125" bestFit="1" customWidth="1"/>
    <col min="16" max="16" width="11.6640625" bestFit="1" customWidth="1"/>
    <col min="17" max="17" width="12.109375" bestFit="1" customWidth="1"/>
    <col min="18" max="18" width="11" bestFit="1" customWidth="1"/>
  </cols>
  <sheetData>
    <row r="1" spans="1:19" x14ac:dyDescent="0.3">
      <c r="A1" s="7" t="s">
        <v>2052</v>
      </c>
      <c r="B1" s="7" t="s">
        <v>2053</v>
      </c>
      <c r="C1" s="7" t="s">
        <v>2056</v>
      </c>
      <c r="D1" s="7" t="s">
        <v>2057</v>
      </c>
      <c r="E1" s="7" t="s">
        <v>2058</v>
      </c>
      <c r="F1" s="7" t="s">
        <v>2059</v>
      </c>
      <c r="H1" s="8" t="s">
        <v>2052</v>
      </c>
      <c r="I1" s="8" t="s">
        <v>2058</v>
      </c>
      <c r="J1" s="8" t="s">
        <v>2053</v>
      </c>
      <c r="L1" s="7" t="s">
        <v>2060</v>
      </c>
      <c r="M1" s="7" t="s">
        <v>2064</v>
      </c>
      <c r="N1" s="7" t="s">
        <v>2063</v>
      </c>
      <c r="O1" s="7" t="s">
        <v>2065</v>
      </c>
      <c r="P1" s="7" t="s">
        <v>2067</v>
      </c>
      <c r="Q1" s="7" t="s">
        <v>2066</v>
      </c>
      <c r="R1" s="7" t="s">
        <v>2068</v>
      </c>
      <c r="S1" s="7" t="s">
        <v>2065</v>
      </c>
    </row>
    <row r="2" spans="1:19" x14ac:dyDescent="0.3">
      <c r="A2" t="s">
        <v>2054</v>
      </c>
      <c r="B2">
        <f>COUNTIF(customer[account_type],"current")</f>
        <v>285</v>
      </c>
      <c r="C2" s="5">
        <f>SUMIF(customer[account_type], 'Excel checks'!A2,customer[current_balance])</f>
        <v>8094813</v>
      </c>
      <c r="D2" s="6">
        <f>AVERAGEIF(customer[account_type],'Excel checks'!A2,customer[current_balance])</f>
        <v>28402.852631578946</v>
      </c>
      <c r="E2" t="s">
        <v>20</v>
      </c>
      <c r="F2">
        <f>COUNTIF(customer[kyc_status],"complete")</f>
        <v>1896</v>
      </c>
      <c r="H2" t="s">
        <v>41</v>
      </c>
      <c r="I2" t="s">
        <v>20</v>
      </c>
      <c r="J2">
        <f>COUNTIFS(customer[account_type],'Excel checks'!H2,customer[kyc_status],'Excel checks'!I2)</f>
        <v>269</v>
      </c>
      <c r="L2" t="s">
        <v>2061</v>
      </c>
      <c r="M2" t="s">
        <v>14</v>
      </c>
      <c r="N2" t="s">
        <v>14</v>
      </c>
      <c r="P2" t="s">
        <v>2069</v>
      </c>
      <c r="Q2" s="5">
        <f>C2</f>
        <v>8094813</v>
      </c>
      <c r="R2" s="5">
        <v>8094813</v>
      </c>
      <c r="S2" s="9" t="str">
        <f>IF(Q2=R2,"MATCH","CHECK")</f>
        <v>MATCH</v>
      </c>
    </row>
    <row r="3" spans="1:19" x14ac:dyDescent="0.3">
      <c r="A3" t="s">
        <v>2055</v>
      </c>
      <c r="B3">
        <f>COUNTIF(customer[account_type],"savings")</f>
        <v>1715</v>
      </c>
      <c r="C3" s="5">
        <f>SUMIF(customer[account_type],'Excel checks'!A3,customer[current_balance])</f>
        <v>57109232</v>
      </c>
      <c r="D3" s="6">
        <f>AVERAGEIF(customer[account_type],'Excel checks'!A3,customer[current_balance])</f>
        <v>33299.843731778426</v>
      </c>
      <c r="E3" t="s">
        <v>49</v>
      </c>
      <c r="F3">
        <f>COUNTIF(customer[kyc_status],"pending")</f>
        <v>104</v>
      </c>
      <c r="H3" t="s">
        <v>41</v>
      </c>
      <c r="I3" t="s">
        <v>49</v>
      </c>
      <c r="J3">
        <f>COUNTIFS(customer[account_type],'Excel checks'!H3,customer[kyc_status],'Excel checks'!I3)</f>
        <v>16</v>
      </c>
      <c r="L3" t="s">
        <v>2062</v>
      </c>
      <c r="M3" t="str">
        <f>_xlfn.XLOOKUP(M2,'customer'!A2,'customer'!B2,"Not found")</f>
        <v>BR015</v>
      </c>
      <c r="N3" t="str">
        <f>VLOOKUP(N2,customer[customer_id]:customer[branch_id],2,FALSE)</f>
        <v>BR015</v>
      </c>
      <c r="O3" t="str">
        <f>IF(M3=N3,"MATCH","CHECK")</f>
        <v>MATCH</v>
      </c>
      <c r="P3" t="s">
        <v>19</v>
      </c>
      <c r="Q3" s="5">
        <f>C3</f>
        <v>57109232</v>
      </c>
      <c r="R3" s="5">
        <v>57109232</v>
      </c>
      <c r="S3" s="9" t="str">
        <f>IF(R3=Q3,"MATCH","CHECK")</f>
        <v>MATCH</v>
      </c>
    </row>
    <row r="4" spans="1:19" x14ac:dyDescent="0.3">
      <c r="H4" t="s">
        <v>19</v>
      </c>
      <c r="I4" t="s">
        <v>20</v>
      </c>
      <c r="J4">
        <f>COUNTIFS(customer[account_type],'Excel checks'!H4,customer[kyc_status],'Excel checks'!I4)</f>
        <v>1627</v>
      </c>
    </row>
    <row r="5" spans="1:19" x14ac:dyDescent="0.3">
      <c r="H5" t="s">
        <v>19</v>
      </c>
      <c r="I5" t="s">
        <v>49</v>
      </c>
      <c r="J5">
        <f>COUNTIFS(customer[account_type],'Excel checks'!H5,customer[kyc_status],'Excel checks'!I5)</f>
        <v>88</v>
      </c>
    </row>
  </sheetData>
  <autoFilter ref="H1:J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6943DA-44D3-42AF-90C3-F99A35C9C7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 Analysis</vt:lpstr>
      <vt:lpstr>customer</vt:lpstr>
      <vt:lpstr>Excel checks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 Popovici</dc:creator>
  <cp:lastModifiedBy>NICU-ALEXANDRU POPOVICI</cp:lastModifiedBy>
  <dcterms:created xsi:type="dcterms:W3CDTF">2015-06-05T18:17:20Z</dcterms:created>
  <dcterms:modified xsi:type="dcterms:W3CDTF">2026-10-22T13:28:22Z</dcterms:modified>
</cp:coreProperties>
</file>